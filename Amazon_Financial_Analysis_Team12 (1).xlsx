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Felipe\Documents\HULT\Cost &amp; Managerial Analysis\AMZN\"/>
    </mc:Choice>
  </mc:AlternateContent>
  <xr:revisionPtr revIDLastSave="0" documentId="13_ncr:1_{C00B9032-EE61-4CF0-BD7A-35EA4D70D9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ver" sheetId="4" r:id="rId1"/>
    <sheet name="Summary" sheetId="11" r:id="rId2"/>
    <sheet name="Assumptions + Estimates" sheetId="12" r:id="rId3"/>
    <sheet name="Model" sheetId="13" r:id="rId4"/>
    <sheet name="IS" sheetId="1" r:id="rId5"/>
    <sheet name="BS" sheetId="2" r:id="rId6"/>
    <sheet name="PB_CACHE_JS" sheetId="8" state="veryHidden" r:id="rId7"/>
    <sheet name="CACHE_CHARTS_JS" sheetId="9" state="veryHidden" r:id="rId8"/>
    <sheet name="CF" sheetId="3" r:id="rId9"/>
    <sheet name="Ratios" sheetId="6" r:id="rId10"/>
    <sheet name="Amazon Forecast" sheetId="14" r:id="rId11"/>
    <sheet name="Valuation" sheetId="10" r:id="rId12"/>
  </sheets>
  <definedNames>
    <definedName name="Cc">Cover!$H$3:$H$3</definedName>
    <definedName name="period">Cover!$H$2:$H$2</definedName>
    <definedName name="ticker">Cover!$C$8:$C$8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02" i="1" l="1"/>
  <c r="BB102" i="1"/>
  <c r="BC102" i="1"/>
  <c r="BD102" i="1"/>
  <c r="BD109" i="1" s="1"/>
  <c r="BD110" i="1" s="1"/>
  <c r="BA103" i="1"/>
  <c r="BB103" i="1"/>
  <c r="BC103" i="1"/>
  <c r="BD103" i="1"/>
  <c r="BA104" i="1"/>
  <c r="BB104" i="1"/>
  <c r="BC104" i="1"/>
  <c r="BD104" i="1"/>
  <c r="BA105" i="1"/>
  <c r="BB105" i="1"/>
  <c r="BC105" i="1"/>
  <c r="BE105" i="1" s="1"/>
  <c r="BD105" i="1"/>
  <c r="BA106" i="1"/>
  <c r="BB106" i="1"/>
  <c r="BC106" i="1"/>
  <c r="BE106" i="1" s="1"/>
  <c r="BD106" i="1"/>
  <c r="BA107" i="1"/>
  <c r="BB107" i="1"/>
  <c r="BC107" i="1"/>
  <c r="BD107" i="1"/>
  <c r="BA108" i="1"/>
  <c r="BB108" i="1"/>
  <c r="BC108" i="1"/>
  <c r="BD108" i="1"/>
  <c r="BA109" i="1"/>
  <c r="BA110" i="1" s="1"/>
  <c r="BG102" i="1"/>
  <c r="BG103" i="1"/>
  <c r="C24" i="10"/>
  <c r="F20" i="14"/>
  <c r="F61" i="6"/>
  <c r="BM61" i="1"/>
  <c r="BL61" i="1"/>
  <c r="BI61" i="1"/>
  <c r="BH61" i="1"/>
  <c r="BG61" i="1"/>
  <c r="BF61" i="1"/>
  <c r="BD61" i="1"/>
  <c r="BC61" i="1"/>
  <c r="BB61" i="1"/>
  <c r="BA61" i="1"/>
  <c r="BC60" i="1"/>
  <c r="BB60" i="1"/>
  <c r="BA60" i="1"/>
  <c r="BC58" i="1"/>
  <c r="BB58" i="1"/>
  <c r="BA58" i="1"/>
  <c r="BC57" i="1"/>
  <c r="BB57" i="1"/>
  <c r="BA57" i="1"/>
  <c r="BC56" i="1"/>
  <c r="BB56" i="1"/>
  <c r="BA56" i="1"/>
  <c r="BC53" i="1"/>
  <c r="BB53" i="1"/>
  <c r="BA53" i="1"/>
  <c r="BC52" i="1"/>
  <c r="BB52" i="1"/>
  <c r="BA52" i="1"/>
  <c r="BC51" i="1"/>
  <c r="BB51" i="1"/>
  <c r="BA51" i="1"/>
  <c r="BC50" i="1"/>
  <c r="BB50" i="1"/>
  <c r="BA50" i="1"/>
  <c r="BC49" i="1"/>
  <c r="BB49" i="1"/>
  <c r="BA49" i="1"/>
  <c r="BC47" i="1"/>
  <c r="BB47" i="1"/>
  <c r="BA47" i="1"/>
  <c r="BC45" i="1"/>
  <c r="BB45" i="1"/>
  <c r="BA45" i="1"/>
  <c r="BC44" i="1"/>
  <c r="BB44" i="1"/>
  <c r="BA44" i="1"/>
  <c r="BC43" i="1"/>
  <c r="BB43" i="1"/>
  <c r="BA43" i="1"/>
  <c r="BC42" i="1"/>
  <c r="BB42" i="1"/>
  <c r="BA42" i="1"/>
  <c r="BC41" i="1"/>
  <c r="BB41" i="1"/>
  <c r="BA41" i="1"/>
  <c r="BC40" i="1"/>
  <c r="BB40" i="1"/>
  <c r="BA40" i="1"/>
  <c r="BC39" i="1"/>
  <c r="BB39" i="1"/>
  <c r="BA39" i="1"/>
  <c r="BH14" i="1"/>
  <c r="BH45" i="1" s="1"/>
  <c r="BG14" i="1"/>
  <c r="BG45" i="1" s="1"/>
  <c r="BF14" i="1"/>
  <c r="BF45" i="1" s="1"/>
  <c r="BH13" i="1"/>
  <c r="BH44" i="1" s="1"/>
  <c r="BG13" i="1"/>
  <c r="BG44" i="1" s="1"/>
  <c r="BF13" i="1"/>
  <c r="BF44" i="1" s="1"/>
  <c r="BH12" i="1"/>
  <c r="BH43" i="1" s="1"/>
  <c r="BG12" i="1"/>
  <c r="BG43" i="1" s="1"/>
  <c r="BF12" i="1"/>
  <c r="BF43" i="1" s="1"/>
  <c r="BH11" i="1"/>
  <c r="BH42" i="1" s="1"/>
  <c r="BG11" i="1"/>
  <c r="BG42" i="1" s="1"/>
  <c r="BF11" i="1"/>
  <c r="BF42" i="1" s="1"/>
  <c r="BH10" i="1"/>
  <c r="BH41" i="1" s="1"/>
  <c r="BG10" i="1"/>
  <c r="BG41" i="1" s="1"/>
  <c r="BF10" i="1"/>
  <c r="BF41" i="1" s="1"/>
  <c r="BH9" i="1"/>
  <c r="BH40" i="1" s="1"/>
  <c r="BG9" i="1"/>
  <c r="BG40" i="1" s="1"/>
  <c r="BF9" i="1"/>
  <c r="BF40" i="1" s="1"/>
  <c r="BH8" i="1"/>
  <c r="BH39" i="1" s="1"/>
  <c r="BG8" i="1"/>
  <c r="BG39" i="1" s="1"/>
  <c r="BF8" i="1"/>
  <c r="BF39" i="1" s="1"/>
  <c r="K15" i="1"/>
  <c r="K17" i="1" s="1"/>
  <c r="L15" i="1"/>
  <c r="M15" i="1"/>
  <c r="M17" i="1" s="1"/>
  <c r="E17" i="1"/>
  <c r="F17" i="1"/>
  <c r="G17" i="1"/>
  <c r="H17" i="1"/>
  <c r="I17" i="1"/>
  <c r="J17" i="1"/>
  <c r="J24" i="1" s="1"/>
  <c r="J28" i="1" s="1"/>
  <c r="J31" i="1" s="1"/>
  <c r="L17" i="1"/>
  <c r="E23" i="1"/>
  <c r="F23" i="1"/>
  <c r="G23" i="1"/>
  <c r="H23" i="1"/>
  <c r="H81" i="1" s="1"/>
  <c r="I23" i="1"/>
  <c r="I81" i="1" s="1"/>
  <c r="J23" i="1"/>
  <c r="K23" i="1"/>
  <c r="L23" i="1"/>
  <c r="M23" i="1"/>
  <c r="M6" i="10"/>
  <c r="C18" i="10"/>
  <c r="U5" i="14"/>
  <c r="U9" i="14"/>
  <c r="P17" i="14"/>
  <c r="P20" i="14"/>
  <c r="BD11" i="2"/>
  <c r="BE11" i="2"/>
  <c r="BF11" i="2" s="1"/>
  <c r="BE30" i="1"/>
  <c r="AU30" i="1"/>
  <c r="AU61" i="1" s="1"/>
  <c r="D13" i="13"/>
  <c r="E13" i="13"/>
  <c r="BD19" i="3"/>
  <c r="BD18" i="3"/>
  <c r="BD10" i="2"/>
  <c r="BD17" i="2"/>
  <c r="BE17" i="2" s="1"/>
  <c r="BD15" i="2"/>
  <c r="BE15" i="2" s="1"/>
  <c r="BF15" i="2" s="1"/>
  <c r="BG15" i="2" s="1"/>
  <c r="BH15" i="2" s="1"/>
  <c r="BI15" i="2" s="1"/>
  <c r="BJ15" i="2" s="1"/>
  <c r="BK15" i="2" s="1"/>
  <c r="BL15" i="2" s="1"/>
  <c r="BM15" i="2" s="1"/>
  <c r="BG11" i="2"/>
  <c r="BH11" i="2" s="1"/>
  <c r="BI11" i="2" s="1"/>
  <c r="BD37" i="2"/>
  <c r="BD22" i="2"/>
  <c r="BD9" i="2"/>
  <c r="S19" i="14"/>
  <c r="S20" i="14"/>
  <c r="R19" i="14"/>
  <c r="R20" i="14" s="1"/>
  <c r="Q19" i="14"/>
  <c r="Q20" i="14" s="1"/>
  <c r="P19" i="14"/>
  <c r="O19" i="14"/>
  <c r="O20" i="14" s="1"/>
  <c r="N19" i="14"/>
  <c r="N20" i="14" s="1"/>
  <c r="M19" i="14"/>
  <c r="M20" i="14" s="1"/>
  <c r="L19" i="14"/>
  <c r="L20" i="14" s="1"/>
  <c r="K19" i="14"/>
  <c r="K20" i="14" s="1"/>
  <c r="J19" i="14"/>
  <c r="J20" i="14" s="1"/>
  <c r="I19" i="14"/>
  <c r="I20" i="14" s="1"/>
  <c r="H19" i="14"/>
  <c r="H20" i="14" s="1"/>
  <c r="G19" i="14"/>
  <c r="G20" i="14" s="1"/>
  <c r="F19" i="14"/>
  <c r="E19" i="14"/>
  <c r="E20" i="14" s="1"/>
  <c r="D19" i="14"/>
  <c r="D20" i="14" s="1"/>
  <c r="C19" i="14"/>
  <c r="C20" i="14" s="1"/>
  <c r="B20" i="14"/>
  <c r="B19" i="14"/>
  <c r="R16" i="14"/>
  <c r="R17" i="14" s="1"/>
  <c r="Q16" i="14"/>
  <c r="Q17" i="14" s="1"/>
  <c r="O16" i="14"/>
  <c r="O17" i="14" s="1"/>
  <c r="N16" i="14"/>
  <c r="N17" i="14" s="1"/>
  <c r="M16" i="14"/>
  <c r="M17" i="14" s="1"/>
  <c r="L16" i="14"/>
  <c r="L17" i="14" s="1"/>
  <c r="J16" i="14"/>
  <c r="J17" i="14" s="1"/>
  <c r="I16" i="14"/>
  <c r="I17" i="14" s="1"/>
  <c r="H16" i="14"/>
  <c r="H17" i="14" s="1"/>
  <c r="G16" i="14"/>
  <c r="G17" i="14" s="1"/>
  <c r="E16" i="14"/>
  <c r="E17" i="14" s="1"/>
  <c r="D16" i="14"/>
  <c r="D17" i="14" s="1"/>
  <c r="C16" i="14"/>
  <c r="C17" i="14" s="1"/>
  <c r="B16" i="14"/>
  <c r="B17" i="14" s="1"/>
  <c r="S16" i="14"/>
  <c r="S17" i="14" s="1"/>
  <c r="J28" i="13"/>
  <c r="I28" i="13"/>
  <c r="H28" i="13"/>
  <c r="G28" i="13"/>
  <c r="F30" i="13"/>
  <c r="F28" i="13"/>
  <c r="J15" i="13"/>
  <c r="I15" i="13"/>
  <c r="H15" i="13"/>
  <c r="F15" i="13"/>
  <c r="P9" i="14"/>
  <c r="AP8" i="1"/>
  <c r="F6" i="14"/>
  <c r="F8" i="14"/>
  <c r="F9" i="14"/>
  <c r="F5" i="14"/>
  <c r="F16" i="14" s="1"/>
  <c r="F17" i="14" s="1"/>
  <c r="K8" i="14"/>
  <c r="K9" i="14"/>
  <c r="K5" i="14"/>
  <c r="K6" i="14"/>
  <c r="P8" i="14"/>
  <c r="P5" i="14"/>
  <c r="P6" i="14"/>
  <c r="U8" i="14"/>
  <c r="U6" i="14"/>
  <c r="E50" i="13"/>
  <c r="E49" i="13"/>
  <c r="E48" i="13"/>
  <c r="D50" i="13"/>
  <c r="D49" i="13"/>
  <c r="D48" i="13"/>
  <c r="C52" i="13"/>
  <c r="C50" i="13"/>
  <c r="C49" i="13"/>
  <c r="C48" i="13"/>
  <c r="E41" i="13"/>
  <c r="E42" i="13" s="1"/>
  <c r="E38" i="13"/>
  <c r="E37" i="13"/>
  <c r="E36" i="13"/>
  <c r="E35" i="13"/>
  <c r="E34" i="13"/>
  <c r="E33" i="13"/>
  <c r="E39" i="13" s="1"/>
  <c r="E30" i="13"/>
  <c r="E29" i="13"/>
  <c r="E28" i="13"/>
  <c r="E27" i="13"/>
  <c r="E26" i="13"/>
  <c r="E25" i="13"/>
  <c r="E24" i="13"/>
  <c r="E31" i="13" s="1"/>
  <c r="D41" i="13"/>
  <c r="D42" i="13" s="1"/>
  <c r="D38" i="13"/>
  <c r="D37" i="13"/>
  <c r="D36" i="13"/>
  <c r="D35" i="13"/>
  <c r="D34" i="13"/>
  <c r="D33" i="13"/>
  <c r="D39" i="13" s="1"/>
  <c r="D30" i="13"/>
  <c r="D29" i="13"/>
  <c r="D28" i="13"/>
  <c r="D27" i="13"/>
  <c r="D26" i="13"/>
  <c r="D25" i="13"/>
  <c r="D24" i="13"/>
  <c r="D31" i="13" s="1"/>
  <c r="C41" i="13"/>
  <c r="C42" i="13" s="1"/>
  <c r="C37" i="13"/>
  <c r="C38" i="13"/>
  <c r="C36" i="13"/>
  <c r="C34" i="13"/>
  <c r="C35" i="13"/>
  <c r="C33" i="13"/>
  <c r="C39" i="13" s="1"/>
  <c r="C24" i="13"/>
  <c r="C28" i="13"/>
  <c r="C29" i="13"/>
  <c r="C30" i="13"/>
  <c r="C27" i="13"/>
  <c r="C25" i="13"/>
  <c r="C26" i="13"/>
  <c r="E18" i="13"/>
  <c r="D18" i="13"/>
  <c r="C18" i="13"/>
  <c r="E10" i="13"/>
  <c r="E7" i="13"/>
  <c r="D10" i="13"/>
  <c r="D7" i="13"/>
  <c r="C15" i="13"/>
  <c r="C14" i="13"/>
  <c r="C13" i="13"/>
  <c r="C10" i="13"/>
  <c r="C7" i="13"/>
  <c r="BD36" i="1"/>
  <c r="BE36" i="1" s="1"/>
  <c r="F62" i="6" s="1"/>
  <c r="C6" i="4"/>
  <c r="P14" i="10"/>
  <c r="P16" i="10" s="1"/>
  <c r="Q13" i="10"/>
  <c r="Q12" i="10"/>
  <c r="Q11" i="10"/>
  <c r="Q10" i="10"/>
  <c r="Q9" i="10"/>
  <c r="Q8" i="10"/>
  <c r="Q7" i="10"/>
  <c r="Q6" i="10"/>
  <c r="M12" i="10"/>
  <c r="M9" i="10"/>
  <c r="J5" i="10" s="1"/>
  <c r="G49" i="6"/>
  <c r="G34" i="6"/>
  <c r="G22" i="6"/>
  <c r="F60" i="6"/>
  <c r="F49" i="6"/>
  <c r="F34" i="6"/>
  <c r="F22" i="6"/>
  <c r="BD34" i="3"/>
  <c r="BD33" i="3"/>
  <c r="BD32" i="3"/>
  <c r="BD30" i="3"/>
  <c r="BD29" i="3"/>
  <c r="BJ34" i="2"/>
  <c r="BK34" i="2" s="1"/>
  <c r="BL34" i="2" s="1"/>
  <c r="BM34" i="2" s="1"/>
  <c r="BJ38" i="3"/>
  <c r="BD38" i="3"/>
  <c r="BE38" i="3" s="1"/>
  <c r="F50" i="13" s="1"/>
  <c r="BD26" i="3"/>
  <c r="BD25" i="3"/>
  <c r="BD24" i="3"/>
  <c r="BD23" i="3"/>
  <c r="BD38" i="2"/>
  <c r="BD36" i="2"/>
  <c r="BD35" i="2"/>
  <c r="BE38" i="2"/>
  <c r="BE37" i="2"/>
  <c r="BF37" i="2" s="1"/>
  <c r="BG37" i="2" s="1"/>
  <c r="BH37" i="2" s="1"/>
  <c r="BI37" i="2" s="1"/>
  <c r="BE36" i="2"/>
  <c r="BF36" i="2" s="1"/>
  <c r="BG36" i="2" s="1"/>
  <c r="BH36" i="2" s="1"/>
  <c r="BI36" i="2" s="1"/>
  <c r="BJ36" i="2" s="1"/>
  <c r="BK36" i="2" s="1"/>
  <c r="BL36" i="2" s="1"/>
  <c r="BM36" i="2" s="1"/>
  <c r="BE35" i="2"/>
  <c r="BF35" i="2" s="1"/>
  <c r="BE34" i="2"/>
  <c r="BD29" i="2"/>
  <c r="BE29" i="2" s="1"/>
  <c r="BD27" i="2"/>
  <c r="BD24" i="2"/>
  <c r="BE24" i="2" s="1"/>
  <c r="BD23" i="2"/>
  <c r="BE23" i="2" s="1"/>
  <c r="BD16" i="2"/>
  <c r="BE16" i="2"/>
  <c r="F29" i="13" s="1"/>
  <c r="F26" i="13"/>
  <c r="BE10" i="2"/>
  <c r="BF10" i="2" s="1"/>
  <c r="BG10" i="2" s="1"/>
  <c r="BH10" i="2" s="1"/>
  <c r="BI10" i="2" s="1"/>
  <c r="BE9" i="2"/>
  <c r="BF9" i="2" s="1"/>
  <c r="BD17" i="3"/>
  <c r="BD16" i="3"/>
  <c r="BD15" i="3"/>
  <c r="BE15" i="3" s="1"/>
  <c r="BD13" i="3"/>
  <c r="BF13" i="3" s="1"/>
  <c r="BG13" i="3" s="1"/>
  <c r="BH13" i="3" s="1"/>
  <c r="BI13" i="3" s="1"/>
  <c r="BD11" i="3"/>
  <c r="BI11" i="3" s="1"/>
  <c r="BD10" i="3"/>
  <c r="BF10" i="3" s="1"/>
  <c r="BG10" i="3" s="1"/>
  <c r="BH10" i="3" s="1"/>
  <c r="BI10" i="3" s="1"/>
  <c r="BD9" i="3"/>
  <c r="BF9" i="3" s="1"/>
  <c r="BG9" i="3" s="1"/>
  <c r="BH9" i="3" s="1"/>
  <c r="BI9" i="3" s="1"/>
  <c r="C62" i="6"/>
  <c r="D62" i="6"/>
  <c r="E62" i="6"/>
  <c r="XDY33" i="6"/>
  <c r="XDX33" i="6"/>
  <c r="XDW33" i="6"/>
  <c r="XDV33" i="6"/>
  <c r="XDU33" i="6"/>
  <c r="XDT33" i="6"/>
  <c r="XDS33" i="6"/>
  <c r="XDR33" i="6"/>
  <c r="XDQ33" i="6"/>
  <c r="XDP33" i="6"/>
  <c r="XDO33" i="6"/>
  <c r="XDN33" i="6"/>
  <c r="XDM33" i="6"/>
  <c r="XDL33" i="6"/>
  <c r="XDK33" i="6"/>
  <c r="XDJ33" i="6"/>
  <c r="XDI33" i="6"/>
  <c r="XDH33" i="6"/>
  <c r="XDG33" i="6"/>
  <c r="XDF33" i="6"/>
  <c r="XDE33" i="6"/>
  <c r="XDD33" i="6"/>
  <c r="XDC33" i="6"/>
  <c r="XDB33" i="6"/>
  <c r="XDA33" i="6"/>
  <c r="XCZ33" i="6"/>
  <c r="XCY33" i="6"/>
  <c r="XCX33" i="6"/>
  <c r="XCW33" i="6"/>
  <c r="XCV33" i="6"/>
  <c r="XCU33" i="6"/>
  <c r="XCT33" i="6"/>
  <c r="XCS33" i="6"/>
  <c r="XCR33" i="6"/>
  <c r="XCQ33" i="6"/>
  <c r="XCP33" i="6"/>
  <c r="XCO33" i="6"/>
  <c r="XCN33" i="6"/>
  <c r="XCM33" i="6"/>
  <c r="XCL33" i="6"/>
  <c r="XCK33" i="6"/>
  <c r="XCJ33" i="6"/>
  <c r="XCI33" i="6"/>
  <c r="XCH33" i="6"/>
  <c r="XCG33" i="6"/>
  <c r="XCF33" i="6"/>
  <c r="XCE33" i="6"/>
  <c r="XCD33" i="6"/>
  <c r="XCC33" i="6"/>
  <c r="XCB33" i="6"/>
  <c r="XCA33" i="6"/>
  <c r="XBZ33" i="6"/>
  <c r="XBY33" i="6"/>
  <c r="XBX33" i="6"/>
  <c r="XBW33" i="6"/>
  <c r="XBV33" i="6"/>
  <c r="XBU33" i="6"/>
  <c r="XBT33" i="6"/>
  <c r="XBS33" i="6"/>
  <c r="XBR33" i="6"/>
  <c r="XBQ33" i="6"/>
  <c r="XBP33" i="6"/>
  <c r="XBO33" i="6"/>
  <c r="XBN33" i="6"/>
  <c r="XBM33" i="6"/>
  <c r="XBL33" i="6"/>
  <c r="XBK33" i="6"/>
  <c r="XBJ33" i="6"/>
  <c r="XBI33" i="6"/>
  <c r="XBH33" i="6"/>
  <c r="XBG33" i="6"/>
  <c r="XBF33" i="6"/>
  <c r="XBE33" i="6"/>
  <c r="XBD33" i="6"/>
  <c r="XBC33" i="6"/>
  <c r="XBB33" i="6"/>
  <c r="XBA33" i="6"/>
  <c r="XAZ33" i="6"/>
  <c r="XAY33" i="6"/>
  <c r="XAX33" i="6"/>
  <c r="XAW33" i="6"/>
  <c r="XAV33" i="6"/>
  <c r="XAU33" i="6"/>
  <c r="XAT33" i="6"/>
  <c r="XAS33" i="6"/>
  <c r="XAR33" i="6"/>
  <c r="XAQ33" i="6"/>
  <c r="XAP33" i="6"/>
  <c r="XAO33" i="6"/>
  <c r="XAN33" i="6"/>
  <c r="XAM33" i="6"/>
  <c r="XAL33" i="6"/>
  <c r="XAK33" i="6"/>
  <c r="XAJ33" i="6"/>
  <c r="XAI33" i="6"/>
  <c r="XAH33" i="6"/>
  <c r="XAG33" i="6"/>
  <c r="XAF33" i="6"/>
  <c r="XAE33" i="6"/>
  <c r="XAD33" i="6"/>
  <c r="XAC33" i="6"/>
  <c r="XAB33" i="6"/>
  <c r="XAA33" i="6"/>
  <c r="WZZ33" i="6"/>
  <c r="WZY33" i="6"/>
  <c r="WZX33" i="6"/>
  <c r="WZW33" i="6"/>
  <c r="WZV33" i="6"/>
  <c r="WZU33" i="6"/>
  <c r="WZT33" i="6"/>
  <c r="WZS33" i="6"/>
  <c r="WZR33" i="6"/>
  <c r="WZQ33" i="6"/>
  <c r="WZP33" i="6"/>
  <c r="WZO33" i="6"/>
  <c r="WZN33" i="6"/>
  <c r="WZM33" i="6"/>
  <c r="WZL33" i="6"/>
  <c r="WZK33" i="6"/>
  <c r="WZJ33" i="6"/>
  <c r="WZI33" i="6"/>
  <c r="WZH33" i="6"/>
  <c r="WZG33" i="6"/>
  <c r="WZF33" i="6"/>
  <c r="WZE33" i="6"/>
  <c r="WZD33" i="6"/>
  <c r="WZC33" i="6"/>
  <c r="WZB33" i="6"/>
  <c r="WZA33" i="6"/>
  <c r="WYZ33" i="6"/>
  <c r="WYY33" i="6"/>
  <c r="WYX33" i="6"/>
  <c r="WYW33" i="6"/>
  <c r="WYV33" i="6"/>
  <c r="WYU33" i="6"/>
  <c r="WYT33" i="6"/>
  <c r="WYS33" i="6"/>
  <c r="WYR33" i="6"/>
  <c r="WYQ33" i="6"/>
  <c r="WYP33" i="6"/>
  <c r="WYO33" i="6"/>
  <c r="WYN33" i="6"/>
  <c r="WYM33" i="6"/>
  <c r="WYL33" i="6"/>
  <c r="WYK33" i="6"/>
  <c r="WYJ33" i="6"/>
  <c r="WYI33" i="6"/>
  <c r="WYH33" i="6"/>
  <c r="WYG33" i="6"/>
  <c r="WYF33" i="6"/>
  <c r="WYE33" i="6"/>
  <c r="WYD33" i="6"/>
  <c r="WYC33" i="6"/>
  <c r="WYB33" i="6"/>
  <c r="WYA33" i="6"/>
  <c r="WXZ33" i="6"/>
  <c r="WXY33" i="6"/>
  <c r="WXX33" i="6"/>
  <c r="WXW33" i="6"/>
  <c r="WXV33" i="6"/>
  <c r="WXU33" i="6"/>
  <c r="WXT33" i="6"/>
  <c r="WXS33" i="6"/>
  <c r="WXR33" i="6"/>
  <c r="WXQ33" i="6"/>
  <c r="WXP33" i="6"/>
  <c r="WXO33" i="6"/>
  <c r="WXN33" i="6"/>
  <c r="WXM33" i="6"/>
  <c r="WXL33" i="6"/>
  <c r="WXK33" i="6"/>
  <c r="WXJ33" i="6"/>
  <c r="WXI33" i="6"/>
  <c r="WXH33" i="6"/>
  <c r="WXG33" i="6"/>
  <c r="WXF33" i="6"/>
  <c r="WXE33" i="6"/>
  <c r="WXD33" i="6"/>
  <c r="WXC33" i="6"/>
  <c r="WXB33" i="6"/>
  <c r="WXA33" i="6"/>
  <c r="WWZ33" i="6"/>
  <c r="WWY33" i="6"/>
  <c r="WWX33" i="6"/>
  <c r="WWW33" i="6"/>
  <c r="WWV33" i="6"/>
  <c r="WWU33" i="6"/>
  <c r="WWT33" i="6"/>
  <c r="WWS33" i="6"/>
  <c r="WWR33" i="6"/>
  <c r="WWQ33" i="6"/>
  <c r="WWP33" i="6"/>
  <c r="WWO33" i="6"/>
  <c r="WWN33" i="6"/>
  <c r="WWM33" i="6"/>
  <c r="WWL33" i="6"/>
  <c r="WWK33" i="6"/>
  <c r="WWJ33" i="6"/>
  <c r="WWI33" i="6"/>
  <c r="WWH33" i="6"/>
  <c r="WWG33" i="6"/>
  <c r="WWF33" i="6"/>
  <c r="WWE33" i="6"/>
  <c r="WWD33" i="6"/>
  <c r="WWC33" i="6"/>
  <c r="WWB33" i="6"/>
  <c r="WWA33" i="6"/>
  <c r="WVZ33" i="6"/>
  <c r="WVY33" i="6"/>
  <c r="WVX33" i="6"/>
  <c r="WVW33" i="6"/>
  <c r="WVV33" i="6"/>
  <c r="WVU33" i="6"/>
  <c r="WVT33" i="6"/>
  <c r="WVS33" i="6"/>
  <c r="WVR33" i="6"/>
  <c r="WVQ33" i="6"/>
  <c r="WVP33" i="6"/>
  <c r="WVO33" i="6"/>
  <c r="WVN33" i="6"/>
  <c r="WVM33" i="6"/>
  <c r="WVL33" i="6"/>
  <c r="WVK33" i="6"/>
  <c r="WVJ33" i="6"/>
  <c r="WVI33" i="6"/>
  <c r="WVH33" i="6"/>
  <c r="WVG33" i="6"/>
  <c r="WVF33" i="6"/>
  <c r="WVE33" i="6"/>
  <c r="WVD33" i="6"/>
  <c r="WVC33" i="6"/>
  <c r="WVB33" i="6"/>
  <c r="WVA33" i="6"/>
  <c r="WUZ33" i="6"/>
  <c r="WUY33" i="6"/>
  <c r="WUX33" i="6"/>
  <c r="WUW33" i="6"/>
  <c r="WUV33" i="6"/>
  <c r="WUU33" i="6"/>
  <c r="WUT33" i="6"/>
  <c r="WUS33" i="6"/>
  <c r="WUR33" i="6"/>
  <c r="WUQ33" i="6"/>
  <c r="WUP33" i="6"/>
  <c r="WUO33" i="6"/>
  <c r="WUN33" i="6"/>
  <c r="WUM33" i="6"/>
  <c r="WUL33" i="6"/>
  <c r="WUK33" i="6"/>
  <c r="WUJ33" i="6"/>
  <c r="WUI33" i="6"/>
  <c r="WUH33" i="6"/>
  <c r="WUG33" i="6"/>
  <c r="WUF33" i="6"/>
  <c r="WUE33" i="6"/>
  <c r="WUD33" i="6"/>
  <c r="WUC33" i="6"/>
  <c r="WUB33" i="6"/>
  <c r="WUA33" i="6"/>
  <c r="WTZ33" i="6"/>
  <c r="WTY33" i="6"/>
  <c r="WTX33" i="6"/>
  <c r="WTW33" i="6"/>
  <c r="WTV33" i="6"/>
  <c r="WTU33" i="6"/>
  <c r="WTT33" i="6"/>
  <c r="WTS33" i="6"/>
  <c r="WTR33" i="6"/>
  <c r="WTQ33" i="6"/>
  <c r="WTP33" i="6"/>
  <c r="WTO33" i="6"/>
  <c r="WTN33" i="6"/>
  <c r="WTM33" i="6"/>
  <c r="WTL33" i="6"/>
  <c r="WTK33" i="6"/>
  <c r="WTJ33" i="6"/>
  <c r="WTI33" i="6"/>
  <c r="WTH33" i="6"/>
  <c r="WTG33" i="6"/>
  <c r="WTF33" i="6"/>
  <c r="WTE33" i="6"/>
  <c r="WTD33" i="6"/>
  <c r="WTC33" i="6"/>
  <c r="WTB33" i="6"/>
  <c r="WTA33" i="6"/>
  <c r="WSZ33" i="6"/>
  <c r="WSY33" i="6"/>
  <c r="WSX33" i="6"/>
  <c r="WSW33" i="6"/>
  <c r="WSV33" i="6"/>
  <c r="WSU33" i="6"/>
  <c r="WST33" i="6"/>
  <c r="WSS33" i="6"/>
  <c r="WSR33" i="6"/>
  <c r="WSQ33" i="6"/>
  <c r="WSP33" i="6"/>
  <c r="WSO33" i="6"/>
  <c r="WSN33" i="6"/>
  <c r="WSM33" i="6"/>
  <c r="WSL33" i="6"/>
  <c r="WSK33" i="6"/>
  <c r="WSJ33" i="6"/>
  <c r="WSI33" i="6"/>
  <c r="WSH33" i="6"/>
  <c r="WSG33" i="6"/>
  <c r="WSF33" i="6"/>
  <c r="WSE33" i="6"/>
  <c r="WSD33" i="6"/>
  <c r="WSC33" i="6"/>
  <c r="WSB33" i="6"/>
  <c r="WSA33" i="6"/>
  <c r="WRZ33" i="6"/>
  <c r="WRY33" i="6"/>
  <c r="WRX33" i="6"/>
  <c r="WRW33" i="6"/>
  <c r="WRV33" i="6"/>
  <c r="WRU33" i="6"/>
  <c r="WRT33" i="6"/>
  <c r="WRS33" i="6"/>
  <c r="WRR33" i="6"/>
  <c r="WRQ33" i="6"/>
  <c r="WRP33" i="6"/>
  <c r="WRO33" i="6"/>
  <c r="WRN33" i="6"/>
  <c r="WRM33" i="6"/>
  <c r="WRL33" i="6"/>
  <c r="WRK33" i="6"/>
  <c r="WRJ33" i="6"/>
  <c r="WRI33" i="6"/>
  <c r="WRH33" i="6"/>
  <c r="WRG33" i="6"/>
  <c r="WRF33" i="6"/>
  <c r="WRE33" i="6"/>
  <c r="WRD33" i="6"/>
  <c r="WRC33" i="6"/>
  <c r="WRB33" i="6"/>
  <c r="WRA33" i="6"/>
  <c r="WQZ33" i="6"/>
  <c r="WQY33" i="6"/>
  <c r="WQX33" i="6"/>
  <c r="WQW33" i="6"/>
  <c r="WQV33" i="6"/>
  <c r="WQU33" i="6"/>
  <c r="WQT33" i="6"/>
  <c r="WQS33" i="6"/>
  <c r="WQR33" i="6"/>
  <c r="WQQ33" i="6"/>
  <c r="WQP33" i="6"/>
  <c r="WQO33" i="6"/>
  <c r="WQN33" i="6"/>
  <c r="WQM33" i="6"/>
  <c r="WQL33" i="6"/>
  <c r="WQK33" i="6"/>
  <c r="WQJ33" i="6"/>
  <c r="WQI33" i="6"/>
  <c r="WQH33" i="6"/>
  <c r="WQG33" i="6"/>
  <c r="WQF33" i="6"/>
  <c r="WQE33" i="6"/>
  <c r="WQD33" i="6"/>
  <c r="WQC33" i="6"/>
  <c r="WQB33" i="6"/>
  <c r="WQA33" i="6"/>
  <c r="WPZ33" i="6"/>
  <c r="WPY33" i="6"/>
  <c r="WPX33" i="6"/>
  <c r="WPW33" i="6"/>
  <c r="WPV33" i="6"/>
  <c r="WPU33" i="6"/>
  <c r="WPT33" i="6"/>
  <c r="WPS33" i="6"/>
  <c r="WPR33" i="6"/>
  <c r="WPQ33" i="6"/>
  <c r="WPP33" i="6"/>
  <c r="WPO33" i="6"/>
  <c r="WPN33" i="6"/>
  <c r="WPM33" i="6"/>
  <c r="WPL33" i="6"/>
  <c r="WPK33" i="6"/>
  <c r="WPJ33" i="6"/>
  <c r="WPI33" i="6"/>
  <c r="WPH33" i="6"/>
  <c r="WPG33" i="6"/>
  <c r="WPF33" i="6"/>
  <c r="WPE33" i="6"/>
  <c r="WPD33" i="6"/>
  <c r="WPC33" i="6"/>
  <c r="WPB33" i="6"/>
  <c r="WPA33" i="6"/>
  <c r="WOZ33" i="6"/>
  <c r="WOY33" i="6"/>
  <c r="WOX33" i="6"/>
  <c r="WOW33" i="6"/>
  <c r="WOV33" i="6"/>
  <c r="WOU33" i="6"/>
  <c r="WOT33" i="6"/>
  <c r="WOS33" i="6"/>
  <c r="WOR33" i="6"/>
  <c r="WOQ33" i="6"/>
  <c r="WOP33" i="6"/>
  <c r="WOO33" i="6"/>
  <c r="WON33" i="6"/>
  <c r="WOM33" i="6"/>
  <c r="WOL33" i="6"/>
  <c r="WOK33" i="6"/>
  <c r="WOJ33" i="6"/>
  <c r="WOI33" i="6"/>
  <c r="WOH33" i="6"/>
  <c r="WOG33" i="6"/>
  <c r="WOF33" i="6"/>
  <c r="WOE33" i="6"/>
  <c r="WOD33" i="6"/>
  <c r="WOC33" i="6"/>
  <c r="WOB33" i="6"/>
  <c r="WOA33" i="6"/>
  <c r="WNZ33" i="6"/>
  <c r="WNY33" i="6"/>
  <c r="WNX33" i="6"/>
  <c r="WNW33" i="6"/>
  <c r="WNV33" i="6"/>
  <c r="WNU33" i="6"/>
  <c r="WNT33" i="6"/>
  <c r="WNS33" i="6"/>
  <c r="WNR33" i="6"/>
  <c r="WNQ33" i="6"/>
  <c r="WNP33" i="6"/>
  <c r="WNO33" i="6"/>
  <c r="WNN33" i="6"/>
  <c r="WNM33" i="6"/>
  <c r="WNL33" i="6"/>
  <c r="WNK33" i="6"/>
  <c r="WNJ33" i="6"/>
  <c r="WNI33" i="6"/>
  <c r="WNH33" i="6"/>
  <c r="WNG33" i="6"/>
  <c r="WNF33" i="6"/>
  <c r="WNE33" i="6"/>
  <c r="WND33" i="6"/>
  <c r="WNC33" i="6"/>
  <c r="WNB33" i="6"/>
  <c r="WNA33" i="6"/>
  <c r="WMZ33" i="6"/>
  <c r="WMY33" i="6"/>
  <c r="WMX33" i="6"/>
  <c r="WMW33" i="6"/>
  <c r="WMV33" i="6"/>
  <c r="WMU33" i="6"/>
  <c r="WMT33" i="6"/>
  <c r="WMS33" i="6"/>
  <c r="WMR33" i="6"/>
  <c r="WMQ33" i="6"/>
  <c r="WMP33" i="6"/>
  <c r="WMO33" i="6"/>
  <c r="WMN33" i="6"/>
  <c r="WMM33" i="6"/>
  <c r="WML33" i="6"/>
  <c r="WMK33" i="6"/>
  <c r="WMJ33" i="6"/>
  <c r="WMI33" i="6"/>
  <c r="WMH33" i="6"/>
  <c r="WMG33" i="6"/>
  <c r="WMF33" i="6"/>
  <c r="WME33" i="6"/>
  <c r="WMD33" i="6"/>
  <c r="WMC33" i="6"/>
  <c r="WMB33" i="6"/>
  <c r="WMA33" i="6"/>
  <c r="WLZ33" i="6"/>
  <c r="WLY33" i="6"/>
  <c r="WLX33" i="6"/>
  <c r="WLW33" i="6"/>
  <c r="WLV33" i="6"/>
  <c r="WLU33" i="6"/>
  <c r="WLT33" i="6"/>
  <c r="WLS33" i="6"/>
  <c r="WLR33" i="6"/>
  <c r="WLQ33" i="6"/>
  <c r="WLP33" i="6"/>
  <c r="WLO33" i="6"/>
  <c r="WLN33" i="6"/>
  <c r="WLM33" i="6"/>
  <c r="WLL33" i="6"/>
  <c r="WLK33" i="6"/>
  <c r="WLJ33" i="6"/>
  <c r="WLI33" i="6"/>
  <c r="WLH33" i="6"/>
  <c r="WLG33" i="6"/>
  <c r="WLF33" i="6"/>
  <c r="WLE33" i="6"/>
  <c r="WLD33" i="6"/>
  <c r="WLC33" i="6"/>
  <c r="WLB33" i="6"/>
  <c r="WLA33" i="6"/>
  <c r="WKZ33" i="6"/>
  <c r="WKY33" i="6"/>
  <c r="WKX33" i="6"/>
  <c r="WKW33" i="6"/>
  <c r="WKV33" i="6"/>
  <c r="WKU33" i="6"/>
  <c r="WKT33" i="6"/>
  <c r="WKS33" i="6"/>
  <c r="WKR33" i="6"/>
  <c r="WKQ33" i="6"/>
  <c r="WKP33" i="6"/>
  <c r="WKO33" i="6"/>
  <c r="WKN33" i="6"/>
  <c r="WKM33" i="6"/>
  <c r="WKL33" i="6"/>
  <c r="WKK33" i="6"/>
  <c r="WKJ33" i="6"/>
  <c r="WKI33" i="6"/>
  <c r="WKH33" i="6"/>
  <c r="WKG33" i="6"/>
  <c r="WKF33" i="6"/>
  <c r="WKE33" i="6"/>
  <c r="WKD33" i="6"/>
  <c r="WKC33" i="6"/>
  <c r="WKB33" i="6"/>
  <c r="WKA33" i="6"/>
  <c r="WJZ33" i="6"/>
  <c r="WJY33" i="6"/>
  <c r="WJX33" i="6"/>
  <c r="WJW33" i="6"/>
  <c r="WJV33" i="6"/>
  <c r="WJU33" i="6"/>
  <c r="WJT33" i="6"/>
  <c r="WJS33" i="6"/>
  <c r="WJR33" i="6"/>
  <c r="WJQ33" i="6"/>
  <c r="WJP33" i="6"/>
  <c r="WJO33" i="6"/>
  <c r="WJN33" i="6"/>
  <c r="WJM33" i="6"/>
  <c r="WJL33" i="6"/>
  <c r="WJK33" i="6"/>
  <c r="WJJ33" i="6"/>
  <c r="WJI33" i="6"/>
  <c r="WJH33" i="6"/>
  <c r="WJG33" i="6"/>
  <c r="WJF33" i="6"/>
  <c r="WJE33" i="6"/>
  <c r="WJD33" i="6"/>
  <c r="WJC33" i="6"/>
  <c r="WJB33" i="6"/>
  <c r="WJA33" i="6"/>
  <c r="WIZ33" i="6"/>
  <c r="WIY33" i="6"/>
  <c r="WIX33" i="6"/>
  <c r="WIW33" i="6"/>
  <c r="WIV33" i="6"/>
  <c r="WIU33" i="6"/>
  <c r="WIT33" i="6"/>
  <c r="WIS33" i="6"/>
  <c r="WIR33" i="6"/>
  <c r="WIQ33" i="6"/>
  <c r="WIP33" i="6"/>
  <c r="WIO33" i="6"/>
  <c r="WIN33" i="6"/>
  <c r="WIM33" i="6"/>
  <c r="WIL33" i="6"/>
  <c r="WIK33" i="6"/>
  <c r="WIJ33" i="6"/>
  <c r="WII33" i="6"/>
  <c r="WIH33" i="6"/>
  <c r="WIG33" i="6"/>
  <c r="WIF33" i="6"/>
  <c r="WIE33" i="6"/>
  <c r="WID33" i="6"/>
  <c r="WIC33" i="6"/>
  <c r="WIB33" i="6"/>
  <c r="WIA33" i="6"/>
  <c r="WHZ33" i="6"/>
  <c r="WHY33" i="6"/>
  <c r="WHX33" i="6"/>
  <c r="WHW33" i="6"/>
  <c r="WHV33" i="6"/>
  <c r="WHU33" i="6"/>
  <c r="WHT33" i="6"/>
  <c r="WHS33" i="6"/>
  <c r="WHR33" i="6"/>
  <c r="WHQ33" i="6"/>
  <c r="WHP33" i="6"/>
  <c r="WHO33" i="6"/>
  <c r="WHN33" i="6"/>
  <c r="WHM33" i="6"/>
  <c r="WHL33" i="6"/>
  <c r="WHK33" i="6"/>
  <c r="WHJ33" i="6"/>
  <c r="WHI33" i="6"/>
  <c r="WHH33" i="6"/>
  <c r="WHG33" i="6"/>
  <c r="WHF33" i="6"/>
  <c r="WHE33" i="6"/>
  <c r="WHD33" i="6"/>
  <c r="WHC33" i="6"/>
  <c r="WHB33" i="6"/>
  <c r="WHA33" i="6"/>
  <c r="WGZ33" i="6"/>
  <c r="WGY33" i="6"/>
  <c r="WGX33" i="6"/>
  <c r="WGW33" i="6"/>
  <c r="WGV33" i="6"/>
  <c r="WGU33" i="6"/>
  <c r="WGT33" i="6"/>
  <c r="WGS33" i="6"/>
  <c r="WGR33" i="6"/>
  <c r="WGQ33" i="6"/>
  <c r="WGP33" i="6"/>
  <c r="WGO33" i="6"/>
  <c r="WGN33" i="6"/>
  <c r="WGM33" i="6"/>
  <c r="WGL33" i="6"/>
  <c r="WGK33" i="6"/>
  <c r="WGJ33" i="6"/>
  <c r="WGI33" i="6"/>
  <c r="WGH33" i="6"/>
  <c r="WGG33" i="6"/>
  <c r="WGF33" i="6"/>
  <c r="WGE33" i="6"/>
  <c r="WGD33" i="6"/>
  <c r="WGC33" i="6"/>
  <c r="WGB33" i="6"/>
  <c r="WGA33" i="6"/>
  <c r="WFZ33" i="6"/>
  <c r="WFY33" i="6"/>
  <c r="WFX33" i="6"/>
  <c r="WFW33" i="6"/>
  <c r="WFV33" i="6"/>
  <c r="WFU33" i="6"/>
  <c r="WFT33" i="6"/>
  <c r="WFS33" i="6"/>
  <c r="WFR33" i="6"/>
  <c r="WFQ33" i="6"/>
  <c r="WFP33" i="6"/>
  <c r="WFO33" i="6"/>
  <c r="WFN33" i="6"/>
  <c r="WFM33" i="6"/>
  <c r="WFL33" i="6"/>
  <c r="WFK33" i="6"/>
  <c r="WFJ33" i="6"/>
  <c r="WFI33" i="6"/>
  <c r="WFH33" i="6"/>
  <c r="WFG33" i="6"/>
  <c r="WFF33" i="6"/>
  <c r="WFE33" i="6"/>
  <c r="WFD33" i="6"/>
  <c r="WFC33" i="6"/>
  <c r="WFB33" i="6"/>
  <c r="WFA33" i="6"/>
  <c r="WEZ33" i="6"/>
  <c r="WEY33" i="6"/>
  <c r="WEX33" i="6"/>
  <c r="WEW33" i="6"/>
  <c r="WEV33" i="6"/>
  <c r="WEU33" i="6"/>
  <c r="WET33" i="6"/>
  <c r="WES33" i="6"/>
  <c r="WER33" i="6"/>
  <c r="WEQ33" i="6"/>
  <c r="WEP33" i="6"/>
  <c r="WEO33" i="6"/>
  <c r="WEN33" i="6"/>
  <c r="WEM33" i="6"/>
  <c r="WEL33" i="6"/>
  <c r="WEK33" i="6"/>
  <c r="WEJ33" i="6"/>
  <c r="WEI33" i="6"/>
  <c r="WEH33" i="6"/>
  <c r="WEG33" i="6"/>
  <c r="WEF33" i="6"/>
  <c r="WEE33" i="6"/>
  <c r="WED33" i="6"/>
  <c r="WEC33" i="6"/>
  <c r="WEB33" i="6"/>
  <c r="WEA33" i="6"/>
  <c r="WDZ33" i="6"/>
  <c r="WDY33" i="6"/>
  <c r="WDX33" i="6"/>
  <c r="WDW33" i="6"/>
  <c r="WDV33" i="6"/>
  <c r="WDU33" i="6"/>
  <c r="WDT33" i="6"/>
  <c r="WDS33" i="6"/>
  <c r="WDR33" i="6"/>
  <c r="WDQ33" i="6"/>
  <c r="WDP33" i="6"/>
  <c r="WDO33" i="6"/>
  <c r="WDN33" i="6"/>
  <c r="WDM33" i="6"/>
  <c r="WDL33" i="6"/>
  <c r="WDK33" i="6"/>
  <c r="WDJ33" i="6"/>
  <c r="WDI33" i="6"/>
  <c r="WDH33" i="6"/>
  <c r="WDG33" i="6"/>
  <c r="WDF33" i="6"/>
  <c r="WDE33" i="6"/>
  <c r="WDD33" i="6"/>
  <c r="WDC33" i="6"/>
  <c r="WDB33" i="6"/>
  <c r="WDA33" i="6"/>
  <c r="WCZ33" i="6"/>
  <c r="WCY33" i="6"/>
  <c r="WCX33" i="6"/>
  <c r="WCW33" i="6"/>
  <c r="WCV33" i="6"/>
  <c r="WCU33" i="6"/>
  <c r="WCT33" i="6"/>
  <c r="WCS33" i="6"/>
  <c r="WCR33" i="6"/>
  <c r="WCQ33" i="6"/>
  <c r="WCP33" i="6"/>
  <c r="WCO33" i="6"/>
  <c r="WCN33" i="6"/>
  <c r="WCM33" i="6"/>
  <c r="WCL33" i="6"/>
  <c r="WCK33" i="6"/>
  <c r="WCJ33" i="6"/>
  <c r="WCI33" i="6"/>
  <c r="WCH33" i="6"/>
  <c r="WCG33" i="6"/>
  <c r="WCF33" i="6"/>
  <c r="WCE33" i="6"/>
  <c r="WCD33" i="6"/>
  <c r="WCC33" i="6"/>
  <c r="WCB33" i="6"/>
  <c r="WCA33" i="6"/>
  <c r="WBZ33" i="6"/>
  <c r="WBY33" i="6"/>
  <c r="WBX33" i="6"/>
  <c r="WBW33" i="6"/>
  <c r="WBV33" i="6"/>
  <c r="WBU33" i="6"/>
  <c r="WBT33" i="6"/>
  <c r="WBS33" i="6"/>
  <c r="WBR33" i="6"/>
  <c r="WBQ33" i="6"/>
  <c r="WBP33" i="6"/>
  <c r="WBO33" i="6"/>
  <c r="WBN33" i="6"/>
  <c r="WBM33" i="6"/>
  <c r="WBL33" i="6"/>
  <c r="WBK33" i="6"/>
  <c r="WBJ33" i="6"/>
  <c r="WBI33" i="6"/>
  <c r="WBH33" i="6"/>
  <c r="WBG33" i="6"/>
  <c r="WBF33" i="6"/>
  <c r="WBE33" i="6"/>
  <c r="WBD33" i="6"/>
  <c r="WBC33" i="6"/>
  <c r="WBB33" i="6"/>
  <c r="WBA33" i="6"/>
  <c r="WAZ33" i="6"/>
  <c r="WAY33" i="6"/>
  <c r="WAX33" i="6"/>
  <c r="WAW33" i="6"/>
  <c r="WAV33" i="6"/>
  <c r="WAU33" i="6"/>
  <c r="WAT33" i="6"/>
  <c r="WAS33" i="6"/>
  <c r="WAR33" i="6"/>
  <c r="WAQ33" i="6"/>
  <c r="WAP33" i="6"/>
  <c r="WAO33" i="6"/>
  <c r="WAN33" i="6"/>
  <c r="WAM33" i="6"/>
  <c r="WAL33" i="6"/>
  <c r="WAK33" i="6"/>
  <c r="WAJ33" i="6"/>
  <c r="WAI33" i="6"/>
  <c r="WAH33" i="6"/>
  <c r="WAG33" i="6"/>
  <c r="WAF33" i="6"/>
  <c r="WAE33" i="6"/>
  <c r="WAD33" i="6"/>
  <c r="WAC33" i="6"/>
  <c r="WAB33" i="6"/>
  <c r="WAA33" i="6"/>
  <c r="VZZ33" i="6"/>
  <c r="VZY33" i="6"/>
  <c r="VZX33" i="6"/>
  <c r="VZW33" i="6"/>
  <c r="VZV33" i="6"/>
  <c r="VZU33" i="6"/>
  <c r="VZT33" i="6"/>
  <c r="VZS33" i="6"/>
  <c r="VZR33" i="6"/>
  <c r="VZQ33" i="6"/>
  <c r="VZP33" i="6"/>
  <c r="VZO33" i="6"/>
  <c r="VZN33" i="6"/>
  <c r="VZM33" i="6"/>
  <c r="VZL33" i="6"/>
  <c r="VZK33" i="6"/>
  <c r="VZJ33" i="6"/>
  <c r="VZI33" i="6"/>
  <c r="VZH33" i="6"/>
  <c r="VZG33" i="6"/>
  <c r="VZF33" i="6"/>
  <c r="VZE33" i="6"/>
  <c r="VZD33" i="6"/>
  <c r="VZC33" i="6"/>
  <c r="VZB33" i="6"/>
  <c r="VZA33" i="6"/>
  <c r="VYZ33" i="6"/>
  <c r="VYY33" i="6"/>
  <c r="VYX33" i="6"/>
  <c r="VYW33" i="6"/>
  <c r="VYV33" i="6"/>
  <c r="VYU33" i="6"/>
  <c r="VYT33" i="6"/>
  <c r="VYS33" i="6"/>
  <c r="VYR33" i="6"/>
  <c r="VYQ33" i="6"/>
  <c r="VYP33" i="6"/>
  <c r="VYO33" i="6"/>
  <c r="VYN33" i="6"/>
  <c r="VYM33" i="6"/>
  <c r="VYL33" i="6"/>
  <c r="VYK33" i="6"/>
  <c r="VYJ33" i="6"/>
  <c r="VYI33" i="6"/>
  <c r="VYH33" i="6"/>
  <c r="VYG33" i="6"/>
  <c r="VYF33" i="6"/>
  <c r="VYE33" i="6"/>
  <c r="VYD33" i="6"/>
  <c r="VYC33" i="6"/>
  <c r="VYB33" i="6"/>
  <c r="VYA33" i="6"/>
  <c r="VXZ33" i="6"/>
  <c r="VXY33" i="6"/>
  <c r="VXX33" i="6"/>
  <c r="VXW33" i="6"/>
  <c r="VXV33" i="6"/>
  <c r="VXU33" i="6"/>
  <c r="VXT33" i="6"/>
  <c r="VXS33" i="6"/>
  <c r="VXR33" i="6"/>
  <c r="VXQ33" i="6"/>
  <c r="VXP33" i="6"/>
  <c r="VXO33" i="6"/>
  <c r="VXN33" i="6"/>
  <c r="VXM33" i="6"/>
  <c r="VXL33" i="6"/>
  <c r="VXK33" i="6"/>
  <c r="VXJ33" i="6"/>
  <c r="VXI33" i="6"/>
  <c r="VXH33" i="6"/>
  <c r="VXG33" i="6"/>
  <c r="VXF33" i="6"/>
  <c r="VXE33" i="6"/>
  <c r="VXD33" i="6"/>
  <c r="VXC33" i="6"/>
  <c r="VXB33" i="6"/>
  <c r="VXA33" i="6"/>
  <c r="VWZ33" i="6"/>
  <c r="VWY33" i="6"/>
  <c r="VWX33" i="6"/>
  <c r="VWW33" i="6"/>
  <c r="VWV33" i="6"/>
  <c r="VWU33" i="6"/>
  <c r="VWT33" i="6"/>
  <c r="VWS33" i="6"/>
  <c r="VWR33" i="6"/>
  <c r="VWQ33" i="6"/>
  <c r="VWP33" i="6"/>
  <c r="VWO33" i="6"/>
  <c r="VWN33" i="6"/>
  <c r="VWM33" i="6"/>
  <c r="VWL33" i="6"/>
  <c r="VWK33" i="6"/>
  <c r="VWJ33" i="6"/>
  <c r="VWI33" i="6"/>
  <c r="VWH33" i="6"/>
  <c r="VWG33" i="6"/>
  <c r="VWF33" i="6"/>
  <c r="VWE33" i="6"/>
  <c r="VWD33" i="6"/>
  <c r="VWC33" i="6"/>
  <c r="VWB33" i="6"/>
  <c r="VWA33" i="6"/>
  <c r="VVZ33" i="6"/>
  <c r="VVY33" i="6"/>
  <c r="VVX33" i="6"/>
  <c r="VVW33" i="6"/>
  <c r="VVV33" i="6"/>
  <c r="VVU33" i="6"/>
  <c r="VVT33" i="6"/>
  <c r="VVS33" i="6"/>
  <c r="VVR33" i="6"/>
  <c r="VVQ33" i="6"/>
  <c r="VVP33" i="6"/>
  <c r="VVO33" i="6"/>
  <c r="VVN33" i="6"/>
  <c r="VVM33" i="6"/>
  <c r="VVL33" i="6"/>
  <c r="VVK33" i="6"/>
  <c r="VVJ33" i="6"/>
  <c r="VVI33" i="6"/>
  <c r="VVH33" i="6"/>
  <c r="VVG33" i="6"/>
  <c r="VVF33" i="6"/>
  <c r="VVE33" i="6"/>
  <c r="VVD33" i="6"/>
  <c r="VVC33" i="6"/>
  <c r="VVB33" i="6"/>
  <c r="VVA33" i="6"/>
  <c r="VUZ33" i="6"/>
  <c r="VUY33" i="6"/>
  <c r="VUX33" i="6"/>
  <c r="VUW33" i="6"/>
  <c r="VUV33" i="6"/>
  <c r="VUU33" i="6"/>
  <c r="VUT33" i="6"/>
  <c r="VUS33" i="6"/>
  <c r="VUR33" i="6"/>
  <c r="VUQ33" i="6"/>
  <c r="VUP33" i="6"/>
  <c r="VUO33" i="6"/>
  <c r="VUN33" i="6"/>
  <c r="VUM33" i="6"/>
  <c r="VUL33" i="6"/>
  <c r="VUK33" i="6"/>
  <c r="VUJ33" i="6"/>
  <c r="VUI33" i="6"/>
  <c r="VUH33" i="6"/>
  <c r="VUG33" i="6"/>
  <c r="VUF33" i="6"/>
  <c r="VUE33" i="6"/>
  <c r="VUD33" i="6"/>
  <c r="VUC33" i="6"/>
  <c r="VUB33" i="6"/>
  <c r="VUA33" i="6"/>
  <c r="VTZ33" i="6"/>
  <c r="VTY33" i="6"/>
  <c r="VTX33" i="6"/>
  <c r="VTW33" i="6"/>
  <c r="VTV33" i="6"/>
  <c r="VTU33" i="6"/>
  <c r="VTT33" i="6"/>
  <c r="VTS33" i="6"/>
  <c r="VTR33" i="6"/>
  <c r="VTQ33" i="6"/>
  <c r="VTP33" i="6"/>
  <c r="VTO33" i="6"/>
  <c r="VTN33" i="6"/>
  <c r="VTM33" i="6"/>
  <c r="VTL33" i="6"/>
  <c r="VTK33" i="6"/>
  <c r="VTJ33" i="6"/>
  <c r="VTI33" i="6"/>
  <c r="VTH33" i="6"/>
  <c r="VTG33" i="6"/>
  <c r="VTF33" i="6"/>
  <c r="VTE33" i="6"/>
  <c r="VTD33" i="6"/>
  <c r="VTC33" i="6"/>
  <c r="VTB33" i="6"/>
  <c r="VTA33" i="6"/>
  <c r="VSZ33" i="6"/>
  <c r="VSY33" i="6"/>
  <c r="VSX33" i="6"/>
  <c r="VSW33" i="6"/>
  <c r="VSV33" i="6"/>
  <c r="VSU33" i="6"/>
  <c r="VST33" i="6"/>
  <c r="VSS33" i="6"/>
  <c r="VSR33" i="6"/>
  <c r="VSQ33" i="6"/>
  <c r="VSP33" i="6"/>
  <c r="VSO33" i="6"/>
  <c r="VSN33" i="6"/>
  <c r="VSM33" i="6"/>
  <c r="VSL33" i="6"/>
  <c r="VSK33" i="6"/>
  <c r="VSJ33" i="6"/>
  <c r="VSI33" i="6"/>
  <c r="VSH33" i="6"/>
  <c r="VSG33" i="6"/>
  <c r="VSF33" i="6"/>
  <c r="VSE33" i="6"/>
  <c r="VSD33" i="6"/>
  <c r="VSC33" i="6"/>
  <c r="VSB33" i="6"/>
  <c r="VSA33" i="6"/>
  <c r="VRZ33" i="6"/>
  <c r="VRY33" i="6"/>
  <c r="VRX33" i="6"/>
  <c r="VRW33" i="6"/>
  <c r="VRV33" i="6"/>
  <c r="VRU33" i="6"/>
  <c r="VRT33" i="6"/>
  <c r="VRS33" i="6"/>
  <c r="VRR33" i="6"/>
  <c r="VRQ33" i="6"/>
  <c r="VRP33" i="6"/>
  <c r="VRO33" i="6"/>
  <c r="VRN33" i="6"/>
  <c r="VRM33" i="6"/>
  <c r="VRL33" i="6"/>
  <c r="VRK33" i="6"/>
  <c r="VRJ33" i="6"/>
  <c r="VRI33" i="6"/>
  <c r="VRH33" i="6"/>
  <c r="VRG33" i="6"/>
  <c r="VRF33" i="6"/>
  <c r="VRE33" i="6"/>
  <c r="VRD33" i="6"/>
  <c r="VRC33" i="6"/>
  <c r="VRB33" i="6"/>
  <c r="VRA33" i="6"/>
  <c r="VQZ33" i="6"/>
  <c r="VQY33" i="6"/>
  <c r="VQX33" i="6"/>
  <c r="VQW33" i="6"/>
  <c r="VQV33" i="6"/>
  <c r="VQU33" i="6"/>
  <c r="VQT33" i="6"/>
  <c r="VQS33" i="6"/>
  <c r="VQR33" i="6"/>
  <c r="VQQ33" i="6"/>
  <c r="VQP33" i="6"/>
  <c r="VQO33" i="6"/>
  <c r="VQN33" i="6"/>
  <c r="VQM33" i="6"/>
  <c r="VQL33" i="6"/>
  <c r="VQK33" i="6"/>
  <c r="VQJ33" i="6"/>
  <c r="VQI33" i="6"/>
  <c r="VQH33" i="6"/>
  <c r="VQG33" i="6"/>
  <c r="VQF33" i="6"/>
  <c r="VQE33" i="6"/>
  <c r="VQD33" i="6"/>
  <c r="VQC33" i="6"/>
  <c r="VQB33" i="6"/>
  <c r="VQA33" i="6"/>
  <c r="VPZ33" i="6"/>
  <c r="VPY33" i="6"/>
  <c r="VPX33" i="6"/>
  <c r="VPW33" i="6"/>
  <c r="VPV33" i="6"/>
  <c r="VPU33" i="6"/>
  <c r="VPT33" i="6"/>
  <c r="VPS33" i="6"/>
  <c r="VPR33" i="6"/>
  <c r="VPQ33" i="6"/>
  <c r="VPP33" i="6"/>
  <c r="VPO33" i="6"/>
  <c r="VPN33" i="6"/>
  <c r="VPM33" i="6"/>
  <c r="VPL33" i="6"/>
  <c r="VPK33" i="6"/>
  <c r="VPJ33" i="6"/>
  <c r="VPI33" i="6"/>
  <c r="VPH33" i="6"/>
  <c r="VPG33" i="6"/>
  <c r="VPF33" i="6"/>
  <c r="VPE33" i="6"/>
  <c r="VPD33" i="6"/>
  <c r="VPC33" i="6"/>
  <c r="VPB33" i="6"/>
  <c r="VPA33" i="6"/>
  <c r="VOZ33" i="6"/>
  <c r="VOY33" i="6"/>
  <c r="VOX33" i="6"/>
  <c r="VOW33" i="6"/>
  <c r="VOV33" i="6"/>
  <c r="VOU33" i="6"/>
  <c r="VOT33" i="6"/>
  <c r="VOS33" i="6"/>
  <c r="VOR33" i="6"/>
  <c r="VOQ33" i="6"/>
  <c r="VOP33" i="6"/>
  <c r="VOO33" i="6"/>
  <c r="VON33" i="6"/>
  <c r="VOM33" i="6"/>
  <c r="VOL33" i="6"/>
  <c r="VOK33" i="6"/>
  <c r="VOJ33" i="6"/>
  <c r="VOI33" i="6"/>
  <c r="VOH33" i="6"/>
  <c r="VOG33" i="6"/>
  <c r="VOF33" i="6"/>
  <c r="VOE33" i="6"/>
  <c r="VOD33" i="6"/>
  <c r="VOC33" i="6"/>
  <c r="VOB33" i="6"/>
  <c r="VOA33" i="6"/>
  <c r="VNZ33" i="6"/>
  <c r="VNY33" i="6"/>
  <c r="VNX33" i="6"/>
  <c r="VNW33" i="6"/>
  <c r="VNV33" i="6"/>
  <c r="VNU33" i="6"/>
  <c r="VNT33" i="6"/>
  <c r="VNS33" i="6"/>
  <c r="VNR33" i="6"/>
  <c r="VNQ33" i="6"/>
  <c r="VNP33" i="6"/>
  <c r="VNO33" i="6"/>
  <c r="VNN33" i="6"/>
  <c r="VNM33" i="6"/>
  <c r="VNL33" i="6"/>
  <c r="VNK33" i="6"/>
  <c r="VNJ33" i="6"/>
  <c r="VNI33" i="6"/>
  <c r="VNH33" i="6"/>
  <c r="VNG33" i="6"/>
  <c r="VNF33" i="6"/>
  <c r="VNE33" i="6"/>
  <c r="VND33" i="6"/>
  <c r="VNC33" i="6"/>
  <c r="VNB33" i="6"/>
  <c r="VNA33" i="6"/>
  <c r="VMZ33" i="6"/>
  <c r="VMY33" i="6"/>
  <c r="VMX33" i="6"/>
  <c r="VMW33" i="6"/>
  <c r="VMV33" i="6"/>
  <c r="VMU33" i="6"/>
  <c r="VMT33" i="6"/>
  <c r="VMS33" i="6"/>
  <c r="VMR33" i="6"/>
  <c r="VMQ33" i="6"/>
  <c r="VMP33" i="6"/>
  <c r="VMO33" i="6"/>
  <c r="VMN33" i="6"/>
  <c r="VMM33" i="6"/>
  <c r="VML33" i="6"/>
  <c r="VMK33" i="6"/>
  <c r="VMJ33" i="6"/>
  <c r="VMI33" i="6"/>
  <c r="VMH33" i="6"/>
  <c r="VMG33" i="6"/>
  <c r="VMF33" i="6"/>
  <c r="VME33" i="6"/>
  <c r="VMD33" i="6"/>
  <c r="VMC33" i="6"/>
  <c r="VMB33" i="6"/>
  <c r="VMA33" i="6"/>
  <c r="VLZ33" i="6"/>
  <c r="VLY33" i="6"/>
  <c r="VLX33" i="6"/>
  <c r="VLW33" i="6"/>
  <c r="VLV33" i="6"/>
  <c r="VLU33" i="6"/>
  <c r="VLT33" i="6"/>
  <c r="VLS33" i="6"/>
  <c r="VLR33" i="6"/>
  <c r="VLQ33" i="6"/>
  <c r="VLP33" i="6"/>
  <c r="VLO33" i="6"/>
  <c r="VLN33" i="6"/>
  <c r="VLM33" i="6"/>
  <c r="VLL33" i="6"/>
  <c r="VLK33" i="6"/>
  <c r="VLJ33" i="6"/>
  <c r="VLI33" i="6"/>
  <c r="VLH33" i="6"/>
  <c r="VLG33" i="6"/>
  <c r="VLF33" i="6"/>
  <c r="VLE33" i="6"/>
  <c r="VLD33" i="6"/>
  <c r="VLC33" i="6"/>
  <c r="VLB33" i="6"/>
  <c r="VLA33" i="6"/>
  <c r="VKZ33" i="6"/>
  <c r="VKY33" i="6"/>
  <c r="VKX33" i="6"/>
  <c r="VKW33" i="6"/>
  <c r="VKV33" i="6"/>
  <c r="VKU33" i="6"/>
  <c r="VKT33" i="6"/>
  <c r="VKS33" i="6"/>
  <c r="VKR33" i="6"/>
  <c r="VKQ33" i="6"/>
  <c r="VKP33" i="6"/>
  <c r="VKO33" i="6"/>
  <c r="VKN33" i="6"/>
  <c r="VKM33" i="6"/>
  <c r="VKL33" i="6"/>
  <c r="VKK33" i="6"/>
  <c r="VKJ33" i="6"/>
  <c r="VKI33" i="6"/>
  <c r="VKH33" i="6"/>
  <c r="VKG33" i="6"/>
  <c r="VKF33" i="6"/>
  <c r="VKE33" i="6"/>
  <c r="VKD33" i="6"/>
  <c r="VKC33" i="6"/>
  <c r="VKB33" i="6"/>
  <c r="VKA33" i="6"/>
  <c r="VJZ33" i="6"/>
  <c r="VJY33" i="6"/>
  <c r="VJX33" i="6"/>
  <c r="VJW33" i="6"/>
  <c r="VJV33" i="6"/>
  <c r="VJU33" i="6"/>
  <c r="VJT33" i="6"/>
  <c r="VJS33" i="6"/>
  <c r="VJR33" i="6"/>
  <c r="VJQ33" i="6"/>
  <c r="VJP33" i="6"/>
  <c r="VJO33" i="6"/>
  <c r="VJN33" i="6"/>
  <c r="VJM33" i="6"/>
  <c r="VJL33" i="6"/>
  <c r="VJK33" i="6"/>
  <c r="VJJ33" i="6"/>
  <c r="VJI33" i="6"/>
  <c r="VJH33" i="6"/>
  <c r="VJG33" i="6"/>
  <c r="VJF33" i="6"/>
  <c r="VJE33" i="6"/>
  <c r="VJD33" i="6"/>
  <c r="VJC33" i="6"/>
  <c r="VJB33" i="6"/>
  <c r="VJA33" i="6"/>
  <c r="VIZ33" i="6"/>
  <c r="VIY33" i="6"/>
  <c r="VIX33" i="6"/>
  <c r="VIW33" i="6"/>
  <c r="VIV33" i="6"/>
  <c r="VIU33" i="6"/>
  <c r="VIT33" i="6"/>
  <c r="VIS33" i="6"/>
  <c r="VIR33" i="6"/>
  <c r="VIQ33" i="6"/>
  <c r="VIP33" i="6"/>
  <c r="VIO33" i="6"/>
  <c r="VIN33" i="6"/>
  <c r="VIM33" i="6"/>
  <c r="VIL33" i="6"/>
  <c r="VIK33" i="6"/>
  <c r="VIJ33" i="6"/>
  <c r="VII33" i="6"/>
  <c r="VIH33" i="6"/>
  <c r="VIG33" i="6"/>
  <c r="VIF33" i="6"/>
  <c r="VIE33" i="6"/>
  <c r="VID33" i="6"/>
  <c r="VIC33" i="6"/>
  <c r="VIB33" i="6"/>
  <c r="VIA33" i="6"/>
  <c r="VHZ33" i="6"/>
  <c r="VHY33" i="6"/>
  <c r="VHX33" i="6"/>
  <c r="VHW33" i="6"/>
  <c r="VHV33" i="6"/>
  <c r="VHU33" i="6"/>
  <c r="VHT33" i="6"/>
  <c r="VHS33" i="6"/>
  <c r="VHR33" i="6"/>
  <c r="VHQ33" i="6"/>
  <c r="VHP33" i="6"/>
  <c r="VHO33" i="6"/>
  <c r="VHN33" i="6"/>
  <c r="VHM33" i="6"/>
  <c r="VHL33" i="6"/>
  <c r="VHK33" i="6"/>
  <c r="VHJ33" i="6"/>
  <c r="VHI33" i="6"/>
  <c r="VHH33" i="6"/>
  <c r="VHG33" i="6"/>
  <c r="VHF33" i="6"/>
  <c r="VHE33" i="6"/>
  <c r="VHD33" i="6"/>
  <c r="VHC33" i="6"/>
  <c r="VHB33" i="6"/>
  <c r="VHA33" i="6"/>
  <c r="VGZ33" i="6"/>
  <c r="VGY33" i="6"/>
  <c r="VGX33" i="6"/>
  <c r="VGW33" i="6"/>
  <c r="VGV33" i="6"/>
  <c r="VGU33" i="6"/>
  <c r="VGT33" i="6"/>
  <c r="VGS33" i="6"/>
  <c r="VGR33" i="6"/>
  <c r="VGQ33" i="6"/>
  <c r="VGP33" i="6"/>
  <c r="VGO33" i="6"/>
  <c r="VGN33" i="6"/>
  <c r="VGM33" i="6"/>
  <c r="VGL33" i="6"/>
  <c r="VGK33" i="6"/>
  <c r="VGJ33" i="6"/>
  <c r="VGI33" i="6"/>
  <c r="VGH33" i="6"/>
  <c r="VGG33" i="6"/>
  <c r="VGF33" i="6"/>
  <c r="VGE33" i="6"/>
  <c r="VGD33" i="6"/>
  <c r="VGC33" i="6"/>
  <c r="VGB33" i="6"/>
  <c r="VGA33" i="6"/>
  <c r="VFZ33" i="6"/>
  <c r="VFY33" i="6"/>
  <c r="VFX33" i="6"/>
  <c r="VFW33" i="6"/>
  <c r="VFV33" i="6"/>
  <c r="VFU33" i="6"/>
  <c r="VFT33" i="6"/>
  <c r="VFS33" i="6"/>
  <c r="VFR33" i="6"/>
  <c r="VFQ33" i="6"/>
  <c r="VFP33" i="6"/>
  <c r="VFO33" i="6"/>
  <c r="VFN33" i="6"/>
  <c r="VFM33" i="6"/>
  <c r="VFL33" i="6"/>
  <c r="VFK33" i="6"/>
  <c r="VFJ33" i="6"/>
  <c r="VFI33" i="6"/>
  <c r="VFH33" i="6"/>
  <c r="VFG33" i="6"/>
  <c r="VFF33" i="6"/>
  <c r="VFE33" i="6"/>
  <c r="VFD33" i="6"/>
  <c r="VFC33" i="6"/>
  <c r="VFB33" i="6"/>
  <c r="VFA33" i="6"/>
  <c r="VEZ33" i="6"/>
  <c r="VEY33" i="6"/>
  <c r="VEX33" i="6"/>
  <c r="VEW33" i="6"/>
  <c r="VEV33" i="6"/>
  <c r="VEU33" i="6"/>
  <c r="VET33" i="6"/>
  <c r="VES33" i="6"/>
  <c r="VER33" i="6"/>
  <c r="VEQ33" i="6"/>
  <c r="VEP33" i="6"/>
  <c r="VEO33" i="6"/>
  <c r="VEN33" i="6"/>
  <c r="VEM33" i="6"/>
  <c r="VEL33" i="6"/>
  <c r="VEK33" i="6"/>
  <c r="VEJ33" i="6"/>
  <c r="VEI33" i="6"/>
  <c r="VEH33" i="6"/>
  <c r="VEG33" i="6"/>
  <c r="VEF33" i="6"/>
  <c r="VEE33" i="6"/>
  <c r="VED33" i="6"/>
  <c r="VEC33" i="6"/>
  <c r="VEB33" i="6"/>
  <c r="VEA33" i="6"/>
  <c r="VDZ33" i="6"/>
  <c r="VDY33" i="6"/>
  <c r="VDX33" i="6"/>
  <c r="VDW33" i="6"/>
  <c r="VDV33" i="6"/>
  <c r="VDU33" i="6"/>
  <c r="VDT33" i="6"/>
  <c r="VDS33" i="6"/>
  <c r="VDR33" i="6"/>
  <c r="VDQ33" i="6"/>
  <c r="VDP33" i="6"/>
  <c r="VDO33" i="6"/>
  <c r="VDN33" i="6"/>
  <c r="VDM33" i="6"/>
  <c r="VDL33" i="6"/>
  <c r="VDK33" i="6"/>
  <c r="VDJ33" i="6"/>
  <c r="VDI33" i="6"/>
  <c r="VDH33" i="6"/>
  <c r="VDG33" i="6"/>
  <c r="VDF33" i="6"/>
  <c r="VDE33" i="6"/>
  <c r="VDD33" i="6"/>
  <c r="VDC33" i="6"/>
  <c r="VDB33" i="6"/>
  <c r="VDA33" i="6"/>
  <c r="VCZ33" i="6"/>
  <c r="VCY33" i="6"/>
  <c r="VCX33" i="6"/>
  <c r="VCW33" i="6"/>
  <c r="VCV33" i="6"/>
  <c r="VCU33" i="6"/>
  <c r="VCT33" i="6"/>
  <c r="VCS33" i="6"/>
  <c r="VCR33" i="6"/>
  <c r="VCQ33" i="6"/>
  <c r="VCP33" i="6"/>
  <c r="VCO33" i="6"/>
  <c r="VCN33" i="6"/>
  <c r="VCM33" i="6"/>
  <c r="VCL33" i="6"/>
  <c r="VCK33" i="6"/>
  <c r="VCJ33" i="6"/>
  <c r="VCI33" i="6"/>
  <c r="VCH33" i="6"/>
  <c r="VCG33" i="6"/>
  <c r="VCF33" i="6"/>
  <c r="VCE33" i="6"/>
  <c r="VCD33" i="6"/>
  <c r="VCC33" i="6"/>
  <c r="VCB33" i="6"/>
  <c r="VCA33" i="6"/>
  <c r="VBZ33" i="6"/>
  <c r="VBY33" i="6"/>
  <c r="VBX33" i="6"/>
  <c r="VBW33" i="6"/>
  <c r="VBV33" i="6"/>
  <c r="VBU33" i="6"/>
  <c r="VBT33" i="6"/>
  <c r="VBS33" i="6"/>
  <c r="VBR33" i="6"/>
  <c r="VBQ33" i="6"/>
  <c r="VBP33" i="6"/>
  <c r="VBO33" i="6"/>
  <c r="VBN33" i="6"/>
  <c r="VBM33" i="6"/>
  <c r="VBL33" i="6"/>
  <c r="VBK33" i="6"/>
  <c r="VBJ33" i="6"/>
  <c r="VBI33" i="6"/>
  <c r="VBH33" i="6"/>
  <c r="VBG33" i="6"/>
  <c r="VBF33" i="6"/>
  <c r="VBE33" i="6"/>
  <c r="VBD33" i="6"/>
  <c r="VBC33" i="6"/>
  <c r="VBB33" i="6"/>
  <c r="VBA33" i="6"/>
  <c r="VAZ33" i="6"/>
  <c r="VAY33" i="6"/>
  <c r="VAX33" i="6"/>
  <c r="VAW33" i="6"/>
  <c r="VAV33" i="6"/>
  <c r="VAU33" i="6"/>
  <c r="VAT33" i="6"/>
  <c r="VAS33" i="6"/>
  <c r="VAR33" i="6"/>
  <c r="VAQ33" i="6"/>
  <c r="VAP33" i="6"/>
  <c r="VAO33" i="6"/>
  <c r="VAN33" i="6"/>
  <c r="VAM33" i="6"/>
  <c r="VAL33" i="6"/>
  <c r="VAK33" i="6"/>
  <c r="VAJ33" i="6"/>
  <c r="VAI33" i="6"/>
  <c r="VAH33" i="6"/>
  <c r="VAG33" i="6"/>
  <c r="VAF33" i="6"/>
  <c r="VAE33" i="6"/>
  <c r="VAD33" i="6"/>
  <c r="VAC33" i="6"/>
  <c r="VAB33" i="6"/>
  <c r="VAA33" i="6"/>
  <c r="UZZ33" i="6"/>
  <c r="UZY33" i="6"/>
  <c r="UZX33" i="6"/>
  <c r="UZW33" i="6"/>
  <c r="UZV33" i="6"/>
  <c r="UZU33" i="6"/>
  <c r="UZT33" i="6"/>
  <c r="UZS33" i="6"/>
  <c r="UZR33" i="6"/>
  <c r="UZQ33" i="6"/>
  <c r="UZP33" i="6"/>
  <c r="UZO33" i="6"/>
  <c r="UZN33" i="6"/>
  <c r="UZM33" i="6"/>
  <c r="UZL33" i="6"/>
  <c r="UZK33" i="6"/>
  <c r="UZJ33" i="6"/>
  <c r="UZI33" i="6"/>
  <c r="UZH33" i="6"/>
  <c r="UZG33" i="6"/>
  <c r="UZF33" i="6"/>
  <c r="UZE33" i="6"/>
  <c r="UZD33" i="6"/>
  <c r="UZC33" i="6"/>
  <c r="UZB33" i="6"/>
  <c r="UZA33" i="6"/>
  <c r="UYZ33" i="6"/>
  <c r="UYY33" i="6"/>
  <c r="UYX33" i="6"/>
  <c r="UYW33" i="6"/>
  <c r="UYV33" i="6"/>
  <c r="UYU33" i="6"/>
  <c r="UYT33" i="6"/>
  <c r="UYS33" i="6"/>
  <c r="UYR33" i="6"/>
  <c r="UYQ33" i="6"/>
  <c r="UYP33" i="6"/>
  <c r="UYO33" i="6"/>
  <c r="UYN33" i="6"/>
  <c r="UYM33" i="6"/>
  <c r="UYL33" i="6"/>
  <c r="UYK33" i="6"/>
  <c r="UYJ33" i="6"/>
  <c r="UYI33" i="6"/>
  <c r="UYH33" i="6"/>
  <c r="UYG33" i="6"/>
  <c r="UYF33" i="6"/>
  <c r="UYE33" i="6"/>
  <c r="UYD33" i="6"/>
  <c r="UYC33" i="6"/>
  <c r="UYB33" i="6"/>
  <c r="UYA33" i="6"/>
  <c r="UXZ33" i="6"/>
  <c r="UXY33" i="6"/>
  <c r="UXX33" i="6"/>
  <c r="UXW33" i="6"/>
  <c r="UXV33" i="6"/>
  <c r="UXU33" i="6"/>
  <c r="UXT33" i="6"/>
  <c r="UXS33" i="6"/>
  <c r="UXR33" i="6"/>
  <c r="UXQ33" i="6"/>
  <c r="UXP33" i="6"/>
  <c r="UXO33" i="6"/>
  <c r="UXN33" i="6"/>
  <c r="UXM33" i="6"/>
  <c r="UXL33" i="6"/>
  <c r="UXK33" i="6"/>
  <c r="UXJ33" i="6"/>
  <c r="UXI33" i="6"/>
  <c r="UXH33" i="6"/>
  <c r="UXG33" i="6"/>
  <c r="UXF33" i="6"/>
  <c r="UXE33" i="6"/>
  <c r="UXD33" i="6"/>
  <c r="UXC33" i="6"/>
  <c r="UXB33" i="6"/>
  <c r="UXA33" i="6"/>
  <c r="UWZ33" i="6"/>
  <c r="UWY33" i="6"/>
  <c r="UWX33" i="6"/>
  <c r="UWW33" i="6"/>
  <c r="UWV33" i="6"/>
  <c r="UWU33" i="6"/>
  <c r="UWT33" i="6"/>
  <c r="UWS33" i="6"/>
  <c r="UWR33" i="6"/>
  <c r="UWQ33" i="6"/>
  <c r="UWP33" i="6"/>
  <c r="UWO33" i="6"/>
  <c r="UWN33" i="6"/>
  <c r="UWM33" i="6"/>
  <c r="UWL33" i="6"/>
  <c r="UWK33" i="6"/>
  <c r="UWJ33" i="6"/>
  <c r="UWI33" i="6"/>
  <c r="UWH33" i="6"/>
  <c r="UWG33" i="6"/>
  <c r="UWF33" i="6"/>
  <c r="UWE33" i="6"/>
  <c r="UWD33" i="6"/>
  <c r="UWC33" i="6"/>
  <c r="UWB33" i="6"/>
  <c r="UWA33" i="6"/>
  <c r="UVZ33" i="6"/>
  <c r="UVY33" i="6"/>
  <c r="UVX33" i="6"/>
  <c r="UVW33" i="6"/>
  <c r="UVV33" i="6"/>
  <c r="UVU33" i="6"/>
  <c r="UVT33" i="6"/>
  <c r="UVS33" i="6"/>
  <c r="UVR33" i="6"/>
  <c r="UVQ33" i="6"/>
  <c r="UVP33" i="6"/>
  <c r="UVO33" i="6"/>
  <c r="UVN33" i="6"/>
  <c r="UVM33" i="6"/>
  <c r="UVL33" i="6"/>
  <c r="UVK33" i="6"/>
  <c r="UVJ33" i="6"/>
  <c r="UVI33" i="6"/>
  <c r="UVH33" i="6"/>
  <c r="UVG33" i="6"/>
  <c r="UVF33" i="6"/>
  <c r="UVE33" i="6"/>
  <c r="UVD33" i="6"/>
  <c r="UVC33" i="6"/>
  <c r="UVB33" i="6"/>
  <c r="UVA33" i="6"/>
  <c r="UUZ33" i="6"/>
  <c r="UUY33" i="6"/>
  <c r="UUX33" i="6"/>
  <c r="UUW33" i="6"/>
  <c r="UUV33" i="6"/>
  <c r="UUU33" i="6"/>
  <c r="UUT33" i="6"/>
  <c r="UUS33" i="6"/>
  <c r="UUR33" i="6"/>
  <c r="UUQ33" i="6"/>
  <c r="UUP33" i="6"/>
  <c r="UUO33" i="6"/>
  <c r="UUN33" i="6"/>
  <c r="UUM33" i="6"/>
  <c r="UUL33" i="6"/>
  <c r="UUK33" i="6"/>
  <c r="UUJ33" i="6"/>
  <c r="UUI33" i="6"/>
  <c r="UUH33" i="6"/>
  <c r="UUG33" i="6"/>
  <c r="UUF33" i="6"/>
  <c r="UUE33" i="6"/>
  <c r="UUD33" i="6"/>
  <c r="UUC33" i="6"/>
  <c r="UUB33" i="6"/>
  <c r="UUA33" i="6"/>
  <c r="UTZ33" i="6"/>
  <c r="UTY33" i="6"/>
  <c r="UTX33" i="6"/>
  <c r="UTW33" i="6"/>
  <c r="UTV33" i="6"/>
  <c r="UTU33" i="6"/>
  <c r="UTT33" i="6"/>
  <c r="UTS33" i="6"/>
  <c r="UTR33" i="6"/>
  <c r="UTQ33" i="6"/>
  <c r="UTP33" i="6"/>
  <c r="UTO33" i="6"/>
  <c r="UTN33" i="6"/>
  <c r="UTM33" i="6"/>
  <c r="UTL33" i="6"/>
  <c r="UTK33" i="6"/>
  <c r="UTJ33" i="6"/>
  <c r="UTI33" i="6"/>
  <c r="UTH33" i="6"/>
  <c r="UTG33" i="6"/>
  <c r="UTF33" i="6"/>
  <c r="UTE33" i="6"/>
  <c r="UTD33" i="6"/>
  <c r="UTC33" i="6"/>
  <c r="UTB33" i="6"/>
  <c r="UTA33" i="6"/>
  <c r="USZ33" i="6"/>
  <c r="USY33" i="6"/>
  <c r="USX33" i="6"/>
  <c r="USW33" i="6"/>
  <c r="USV33" i="6"/>
  <c r="USU33" i="6"/>
  <c r="UST33" i="6"/>
  <c r="USS33" i="6"/>
  <c r="USR33" i="6"/>
  <c r="USQ33" i="6"/>
  <c r="USP33" i="6"/>
  <c r="USO33" i="6"/>
  <c r="USN33" i="6"/>
  <c r="USM33" i="6"/>
  <c r="USL33" i="6"/>
  <c r="USK33" i="6"/>
  <c r="USJ33" i="6"/>
  <c r="USI33" i="6"/>
  <c r="USH33" i="6"/>
  <c r="USG33" i="6"/>
  <c r="USF33" i="6"/>
  <c r="USE33" i="6"/>
  <c r="USD33" i="6"/>
  <c r="USC33" i="6"/>
  <c r="USB33" i="6"/>
  <c r="USA33" i="6"/>
  <c r="URZ33" i="6"/>
  <c r="URY33" i="6"/>
  <c r="URX33" i="6"/>
  <c r="URW33" i="6"/>
  <c r="URV33" i="6"/>
  <c r="URU33" i="6"/>
  <c r="URT33" i="6"/>
  <c r="URS33" i="6"/>
  <c r="URR33" i="6"/>
  <c r="URQ33" i="6"/>
  <c r="URP33" i="6"/>
  <c r="URO33" i="6"/>
  <c r="URN33" i="6"/>
  <c r="URM33" i="6"/>
  <c r="URL33" i="6"/>
  <c r="URK33" i="6"/>
  <c r="URJ33" i="6"/>
  <c r="URI33" i="6"/>
  <c r="URH33" i="6"/>
  <c r="URG33" i="6"/>
  <c r="URF33" i="6"/>
  <c r="URE33" i="6"/>
  <c r="URD33" i="6"/>
  <c r="URC33" i="6"/>
  <c r="URB33" i="6"/>
  <c r="URA33" i="6"/>
  <c r="UQZ33" i="6"/>
  <c r="UQY33" i="6"/>
  <c r="UQX33" i="6"/>
  <c r="UQW33" i="6"/>
  <c r="UQV33" i="6"/>
  <c r="UQU33" i="6"/>
  <c r="UQT33" i="6"/>
  <c r="UQS33" i="6"/>
  <c r="UQR33" i="6"/>
  <c r="UQQ33" i="6"/>
  <c r="UQP33" i="6"/>
  <c r="UQO33" i="6"/>
  <c r="UQN33" i="6"/>
  <c r="UQM33" i="6"/>
  <c r="UQL33" i="6"/>
  <c r="UQK33" i="6"/>
  <c r="UQJ33" i="6"/>
  <c r="UQI33" i="6"/>
  <c r="UQH33" i="6"/>
  <c r="UQG33" i="6"/>
  <c r="UQF33" i="6"/>
  <c r="UQE33" i="6"/>
  <c r="UQD33" i="6"/>
  <c r="UQC33" i="6"/>
  <c r="UQB33" i="6"/>
  <c r="UQA33" i="6"/>
  <c r="UPZ33" i="6"/>
  <c r="UPY33" i="6"/>
  <c r="UPX33" i="6"/>
  <c r="UPW33" i="6"/>
  <c r="UPV33" i="6"/>
  <c r="UPU33" i="6"/>
  <c r="UPT33" i="6"/>
  <c r="UPS33" i="6"/>
  <c r="UPR33" i="6"/>
  <c r="UPQ33" i="6"/>
  <c r="UPP33" i="6"/>
  <c r="UPO33" i="6"/>
  <c r="UPN33" i="6"/>
  <c r="UPM33" i="6"/>
  <c r="UPL33" i="6"/>
  <c r="UPK33" i="6"/>
  <c r="UPJ33" i="6"/>
  <c r="UPI33" i="6"/>
  <c r="UPH33" i="6"/>
  <c r="UPG33" i="6"/>
  <c r="UPF33" i="6"/>
  <c r="UPE33" i="6"/>
  <c r="UPD33" i="6"/>
  <c r="UPC33" i="6"/>
  <c r="UPB33" i="6"/>
  <c r="UPA33" i="6"/>
  <c r="UOZ33" i="6"/>
  <c r="UOY33" i="6"/>
  <c r="UOX33" i="6"/>
  <c r="UOW33" i="6"/>
  <c r="UOV33" i="6"/>
  <c r="UOU33" i="6"/>
  <c r="UOT33" i="6"/>
  <c r="UOS33" i="6"/>
  <c r="UOR33" i="6"/>
  <c r="UOQ33" i="6"/>
  <c r="UOP33" i="6"/>
  <c r="UOO33" i="6"/>
  <c r="UON33" i="6"/>
  <c r="UOM33" i="6"/>
  <c r="UOL33" i="6"/>
  <c r="UOK33" i="6"/>
  <c r="UOJ33" i="6"/>
  <c r="UOI33" i="6"/>
  <c r="UOH33" i="6"/>
  <c r="UOG33" i="6"/>
  <c r="UOF33" i="6"/>
  <c r="UOE33" i="6"/>
  <c r="UOD33" i="6"/>
  <c r="UOC33" i="6"/>
  <c r="UOB33" i="6"/>
  <c r="UOA33" i="6"/>
  <c r="UNZ33" i="6"/>
  <c r="UNY33" i="6"/>
  <c r="UNX33" i="6"/>
  <c r="UNW33" i="6"/>
  <c r="UNV33" i="6"/>
  <c r="UNU33" i="6"/>
  <c r="UNT33" i="6"/>
  <c r="UNS33" i="6"/>
  <c r="UNR33" i="6"/>
  <c r="UNQ33" i="6"/>
  <c r="UNP33" i="6"/>
  <c r="UNO33" i="6"/>
  <c r="UNN33" i="6"/>
  <c r="UNM33" i="6"/>
  <c r="UNL33" i="6"/>
  <c r="UNK33" i="6"/>
  <c r="UNJ33" i="6"/>
  <c r="UNI33" i="6"/>
  <c r="UNH33" i="6"/>
  <c r="UNG33" i="6"/>
  <c r="UNF33" i="6"/>
  <c r="UNE33" i="6"/>
  <c r="UND33" i="6"/>
  <c r="UNC33" i="6"/>
  <c r="UNB33" i="6"/>
  <c r="UNA33" i="6"/>
  <c r="UMZ33" i="6"/>
  <c r="UMY33" i="6"/>
  <c r="UMX33" i="6"/>
  <c r="UMW33" i="6"/>
  <c r="UMV33" i="6"/>
  <c r="UMU33" i="6"/>
  <c r="UMT33" i="6"/>
  <c r="UMS33" i="6"/>
  <c r="UMR33" i="6"/>
  <c r="UMQ33" i="6"/>
  <c r="UMP33" i="6"/>
  <c r="UMO33" i="6"/>
  <c r="UMN33" i="6"/>
  <c r="UMM33" i="6"/>
  <c r="UML33" i="6"/>
  <c r="UMK33" i="6"/>
  <c r="UMJ33" i="6"/>
  <c r="UMI33" i="6"/>
  <c r="UMH33" i="6"/>
  <c r="UMG33" i="6"/>
  <c r="UMF33" i="6"/>
  <c r="UME33" i="6"/>
  <c r="UMD33" i="6"/>
  <c r="UMC33" i="6"/>
  <c r="UMB33" i="6"/>
  <c r="UMA33" i="6"/>
  <c r="ULZ33" i="6"/>
  <c r="ULY33" i="6"/>
  <c r="ULX33" i="6"/>
  <c r="ULW33" i="6"/>
  <c r="ULV33" i="6"/>
  <c r="ULU33" i="6"/>
  <c r="ULT33" i="6"/>
  <c r="ULS33" i="6"/>
  <c r="ULR33" i="6"/>
  <c r="ULQ33" i="6"/>
  <c r="ULP33" i="6"/>
  <c r="ULO33" i="6"/>
  <c r="ULN33" i="6"/>
  <c r="ULM33" i="6"/>
  <c r="ULL33" i="6"/>
  <c r="ULK33" i="6"/>
  <c r="ULJ33" i="6"/>
  <c r="ULI33" i="6"/>
  <c r="ULH33" i="6"/>
  <c r="ULG33" i="6"/>
  <c r="ULF33" i="6"/>
  <c r="ULE33" i="6"/>
  <c r="ULD33" i="6"/>
  <c r="ULC33" i="6"/>
  <c r="ULB33" i="6"/>
  <c r="ULA33" i="6"/>
  <c r="UKZ33" i="6"/>
  <c r="UKY33" i="6"/>
  <c r="UKX33" i="6"/>
  <c r="UKW33" i="6"/>
  <c r="UKV33" i="6"/>
  <c r="UKU33" i="6"/>
  <c r="UKT33" i="6"/>
  <c r="UKS33" i="6"/>
  <c r="UKR33" i="6"/>
  <c r="UKQ33" i="6"/>
  <c r="UKP33" i="6"/>
  <c r="UKO33" i="6"/>
  <c r="UKN33" i="6"/>
  <c r="UKM33" i="6"/>
  <c r="UKL33" i="6"/>
  <c r="UKK33" i="6"/>
  <c r="UKJ33" i="6"/>
  <c r="UKI33" i="6"/>
  <c r="UKH33" i="6"/>
  <c r="UKG33" i="6"/>
  <c r="UKF33" i="6"/>
  <c r="UKE33" i="6"/>
  <c r="UKD33" i="6"/>
  <c r="UKC33" i="6"/>
  <c r="UKB33" i="6"/>
  <c r="UKA33" i="6"/>
  <c r="UJZ33" i="6"/>
  <c r="UJY33" i="6"/>
  <c r="UJX33" i="6"/>
  <c r="UJW33" i="6"/>
  <c r="UJV33" i="6"/>
  <c r="UJU33" i="6"/>
  <c r="UJT33" i="6"/>
  <c r="UJS33" i="6"/>
  <c r="UJR33" i="6"/>
  <c r="UJQ33" i="6"/>
  <c r="UJP33" i="6"/>
  <c r="UJO33" i="6"/>
  <c r="UJN33" i="6"/>
  <c r="UJM33" i="6"/>
  <c r="UJL33" i="6"/>
  <c r="UJK33" i="6"/>
  <c r="UJJ33" i="6"/>
  <c r="UJI33" i="6"/>
  <c r="UJH33" i="6"/>
  <c r="UJG33" i="6"/>
  <c r="UJF33" i="6"/>
  <c r="UJE33" i="6"/>
  <c r="UJD33" i="6"/>
  <c r="UJC33" i="6"/>
  <c r="UJB33" i="6"/>
  <c r="UJA33" i="6"/>
  <c r="UIZ33" i="6"/>
  <c r="UIY33" i="6"/>
  <c r="UIX33" i="6"/>
  <c r="UIW33" i="6"/>
  <c r="UIV33" i="6"/>
  <c r="UIU33" i="6"/>
  <c r="UIT33" i="6"/>
  <c r="UIS33" i="6"/>
  <c r="UIR33" i="6"/>
  <c r="UIQ33" i="6"/>
  <c r="UIP33" i="6"/>
  <c r="UIO33" i="6"/>
  <c r="UIN33" i="6"/>
  <c r="UIM33" i="6"/>
  <c r="UIL33" i="6"/>
  <c r="UIK33" i="6"/>
  <c r="UIJ33" i="6"/>
  <c r="UII33" i="6"/>
  <c r="UIH33" i="6"/>
  <c r="UIG33" i="6"/>
  <c r="UIF33" i="6"/>
  <c r="UIE33" i="6"/>
  <c r="UID33" i="6"/>
  <c r="UIC33" i="6"/>
  <c r="UIB33" i="6"/>
  <c r="UIA33" i="6"/>
  <c r="UHZ33" i="6"/>
  <c r="UHY33" i="6"/>
  <c r="UHX33" i="6"/>
  <c r="UHW33" i="6"/>
  <c r="UHV33" i="6"/>
  <c r="UHU33" i="6"/>
  <c r="UHT33" i="6"/>
  <c r="UHS33" i="6"/>
  <c r="UHR33" i="6"/>
  <c r="UHQ33" i="6"/>
  <c r="UHP33" i="6"/>
  <c r="UHO33" i="6"/>
  <c r="UHN33" i="6"/>
  <c r="UHM33" i="6"/>
  <c r="UHL33" i="6"/>
  <c r="UHK33" i="6"/>
  <c r="UHJ33" i="6"/>
  <c r="UHI33" i="6"/>
  <c r="UHH33" i="6"/>
  <c r="UHG33" i="6"/>
  <c r="UHF33" i="6"/>
  <c r="UHE33" i="6"/>
  <c r="UHD33" i="6"/>
  <c r="UHC33" i="6"/>
  <c r="UHB33" i="6"/>
  <c r="UHA33" i="6"/>
  <c r="UGZ33" i="6"/>
  <c r="UGY33" i="6"/>
  <c r="UGX33" i="6"/>
  <c r="UGW33" i="6"/>
  <c r="UGV33" i="6"/>
  <c r="UGU33" i="6"/>
  <c r="UGT33" i="6"/>
  <c r="UGS33" i="6"/>
  <c r="UGR33" i="6"/>
  <c r="UGQ33" i="6"/>
  <c r="UGP33" i="6"/>
  <c r="UGO33" i="6"/>
  <c r="UGN33" i="6"/>
  <c r="UGM33" i="6"/>
  <c r="UGL33" i="6"/>
  <c r="UGK33" i="6"/>
  <c r="UGJ33" i="6"/>
  <c r="UGI33" i="6"/>
  <c r="UGH33" i="6"/>
  <c r="UGG33" i="6"/>
  <c r="UGF33" i="6"/>
  <c r="UGE33" i="6"/>
  <c r="UGD33" i="6"/>
  <c r="UGC33" i="6"/>
  <c r="UGB33" i="6"/>
  <c r="UGA33" i="6"/>
  <c r="UFZ33" i="6"/>
  <c r="UFY33" i="6"/>
  <c r="UFX33" i="6"/>
  <c r="UFW33" i="6"/>
  <c r="UFV33" i="6"/>
  <c r="UFU33" i="6"/>
  <c r="UFT33" i="6"/>
  <c r="UFS33" i="6"/>
  <c r="UFR33" i="6"/>
  <c r="UFQ33" i="6"/>
  <c r="UFP33" i="6"/>
  <c r="UFO33" i="6"/>
  <c r="UFN33" i="6"/>
  <c r="UFM33" i="6"/>
  <c r="UFL33" i="6"/>
  <c r="UFK33" i="6"/>
  <c r="UFJ33" i="6"/>
  <c r="UFI33" i="6"/>
  <c r="UFH33" i="6"/>
  <c r="UFG33" i="6"/>
  <c r="UFF33" i="6"/>
  <c r="UFE33" i="6"/>
  <c r="UFD33" i="6"/>
  <c r="UFC33" i="6"/>
  <c r="UFB33" i="6"/>
  <c r="UFA33" i="6"/>
  <c r="UEZ33" i="6"/>
  <c r="UEY33" i="6"/>
  <c r="UEX33" i="6"/>
  <c r="UEW33" i="6"/>
  <c r="UEV33" i="6"/>
  <c r="UEU33" i="6"/>
  <c r="UET33" i="6"/>
  <c r="UES33" i="6"/>
  <c r="UER33" i="6"/>
  <c r="UEQ33" i="6"/>
  <c r="UEP33" i="6"/>
  <c r="UEO33" i="6"/>
  <c r="UEN33" i="6"/>
  <c r="UEM33" i="6"/>
  <c r="UEL33" i="6"/>
  <c r="UEK33" i="6"/>
  <c r="UEJ33" i="6"/>
  <c r="UEI33" i="6"/>
  <c r="UEH33" i="6"/>
  <c r="UEG33" i="6"/>
  <c r="UEF33" i="6"/>
  <c r="UEE33" i="6"/>
  <c r="UED33" i="6"/>
  <c r="UEC33" i="6"/>
  <c r="UEB33" i="6"/>
  <c r="UEA33" i="6"/>
  <c r="UDZ33" i="6"/>
  <c r="UDY33" i="6"/>
  <c r="UDX33" i="6"/>
  <c r="UDW33" i="6"/>
  <c r="UDV33" i="6"/>
  <c r="UDU33" i="6"/>
  <c r="UDT33" i="6"/>
  <c r="UDS33" i="6"/>
  <c r="UDR33" i="6"/>
  <c r="UDQ33" i="6"/>
  <c r="UDP33" i="6"/>
  <c r="UDO33" i="6"/>
  <c r="UDN33" i="6"/>
  <c r="UDM33" i="6"/>
  <c r="UDL33" i="6"/>
  <c r="UDK33" i="6"/>
  <c r="UDJ33" i="6"/>
  <c r="UDI33" i="6"/>
  <c r="UDH33" i="6"/>
  <c r="UDG33" i="6"/>
  <c r="UDF33" i="6"/>
  <c r="UDE33" i="6"/>
  <c r="UDD33" i="6"/>
  <c r="UDC33" i="6"/>
  <c r="UDB33" i="6"/>
  <c r="UDA33" i="6"/>
  <c r="UCZ33" i="6"/>
  <c r="UCY33" i="6"/>
  <c r="UCX33" i="6"/>
  <c r="UCW33" i="6"/>
  <c r="UCV33" i="6"/>
  <c r="UCU33" i="6"/>
  <c r="UCT33" i="6"/>
  <c r="UCS33" i="6"/>
  <c r="UCR33" i="6"/>
  <c r="UCQ33" i="6"/>
  <c r="UCP33" i="6"/>
  <c r="UCO33" i="6"/>
  <c r="UCN33" i="6"/>
  <c r="UCM33" i="6"/>
  <c r="UCL33" i="6"/>
  <c r="UCK33" i="6"/>
  <c r="UCJ33" i="6"/>
  <c r="UCI33" i="6"/>
  <c r="UCH33" i="6"/>
  <c r="UCG33" i="6"/>
  <c r="UCF33" i="6"/>
  <c r="UCE33" i="6"/>
  <c r="UCD33" i="6"/>
  <c r="UCC33" i="6"/>
  <c r="UCB33" i="6"/>
  <c r="UCA33" i="6"/>
  <c r="UBZ33" i="6"/>
  <c r="UBY33" i="6"/>
  <c r="UBX33" i="6"/>
  <c r="UBW33" i="6"/>
  <c r="UBV33" i="6"/>
  <c r="UBU33" i="6"/>
  <c r="UBT33" i="6"/>
  <c r="UBS33" i="6"/>
  <c r="UBR33" i="6"/>
  <c r="UBQ33" i="6"/>
  <c r="UBP33" i="6"/>
  <c r="UBO33" i="6"/>
  <c r="UBN33" i="6"/>
  <c r="UBM33" i="6"/>
  <c r="UBL33" i="6"/>
  <c r="UBK33" i="6"/>
  <c r="UBJ33" i="6"/>
  <c r="UBI33" i="6"/>
  <c r="UBH33" i="6"/>
  <c r="UBG33" i="6"/>
  <c r="UBF33" i="6"/>
  <c r="UBE33" i="6"/>
  <c r="UBD33" i="6"/>
  <c r="UBC33" i="6"/>
  <c r="UBB33" i="6"/>
  <c r="UBA33" i="6"/>
  <c r="UAZ33" i="6"/>
  <c r="UAY33" i="6"/>
  <c r="UAX33" i="6"/>
  <c r="UAW33" i="6"/>
  <c r="UAV33" i="6"/>
  <c r="UAU33" i="6"/>
  <c r="UAT33" i="6"/>
  <c r="UAS33" i="6"/>
  <c r="UAR33" i="6"/>
  <c r="UAQ33" i="6"/>
  <c r="UAP33" i="6"/>
  <c r="UAO33" i="6"/>
  <c r="UAN33" i="6"/>
  <c r="UAM33" i="6"/>
  <c r="UAL33" i="6"/>
  <c r="UAK33" i="6"/>
  <c r="UAJ33" i="6"/>
  <c r="UAI33" i="6"/>
  <c r="UAH33" i="6"/>
  <c r="UAG33" i="6"/>
  <c r="UAF33" i="6"/>
  <c r="UAE33" i="6"/>
  <c r="UAD33" i="6"/>
  <c r="UAC33" i="6"/>
  <c r="UAB33" i="6"/>
  <c r="UAA33" i="6"/>
  <c r="TZZ33" i="6"/>
  <c r="TZY33" i="6"/>
  <c r="TZX33" i="6"/>
  <c r="TZW33" i="6"/>
  <c r="TZV33" i="6"/>
  <c r="TZU33" i="6"/>
  <c r="TZT33" i="6"/>
  <c r="TZS33" i="6"/>
  <c r="TZR33" i="6"/>
  <c r="TZQ33" i="6"/>
  <c r="TZP33" i="6"/>
  <c r="TZO33" i="6"/>
  <c r="TZN33" i="6"/>
  <c r="TZM33" i="6"/>
  <c r="TZL33" i="6"/>
  <c r="TZK33" i="6"/>
  <c r="TZJ33" i="6"/>
  <c r="TZI33" i="6"/>
  <c r="TZH33" i="6"/>
  <c r="TZG33" i="6"/>
  <c r="TZF33" i="6"/>
  <c r="TZE33" i="6"/>
  <c r="TZD33" i="6"/>
  <c r="TZC33" i="6"/>
  <c r="TZB33" i="6"/>
  <c r="TZA33" i="6"/>
  <c r="TYZ33" i="6"/>
  <c r="TYY33" i="6"/>
  <c r="TYX33" i="6"/>
  <c r="TYW33" i="6"/>
  <c r="TYV33" i="6"/>
  <c r="TYU33" i="6"/>
  <c r="TYT33" i="6"/>
  <c r="TYS33" i="6"/>
  <c r="TYR33" i="6"/>
  <c r="TYQ33" i="6"/>
  <c r="TYP33" i="6"/>
  <c r="TYO33" i="6"/>
  <c r="TYN33" i="6"/>
  <c r="TYM33" i="6"/>
  <c r="TYL33" i="6"/>
  <c r="TYK33" i="6"/>
  <c r="TYJ33" i="6"/>
  <c r="TYI33" i="6"/>
  <c r="TYH33" i="6"/>
  <c r="TYG33" i="6"/>
  <c r="TYF33" i="6"/>
  <c r="TYE33" i="6"/>
  <c r="TYD33" i="6"/>
  <c r="TYC33" i="6"/>
  <c r="TYB33" i="6"/>
  <c r="TYA33" i="6"/>
  <c r="TXZ33" i="6"/>
  <c r="TXY33" i="6"/>
  <c r="TXX33" i="6"/>
  <c r="TXW33" i="6"/>
  <c r="TXV33" i="6"/>
  <c r="TXU33" i="6"/>
  <c r="TXT33" i="6"/>
  <c r="TXS33" i="6"/>
  <c r="TXR33" i="6"/>
  <c r="TXQ33" i="6"/>
  <c r="TXP33" i="6"/>
  <c r="TXO33" i="6"/>
  <c r="TXN33" i="6"/>
  <c r="TXM33" i="6"/>
  <c r="TXL33" i="6"/>
  <c r="TXK33" i="6"/>
  <c r="TXJ33" i="6"/>
  <c r="TXI33" i="6"/>
  <c r="TXH33" i="6"/>
  <c r="TXG33" i="6"/>
  <c r="TXF33" i="6"/>
  <c r="TXE33" i="6"/>
  <c r="TXD33" i="6"/>
  <c r="TXC33" i="6"/>
  <c r="TXB33" i="6"/>
  <c r="TXA33" i="6"/>
  <c r="TWZ33" i="6"/>
  <c r="TWY33" i="6"/>
  <c r="TWX33" i="6"/>
  <c r="TWW33" i="6"/>
  <c r="TWV33" i="6"/>
  <c r="TWU33" i="6"/>
  <c r="TWT33" i="6"/>
  <c r="TWS33" i="6"/>
  <c r="TWR33" i="6"/>
  <c r="TWQ33" i="6"/>
  <c r="TWP33" i="6"/>
  <c r="TWO33" i="6"/>
  <c r="TWN33" i="6"/>
  <c r="TWM33" i="6"/>
  <c r="TWL33" i="6"/>
  <c r="TWK33" i="6"/>
  <c r="TWJ33" i="6"/>
  <c r="TWI33" i="6"/>
  <c r="TWH33" i="6"/>
  <c r="TWG33" i="6"/>
  <c r="TWF33" i="6"/>
  <c r="TWE33" i="6"/>
  <c r="TWD33" i="6"/>
  <c r="TWC33" i="6"/>
  <c r="TWB33" i="6"/>
  <c r="TWA33" i="6"/>
  <c r="TVZ33" i="6"/>
  <c r="TVY33" i="6"/>
  <c r="TVX33" i="6"/>
  <c r="TVW33" i="6"/>
  <c r="TVV33" i="6"/>
  <c r="TVU33" i="6"/>
  <c r="TVT33" i="6"/>
  <c r="TVS33" i="6"/>
  <c r="TVR33" i="6"/>
  <c r="TVQ33" i="6"/>
  <c r="TVP33" i="6"/>
  <c r="TVO33" i="6"/>
  <c r="TVN33" i="6"/>
  <c r="TVM33" i="6"/>
  <c r="TVL33" i="6"/>
  <c r="TVK33" i="6"/>
  <c r="TVJ33" i="6"/>
  <c r="TVI33" i="6"/>
  <c r="TVH33" i="6"/>
  <c r="TVG33" i="6"/>
  <c r="TVF33" i="6"/>
  <c r="TVE33" i="6"/>
  <c r="TVD33" i="6"/>
  <c r="TVC33" i="6"/>
  <c r="TVB33" i="6"/>
  <c r="TVA33" i="6"/>
  <c r="TUZ33" i="6"/>
  <c r="TUY33" i="6"/>
  <c r="TUX33" i="6"/>
  <c r="TUW33" i="6"/>
  <c r="TUV33" i="6"/>
  <c r="TUU33" i="6"/>
  <c r="TUT33" i="6"/>
  <c r="TUS33" i="6"/>
  <c r="TUR33" i="6"/>
  <c r="TUQ33" i="6"/>
  <c r="TUP33" i="6"/>
  <c r="TUO33" i="6"/>
  <c r="TUN33" i="6"/>
  <c r="TUM33" i="6"/>
  <c r="TUL33" i="6"/>
  <c r="TUK33" i="6"/>
  <c r="TUJ33" i="6"/>
  <c r="TUI33" i="6"/>
  <c r="TUH33" i="6"/>
  <c r="TUG33" i="6"/>
  <c r="TUF33" i="6"/>
  <c r="TUE33" i="6"/>
  <c r="TUD33" i="6"/>
  <c r="TUC33" i="6"/>
  <c r="TUB33" i="6"/>
  <c r="TUA33" i="6"/>
  <c r="TTZ33" i="6"/>
  <c r="TTY33" i="6"/>
  <c r="TTX33" i="6"/>
  <c r="TTW33" i="6"/>
  <c r="TTV33" i="6"/>
  <c r="TTU33" i="6"/>
  <c r="TTT33" i="6"/>
  <c r="TTS33" i="6"/>
  <c r="TTR33" i="6"/>
  <c r="TTQ33" i="6"/>
  <c r="TTP33" i="6"/>
  <c r="TTO33" i="6"/>
  <c r="TTN33" i="6"/>
  <c r="TTM33" i="6"/>
  <c r="TTL33" i="6"/>
  <c r="TTK33" i="6"/>
  <c r="TTJ33" i="6"/>
  <c r="TTI33" i="6"/>
  <c r="TTH33" i="6"/>
  <c r="TTG33" i="6"/>
  <c r="TTF33" i="6"/>
  <c r="TTE33" i="6"/>
  <c r="TTD33" i="6"/>
  <c r="TTC33" i="6"/>
  <c r="TTB33" i="6"/>
  <c r="TTA33" i="6"/>
  <c r="TSZ33" i="6"/>
  <c r="TSY33" i="6"/>
  <c r="TSX33" i="6"/>
  <c r="TSW33" i="6"/>
  <c r="TSV33" i="6"/>
  <c r="TSU33" i="6"/>
  <c r="TST33" i="6"/>
  <c r="TSS33" i="6"/>
  <c r="TSR33" i="6"/>
  <c r="TSQ33" i="6"/>
  <c r="TSP33" i="6"/>
  <c r="TSO33" i="6"/>
  <c r="TSN33" i="6"/>
  <c r="TSM33" i="6"/>
  <c r="TSL33" i="6"/>
  <c r="TSK33" i="6"/>
  <c r="TSJ33" i="6"/>
  <c r="TSI33" i="6"/>
  <c r="TSH33" i="6"/>
  <c r="TSG33" i="6"/>
  <c r="TSF33" i="6"/>
  <c r="TSE33" i="6"/>
  <c r="TSD33" i="6"/>
  <c r="TSC33" i="6"/>
  <c r="TSB33" i="6"/>
  <c r="TSA33" i="6"/>
  <c r="TRZ33" i="6"/>
  <c r="TRY33" i="6"/>
  <c r="TRX33" i="6"/>
  <c r="TRW33" i="6"/>
  <c r="TRV33" i="6"/>
  <c r="TRU33" i="6"/>
  <c r="TRT33" i="6"/>
  <c r="TRS33" i="6"/>
  <c r="TRR33" i="6"/>
  <c r="TRQ33" i="6"/>
  <c r="TRP33" i="6"/>
  <c r="TRO33" i="6"/>
  <c r="TRN33" i="6"/>
  <c r="TRM33" i="6"/>
  <c r="TRL33" i="6"/>
  <c r="TRK33" i="6"/>
  <c r="TRJ33" i="6"/>
  <c r="TRI33" i="6"/>
  <c r="TRH33" i="6"/>
  <c r="TRG33" i="6"/>
  <c r="TRF33" i="6"/>
  <c r="TRE33" i="6"/>
  <c r="TRD33" i="6"/>
  <c r="TRC33" i="6"/>
  <c r="TRB33" i="6"/>
  <c r="TRA33" i="6"/>
  <c r="TQZ33" i="6"/>
  <c r="TQY33" i="6"/>
  <c r="TQX33" i="6"/>
  <c r="TQW33" i="6"/>
  <c r="TQV33" i="6"/>
  <c r="TQU33" i="6"/>
  <c r="TQT33" i="6"/>
  <c r="TQS33" i="6"/>
  <c r="TQR33" i="6"/>
  <c r="TQQ33" i="6"/>
  <c r="TQP33" i="6"/>
  <c r="TQO33" i="6"/>
  <c r="TQN33" i="6"/>
  <c r="TQM33" i="6"/>
  <c r="TQL33" i="6"/>
  <c r="TQK33" i="6"/>
  <c r="TQJ33" i="6"/>
  <c r="TQI33" i="6"/>
  <c r="TQH33" i="6"/>
  <c r="TQG33" i="6"/>
  <c r="TQF33" i="6"/>
  <c r="TQE33" i="6"/>
  <c r="TQD33" i="6"/>
  <c r="TQC33" i="6"/>
  <c r="TQB33" i="6"/>
  <c r="TQA33" i="6"/>
  <c r="TPZ33" i="6"/>
  <c r="TPY33" i="6"/>
  <c r="TPX33" i="6"/>
  <c r="TPW33" i="6"/>
  <c r="TPV33" i="6"/>
  <c r="TPU33" i="6"/>
  <c r="TPT33" i="6"/>
  <c r="TPS33" i="6"/>
  <c r="TPR33" i="6"/>
  <c r="TPQ33" i="6"/>
  <c r="TPP33" i="6"/>
  <c r="TPO33" i="6"/>
  <c r="TPN33" i="6"/>
  <c r="TPM33" i="6"/>
  <c r="TPL33" i="6"/>
  <c r="TPK33" i="6"/>
  <c r="TPJ33" i="6"/>
  <c r="TPI33" i="6"/>
  <c r="TPH33" i="6"/>
  <c r="TPG33" i="6"/>
  <c r="TPF33" i="6"/>
  <c r="TPE33" i="6"/>
  <c r="TPD33" i="6"/>
  <c r="TPC33" i="6"/>
  <c r="TPB33" i="6"/>
  <c r="TPA33" i="6"/>
  <c r="TOZ33" i="6"/>
  <c r="TOY33" i="6"/>
  <c r="TOX33" i="6"/>
  <c r="TOW33" i="6"/>
  <c r="TOV33" i="6"/>
  <c r="TOU33" i="6"/>
  <c r="TOT33" i="6"/>
  <c r="TOS33" i="6"/>
  <c r="TOR33" i="6"/>
  <c r="TOQ33" i="6"/>
  <c r="TOP33" i="6"/>
  <c r="TOO33" i="6"/>
  <c r="TON33" i="6"/>
  <c r="TOM33" i="6"/>
  <c r="TOL33" i="6"/>
  <c r="TOK33" i="6"/>
  <c r="TOJ33" i="6"/>
  <c r="TOI33" i="6"/>
  <c r="TOH33" i="6"/>
  <c r="TOG33" i="6"/>
  <c r="TOF33" i="6"/>
  <c r="TOE33" i="6"/>
  <c r="TOD33" i="6"/>
  <c r="TOC33" i="6"/>
  <c r="TOB33" i="6"/>
  <c r="TOA33" i="6"/>
  <c r="TNZ33" i="6"/>
  <c r="TNY33" i="6"/>
  <c r="TNX33" i="6"/>
  <c r="TNW33" i="6"/>
  <c r="TNV33" i="6"/>
  <c r="TNU33" i="6"/>
  <c r="TNT33" i="6"/>
  <c r="TNS33" i="6"/>
  <c r="TNR33" i="6"/>
  <c r="TNQ33" i="6"/>
  <c r="TNP33" i="6"/>
  <c r="TNO33" i="6"/>
  <c r="TNN33" i="6"/>
  <c r="TNM33" i="6"/>
  <c r="TNL33" i="6"/>
  <c r="TNK33" i="6"/>
  <c r="TNJ33" i="6"/>
  <c r="TNI33" i="6"/>
  <c r="TNH33" i="6"/>
  <c r="TNG33" i="6"/>
  <c r="TNF33" i="6"/>
  <c r="TNE33" i="6"/>
  <c r="TND33" i="6"/>
  <c r="TNC33" i="6"/>
  <c r="TNB33" i="6"/>
  <c r="TNA33" i="6"/>
  <c r="TMZ33" i="6"/>
  <c r="TMY33" i="6"/>
  <c r="TMX33" i="6"/>
  <c r="TMW33" i="6"/>
  <c r="TMV33" i="6"/>
  <c r="TMU33" i="6"/>
  <c r="TMT33" i="6"/>
  <c r="TMS33" i="6"/>
  <c r="TMR33" i="6"/>
  <c r="TMQ33" i="6"/>
  <c r="TMP33" i="6"/>
  <c r="TMO33" i="6"/>
  <c r="TMN33" i="6"/>
  <c r="TMM33" i="6"/>
  <c r="TML33" i="6"/>
  <c r="TMK33" i="6"/>
  <c r="TMJ33" i="6"/>
  <c r="TMI33" i="6"/>
  <c r="TMH33" i="6"/>
  <c r="TMG33" i="6"/>
  <c r="TMF33" i="6"/>
  <c r="TME33" i="6"/>
  <c r="TMD33" i="6"/>
  <c r="TMC33" i="6"/>
  <c r="TMB33" i="6"/>
  <c r="TMA33" i="6"/>
  <c r="TLZ33" i="6"/>
  <c r="TLY33" i="6"/>
  <c r="TLX33" i="6"/>
  <c r="TLW33" i="6"/>
  <c r="TLV33" i="6"/>
  <c r="TLU33" i="6"/>
  <c r="TLT33" i="6"/>
  <c r="TLS33" i="6"/>
  <c r="TLR33" i="6"/>
  <c r="TLQ33" i="6"/>
  <c r="TLP33" i="6"/>
  <c r="TLO33" i="6"/>
  <c r="TLN33" i="6"/>
  <c r="TLM33" i="6"/>
  <c r="TLL33" i="6"/>
  <c r="TLK33" i="6"/>
  <c r="TLJ33" i="6"/>
  <c r="TLI33" i="6"/>
  <c r="TLH33" i="6"/>
  <c r="TLG33" i="6"/>
  <c r="TLF33" i="6"/>
  <c r="TLE33" i="6"/>
  <c r="TLD33" i="6"/>
  <c r="TLC33" i="6"/>
  <c r="TLB33" i="6"/>
  <c r="TLA33" i="6"/>
  <c r="TKZ33" i="6"/>
  <c r="TKY33" i="6"/>
  <c r="TKX33" i="6"/>
  <c r="TKW33" i="6"/>
  <c r="TKV33" i="6"/>
  <c r="TKU33" i="6"/>
  <c r="TKT33" i="6"/>
  <c r="TKS33" i="6"/>
  <c r="TKR33" i="6"/>
  <c r="TKQ33" i="6"/>
  <c r="TKP33" i="6"/>
  <c r="TKO33" i="6"/>
  <c r="TKN33" i="6"/>
  <c r="TKM33" i="6"/>
  <c r="TKL33" i="6"/>
  <c r="TKK33" i="6"/>
  <c r="TKJ33" i="6"/>
  <c r="TKI33" i="6"/>
  <c r="TKH33" i="6"/>
  <c r="TKG33" i="6"/>
  <c r="TKF33" i="6"/>
  <c r="TKE33" i="6"/>
  <c r="TKD33" i="6"/>
  <c r="TKC33" i="6"/>
  <c r="TKB33" i="6"/>
  <c r="TKA33" i="6"/>
  <c r="TJZ33" i="6"/>
  <c r="TJY33" i="6"/>
  <c r="TJX33" i="6"/>
  <c r="TJW33" i="6"/>
  <c r="TJV33" i="6"/>
  <c r="TJU33" i="6"/>
  <c r="TJT33" i="6"/>
  <c r="TJS33" i="6"/>
  <c r="TJR33" i="6"/>
  <c r="TJQ33" i="6"/>
  <c r="TJP33" i="6"/>
  <c r="TJO33" i="6"/>
  <c r="TJN33" i="6"/>
  <c r="TJM33" i="6"/>
  <c r="TJL33" i="6"/>
  <c r="TJK33" i="6"/>
  <c r="TJJ33" i="6"/>
  <c r="TJI33" i="6"/>
  <c r="TJH33" i="6"/>
  <c r="TJG33" i="6"/>
  <c r="TJF33" i="6"/>
  <c r="TJE33" i="6"/>
  <c r="TJD33" i="6"/>
  <c r="TJC33" i="6"/>
  <c r="TJB33" i="6"/>
  <c r="TJA33" i="6"/>
  <c r="TIZ33" i="6"/>
  <c r="TIY33" i="6"/>
  <c r="TIX33" i="6"/>
  <c r="TIW33" i="6"/>
  <c r="TIV33" i="6"/>
  <c r="TIU33" i="6"/>
  <c r="TIT33" i="6"/>
  <c r="TIS33" i="6"/>
  <c r="TIR33" i="6"/>
  <c r="TIQ33" i="6"/>
  <c r="TIP33" i="6"/>
  <c r="TIO33" i="6"/>
  <c r="TIN33" i="6"/>
  <c r="TIM33" i="6"/>
  <c r="TIL33" i="6"/>
  <c r="TIK33" i="6"/>
  <c r="TIJ33" i="6"/>
  <c r="TII33" i="6"/>
  <c r="TIH33" i="6"/>
  <c r="TIG33" i="6"/>
  <c r="TIF33" i="6"/>
  <c r="TIE33" i="6"/>
  <c r="TID33" i="6"/>
  <c r="TIC33" i="6"/>
  <c r="TIB33" i="6"/>
  <c r="TIA33" i="6"/>
  <c r="THZ33" i="6"/>
  <c r="THY33" i="6"/>
  <c r="THX33" i="6"/>
  <c r="THW33" i="6"/>
  <c r="THV33" i="6"/>
  <c r="THU33" i="6"/>
  <c r="THT33" i="6"/>
  <c r="THS33" i="6"/>
  <c r="THR33" i="6"/>
  <c r="THQ33" i="6"/>
  <c r="THP33" i="6"/>
  <c r="THO33" i="6"/>
  <c r="THN33" i="6"/>
  <c r="THM33" i="6"/>
  <c r="THL33" i="6"/>
  <c r="THK33" i="6"/>
  <c r="THJ33" i="6"/>
  <c r="THI33" i="6"/>
  <c r="THH33" i="6"/>
  <c r="THG33" i="6"/>
  <c r="THF33" i="6"/>
  <c r="THE33" i="6"/>
  <c r="THD33" i="6"/>
  <c r="THC33" i="6"/>
  <c r="THB33" i="6"/>
  <c r="THA33" i="6"/>
  <c r="TGZ33" i="6"/>
  <c r="TGY33" i="6"/>
  <c r="TGX33" i="6"/>
  <c r="TGW33" i="6"/>
  <c r="TGV33" i="6"/>
  <c r="TGU33" i="6"/>
  <c r="TGT33" i="6"/>
  <c r="TGS33" i="6"/>
  <c r="TGR33" i="6"/>
  <c r="TGQ33" i="6"/>
  <c r="TGP33" i="6"/>
  <c r="TGO33" i="6"/>
  <c r="TGN33" i="6"/>
  <c r="TGM33" i="6"/>
  <c r="TGL33" i="6"/>
  <c r="TGK33" i="6"/>
  <c r="TGJ33" i="6"/>
  <c r="TGI33" i="6"/>
  <c r="TGH33" i="6"/>
  <c r="TGG33" i="6"/>
  <c r="TGF33" i="6"/>
  <c r="TGE33" i="6"/>
  <c r="TGD33" i="6"/>
  <c r="TGC33" i="6"/>
  <c r="TGB33" i="6"/>
  <c r="TGA33" i="6"/>
  <c r="TFZ33" i="6"/>
  <c r="TFY33" i="6"/>
  <c r="TFX33" i="6"/>
  <c r="TFW33" i="6"/>
  <c r="TFV33" i="6"/>
  <c r="TFU33" i="6"/>
  <c r="TFT33" i="6"/>
  <c r="TFS33" i="6"/>
  <c r="TFR33" i="6"/>
  <c r="TFQ33" i="6"/>
  <c r="TFP33" i="6"/>
  <c r="TFO33" i="6"/>
  <c r="TFN33" i="6"/>
  <c r="TFM33" i="6"/>
  <c r="TFL33" i="6"/>
  <c r="TFK33" i="6"/>
  <c r="TFJ33" i="6"/>
  <c r="TFI33" i="6"/>
  <c r="TFH33" i="6"/>
  <c r="TFG33" i="6"/>
  <c r="TFF33" i="6"/>
  <c r="TFE33" i="6"/>
  <c r="TFD33" i="6"/>
  <c r="TFC33" i="6"/>
  <c r="TFB33" i="6"/>
  <c r="TFA33" i="6"/>
  <c r="TEZ33" i="6"/>
  <c r="TEY33" i="6"/>
  <c r="TEX33" i="6"/>
  <c r="TEW33" i="6"/>
  <c r="TEV33" i="6"/>
  <c r="TEU33" i="6"/>
  <c r="TET33" i="6"/>
  <c r="TES33" i="6"/>
  <c r="TER33" i="6"/>
  <c r="TEQ33" i="6"/>
  <c r="TEP33" i="6"/>
  <c r="TEO33" i="6"/>
  <c r="TEN33" i="6"/>
  <c r="TEM33" i="6"/>
  <c r="TEL33" i="6"/>
  <c r="TEK33" i="6"/>
  <c r="TEJ33" i="6"/>
  <c r="TEI33" i="6"/>
  <c r="TEH33" i="6"/>
  <c r="TEG33" i="6"/>
  <c r="TEF33" i="6"/>
  <c r="TEE33" i="6"/>
  <c r="TED33" i="6"/>
  <c r="TEC33" i="6"/>
  <c r="TEB33" i="6"/>
  <c r="TEA33" i="6"/>
  <c r="TDZ33" i="6"/>
  <c r="TDY33" i="6"/>
  <c r="TDX33" i="6"/>
  <c r="TDW33" i="6"/>
  <c r="TDV33" i="6"/>
  <c r="TDU33" i="6"/>
  <c r="TDT33" i="6"/>
  <c r="TDS33" i="6"/>
  <c r="TDR33" i="6"/>
  <c r="TDQ33" i="6"/>
  <c r="TDP33" i="6"/>
  <c r="TDO33" i="6"/>
  <c r="TDN33" i="6"/>
  <c r="TDM33" i="6"/>
  <c r="TDL33" i="6"/>
  <c r="TDK33" i="6"/>
  <c r="TDJ33" i="6"/>
  <c r="TDI33" i="6"/>
  <c r="TDH33" i="6"/>
  <c r="TDG33" i="6"/>
  <c r="TDF33" i="6"/>
  <c r="TDE33" i="6"/>
  <c r="TDD33" i="6"/>
  <c r="TDC33" i="6"/>
  <c r="TDB33" i="6"/>
  <c r="TDA33" i="6"/>
  <c r="TCZ33" i="6"/>
  <c r="TCY33" i="6"/>
  <c r="TCX33" i="6"/>
  <c r="TCW33" i="6"/>
  <c r="TCV33" i="6"/>
  <c r="TCU33" i="6"/>
  <c r="TCT33" i="6"/>
  <c r="TCS33" i="6"/>
  <c r="TCR33" i="6"/>
  <c r="TCQ33" i="6"/>
  <c r="TCP33" i="6"/>
  <c r="TCO33" i="6"/>
  <c r="TCN33" i="6"/>
  <c r="TCM33" i="6"/>
  <c r="TCL33" i="6"/>
  <c r="TCK33" i="6"/>
  <c r="TCJ33" i="6"/>
  <c r="TCI33" i="6"/>
  <c r="TCH33" i="6"/>
  <c r="TCG33" i="6"/>
  <c r="TCF33" i="6"/>
  <c r="TCE33" i="6"/>
  <c r="TCD33" i="6"/>
  <c r="TCC33" i="6"/>
  <c r="TCB33" i="6"/>
  <c r="TCA33" i="6"/>
  <c r="TBZ33" i="6"/>
  <c r="TBY33" i="6"/>
  <c r="TBX33" i="6"/>
  <c r="TBW33" i="6"/>
  <c r="TBV33" i="6"/>
  <c r="TBU33" i="6"/>
  <c r="TBT33" i="6"/>
  <c r="TBS33" i="6"/>
  <c r="TBR33" i="6"/>
  <c r="TBQ33" i="6"/>
  <c r="TBP33" i="6"/>
  <c r="TBO33" i="6"/>
  <c r="TBN33" i="6"/>
  <c r="TBM33" i="6"/>
  <c r="TBL33" i="6"/>
  <c r="TBK33" i="6"/>
  <c r="TBJ33" i="6"/>
  <c r="TBI33" i="6"/>
  <c r="TBH33" i="6"/>
  <c r="TBG33" i="6"/>
  <c r="TBF33" i="6"/>
  <c r="TBE33" i="6"/>
  <c r="TBD33" i="6"/>
  <c r="TBC33" i="6"/>
  <c r="TBB33" i="6"/>
  <c r="TBA33" i="6"/>
  <c r="TAZ33" i="6"/>
  <c r="TAY33" i="6"/>
  <c r="TAX33" i="6"/>
  <c r="TAW33" i="6"/>
  <c r="TAV33" i="6"/>
  <c r="TAU33" i="6"/>
  <c r="TAT33" i="6"/>
  <c r="TAS33" i="6"/>
  <c r="TAR33" i="6"/>
  <c r="TAQ33" i="6"/>
  <c r="TAP33" i="6"/>
  <c r="TAO33" i="6"/>
  <c r="TAN33" i="6"/>
  <c r="TAM33" i="6"/>
  <c r="TAL33" i="6"/>
  <c r="TAK33" i="6"/>
  <c r="TAJ33" i="6"/>
  <c r="TAI33" i="6"/>
  <c r="TAH33" i="6"/>
  <c r="TAG33" i="6"/>
  <c r="TAF33" i="6"/>
  <c r="TAE33" i="6"/>
  <c r="TAD33" i="6"/>
  <c r="TAC33" i="6"/>
  <c r="TAB33" i="6"/>
  <c r="TAA33" i="6"/>
  <c r="SZZ33" i="6"/>
  <c r="SZY33" i="6"/>
  <c r="SZX33" i="6"/>
  <c r="SZW33" i="6"/>
  <c r="SZV33" i="6"/>
  <c r="SZU33" i="6"/>
  <c r="SZT33" i="6"/>
  <c r="SZS33" i="6"/>
  <c r="SZR33" i="6"/>
  <c r="SZQ33" i="6"/>
  <c r="SZP33" i="6"/>
  <c r="SZO33" i="6"/>
  <c r="SZN33" i="6"/>
  <c r="SZM33" i="6"/>
  <c r="SZL33" i="6"/>
  <c r="SZK33" i="6"/>
  <c r="SZJ33" i="6"/>
  <c r="SZI33" i="6"/>
  <c r="SZH33" i="6"/>
  <c r="SZG33" i="6"/>
  <c r="SZF33" i="6"/>
  <c r="SZE33" i="6"/>
  <c r="SZD33" i="6"/>
  <c r="SZC33" i="6"/>
  <c r="SZB33" i="6"/>
  <c r="SZA33" i="6"/>
  <c r="SYZ33" i="6"/>
  <c r="SYY33" i="6"/>
  <c r="SYX33" i="6"/>
  <c r="SYW33" i="6"/>
  <c r="SYV33" i="6"/>
  <c r="SYU33" i="6"/>
  <c r="SYT33" i="6"/>
  <c r="SYS33" i="6"/>
  <c r="SYR33" i="6"/>
  <c r="SYQ33" i="6"/>
  <c r="SYP33" i="6"/>
  <c r="SYO33" i="6"/>
  <c r="SYN33" i="6"/>
  <c r="SYM33" i="6"/>
  <c r="SYL33" i="6"/>
  <c r="SYK33" i="6"/>
  <c r="SYJ33" i="6"/>
  <c r="SYI33" i="6"/>
  <c r="SYH33" i="6"/>
  <c r="SYG33" i="6"/>
  <c r="SYF33" i="6"/>
  <c r="SYE33" i="6"/>
  <c r="SYD33" i="6"/>
  <c r="SYC33" i="6"/>
  <c r="SYB33" i="6"/>
  <c r="SYA33" i="6"/>
  <c r="SXZ33" i="6"/>
  <c r="SXY33" i="6"/>
  <c r="SXX33" i="6"/>
  <c r="SXW33" i="6"/>
  <c r="SXV33" i="6"/>
  <c r="SXU33" i="6"/>
  <c r="SXT33" i="6"/>
  <c r="SXS33" i="6"/>
  <c r="SXR33" i="6"/>
  <c r="SXQ33" i="6"/>
  <c r="SXP33" i="6"/>
  <c r="SXO33" i="6"/>
  <c r="SXN33" i="6"/>
  <c r="SXM33" i="6"/>
  <c r="SXL33" i="6"/>
  <c r="SXK33" i="6"/>
  <c r="SXJ33" i="6"/>
  <c r="SXI33" i="6"/>
  <c r="SXH33" i="6"/>
  <c r="SXG33" i="6"/>
  <c r="SXF33" i="6"/>
  <c r="SXE33" i="6"/>
  <c r="SXD33" i="6"/>
  <c r="SXC33" i="6"/>
  <c r="SXB33" i="6"/>
  <c r="SXA33" i="6"/>
  <c r="SWZ33" i="6"/>
  <c r="SWY33" i="6"/>
  <c r="SWX33" i="6"/>
  <c r="SWW33" i="6"/>
  <c r="SWV33" i="6"/>
  <c r="SWU33" i="6"/>
  <c r="SWT33" i="6"/>
  <c r="SWS33" i="6"/>
  <c r="SWR33" i="6"/>
  <c r="SWQ33" i="6"/>
  <c r="SWP33" i="6"/>
  <c r="SWO33" i="6"/>
  <c r="SWN33" i="6"/>
  <c r="SWM33" i="6"/>
  <c r="SWL33" i="6"/>
  <c r="SWK33" i="6"/>
  <c r="SWJ33" i="6"/>
  <c r="SWI33" i="6"/>
  <c r="SWH33" i="6"/>
  <c r="SWG33" i="6"/>
  <c r="SWF33" i="6"/>
  <c r="SWE33" i="6"/>
  <c r="SWD33" i="6"/>
  <c r="SWC33" i="6"/>
  <c r="SWB33" i="6"/>
  <c r="SWA33" i="6"/>
  <c r="SVZ33" i="6"/>
  <c r="SVY33" i="6"/>
  <c r="SVX33" i="6"/>
  <c r="SVW33" i="6"/>
  <c r="SVV33" i="6"/>
  <c r="SVU33" i="6"/>
  <c r="SVT33" i="6"/>
  <c r="SVS33" i="6"/>
  <c r="SVR33" i="6"/>
  <c r="SVQ33" i="6"/>
  <c r="SVP33" i="6"/>
  <c r="SVO33" i="6"/>
  <c r="SVN33" i="6"/>
  <c r="SVM33" i="6"/>
  <c r="SVL33" i="6"/>
  <c r="SVK33" i="6"/>
  <c r="SVJ33" i="6"/>
  <c r="SVI33" i="6"/>
  <c r="SVH33" i="6"/>
  <c r="SVG33" i="6"/>
  <c r="SVF33" i="6"/>
  <c r="SVE33" i="6"/>
  <c r="SVD33" i="6"/>
  <c r="SVC33" i="6"/>
  <c r="SVB33" i="6"/>
  <c r="SVA33" i="6"/>
  <c r="SUZ33" i="6"/>
  <c r="SUY33" i="6"/>
  <c r="SUX33" i="6"/>
  <c r="SUW33" i="6"/>
  <c r="SUV33" i="6"/>
  <c r="SUU33" i="6"/>
  <c r="SUT33" i="6"/>
  <c r="SUS33" i="6"/>
  <c r="SUR33" i="6"/>
  <c r="SUQ33" i="6"/>
  <c r="SUP33" i="6"/>
  <c r="SUO33" i="6"/>
  <c r="SUN33" i="6"/>
  <c r="SUM33" i="6"/>
  <c r="SUL33" i="6"/>
  <c r="SUK33" i="6"/>
  <c r="SUJ33" i="6"/>
  <c r="SUI33" i="6"/>
  <c r="SUH33" i="6"/>
  <c r="SUG33" i="6"/>
  <c r="SUF33" i="6"/>
  <c r="SUE33" i="6"/>
  <c r="SUD33" i="6"/>
  <c r="SUC33" i="6"/>
  <c r="SUB33" i="6"/>
  <c r="SUA33" i="6"/>
  <c r="STZ33" i="6"/>
  <c r="STY33" i="6"/>
  <c r="STX33" i="6"/>
  <c r="STW33" i="6"/>
  <c r="STV33" i="6"/>
  <c r="STU33" i="6"/>
  <c r="STT33" i="6"/>
  <c r="STS33" i="6"/>
  <c r="STR33" i="6"/>
  <c r="STQ33" i="6"/>
  <c r="STP33" i="6"/>
  <c r="STO33" i="6"/>
  <c r="STN33" i="6"/>
  <c r="STM33" i="6"/>
  <c r="STL33" i="6"/>
  <c r="STK33" i="6"/>
  <c r="STJ33" i="6"/>
  <c r="STI33" i="6"/>
  <c r="STH33" i="6"/>
  <c r="STG33" i="6"/>
  <c r="STF33" i="6"/>
  <c r="STE33" i="6"/>
  <c r="STD33" i="6"/>
  <c r="STC33" i="6"/>
  <c r="STB33" i="6"/>
  <c r="STA33" i="6"/>
  <c r="SSZ33" i="6"/>
  <c r="SSY33" i="6"/>
  <c r="SSX33" i="6"/>
  <c r="SSW33" i="6"/>
  <c r="SSV33" i="6"/>
  <c r="SSU33" i="6"/>
  <c r="SST33" i="6"/>
  <c r="SSS33" i="6"/>
  <c r="SSR33" i="6"/>
  <c r="SSQ33" i="6"/>
  <c r="SSP33" i="6"/>
  <c r="SSO33" i="6"/>
  <c r="SSN33" i="6"/>
  <c r="SSM33" i="6"/>
  <c r="SSL33" i="6"/>
  <c r="SSK33" i="6"/>
  <c r="SSJ33" i="6"/>
  <c r="SSI33" i="6"/>
  <c r="SSH33" i="6"/>
  <c r="SSG33" i="6"/>
  <c r="SSF33" i="6"/>
  <c r="SSE33" i="6"/>
  <c r="SSD33" i="6"/>
  <c r="SSC33" i="6"/>
  <c r="SSB33" i="6"/>
  <c r="SSA33" i="6"/>
  <c r="SRZ33" i="6"/>
  <c r="SRY33" i="6"/>
  <c r="SRX33" i="6"/>
  <c r="SRW33" i="6"/>
  <c r="SRV33" i="6"/>
  <c r="SRU33" i="6"/>
  <c r="SRT33" i="6"/>
  <c r="SRS33" i="6"/>
  <c r="SRR33" i="6"/>
  <c r="SRQ33" i="6"/>
  <c r="SRP33" i="6"/>
  <c r="SRO33" i="6"/>
  <c r="SRN33" i="6"/>
  <c r="SRM33" i="6"/>
  <c r="SRL33" i="6"/>
  <c r="SRK33" i="6"/>
  <c r="SRJ33" i="6"/>
  <c r="SRI33" i="6"/>
  <c r="SRH33" i="6"/>
  <c r="SRG33" i="6"/>
  <c r="SRF33" i="6"/>
  <c r="SRE33" i="6"/>
  <c r="SRD33" i="6"/>
  <c r="SRC33" i="6"/>
  <c r="SRB33" i="6"/>
  <c r="SRA33" i="6"/>
  <c r="SQZ33" i="6"/>
  <c r="SQY33" i="6"/>
  <c r="SQX33" i="6"/>
  <c r="SQW33" i="6"/>
  <c r="SQV33" i="6"/>
  <c r="SQU33" i="6"/>
  <c r="SQT33" i="6"/>
  <c r="SQS33" i="6"/>
  <c r="SQR33" i="6"/>
  <c r="SQQ33" i="6"/>
  <c r="SQP33" i="6"/>
  <c r="SQO33" i="6"/>
  <c r="SQN33" i="6"/>
  <c r="SQM33" i="6"/>
  <c r="SQL33" i="6"/>
  <c r="SQK33" i="6"/>
  <c r="SQJ33" i="6"/>
  <c r="SQI33" i="6"/>
  <c r="SQH33" i="6"/>
  <c r="SQG33" i="6"/>
  <c r="SQF33" i="6"/>
  <c r="SQE33" i="6"/>
  <c r="SQD33" i="6"/>
  <c r="SQC33" i="6"/>
  <c r="SQB33" i="6"/>
  <c r="SQA33" i="6"/>
  <c r="SPZ33" i="6"/>
  <c r="SPY33" i="6"/>
  <c r="SPX33" i="6"/>
  <c r="SPW33" i="6"/>
  <c r="SPV33" i="6"/>
  <c r="SPU33" i="6"/>
  <c r="SPT33" i="6"/>
  <c r="SPS33" i="6"/>
  <c r="SPR33" i="6"/>
  <c r="SPQ33" i="6"/>
  <c r="SPP33" i="6"/>
  <c r="SPO33" i="6"/>
  <c r="SPN33" i="6"/>
  <c r="SPM33" i="6"/>
  <c r="SPL33" i="6"/>
  <c r="SPK33" i="6"/>
  <c r="SPJ33" i="6"/>
  <c r="SPI33" i="6"/>
  <c r="SPH33" i="6"/>
  <c r="SPG33" i="6"/>
  <c r="SPF33" i="6"/>
  <c r="SPE33" i="6"/>
  <c r="SPD33" i="6"/>
  <c r="SPC33" i="6"/>
  <c r="SPB33" i="6"/>
  <c r="SPA33" i="6"/>
  <c r="SOZ33" i="6"/>
  <c r="SOY33" i="6"/>
  <c r="SOX33" i="6"/>
  <c r="SOW33" i="6"/>
  <c r="SOV33" i="6"/>
  <c r="SOU33" i="6"/>
  <c r="SOT33" i="6"/>
  <c r="SOS33" i="6"/>
  <c r="SOR33" i="6"/>
  <c r="SOQ33" i="6"/>
  <c r="SOP33" i="6"/>
  <c r="SOO33" i="6"/>
  <c r="SON33" i="6"/>
  <c r="SOM33" i="6"/>
  <c r="SOL33" i="6"/>
  <c r="SOK33" i="6"/>
  <c r="SOJ33" i="6"/>
  <c r="SOI33" i="6"/>
  <c r="SOH33" i="6"/>
  <c r="SOG33" i="6"/>
  <c r="SOF33" i="6"/>
  <c r="SOE33" i="6"/>
  <c r="SOD33" i="6"/>
  <c r="SOC33" i="6"/>
  <c r="SOB33" i="6"/>
  <c r="SOA33" i="6"/>
  <c r="SNZ33" i="6"/>
  <c r="SNY33" i="6"/>
  <c r="SNX33" i="6"/>
  <c r="SNW33" i="6"/>
  <c r="SNV33" i="6"/>
  <c r="SNU33" i="6"/>
  <c r="SNT33" i="6"/>
  <c r="SNS33" i="6"/>
  <c r="SNR33" i="6"/>
  <c r="SNQ33" i="6"/>
  <c r="SNP33" i="6"/>
  <c r="SNO33" i="6"/>
  <c r="SNN33" i="6"/>
  <c r="SNM33" i="6"/>
  <c r="SNL33" i="6"/>
  <c r="SNK33" i="6"/>
  <c r="SNJ33" i="6"/>
  <c r="SNI33" i="6"/>
  <c r="SNH33" i="6"/>
  <c r="SNG33" i="6"/>
  <c r="SNF33" i="6"/>
  <c r="SNE33" i="6"/>
  <c r="SND33" i="6"/>
  <c r="SNC33" i="6"/>
  <c r="SNB33" i="6"/>
  <c r="SNA33" i="6"/>
  <c r="SMZ33" i="6"/>
  <c r="SMY33" i="6"/>
  <c r="SMX33" i="6"/>
  <c r="SMW33" i="6"/>
  <c r="SMV33" i="6"/>
  <c r="SMU33" i="6"/>
  <c r="SMT33" i="6"/>
  <c r="SMS33" i="6"/>
  <c r="SMR33" i="6"/>
  <c r="SMQ33" i="6"/>
  <c r="SMP33" i="6"/>
  <c r="SMO33" i="6"/>
  <c r="SMN33" i="6"/>
  <c r="SMM33" i="6"/>
  <c r="SML33" i="6"/>
  <c r="SMK33" i="6"/>
  <c r="SMJ33" i="6"/>
  <c r="SMI33" i="6"/>
  <c r="SMH33" i="6"/>
  <c r="SMG33" i="6"/>
  <c r="SMF33" i="6"/>
  <c r="SME33" i="6"/>
  <c r="SMD33" i="6"/>
  <c r="SMC33" i="6"/>
  <c r="SMB33" i="6"/>
  <c r="SMA33" i="6"/>
  <c r="SLZ33" i="6"/>
  <c r="SLY33" i="6"/>
  <c r="SLX33" i="6"/>
  <c r="SLW33" i="6"/>
  <c r="SLV33" i="6"/>
  <c r="SLU33" i="6"/>
  <c r="SLT33" i="6"/>
  <c r="SLS33" i="6"/>
  <c r="SLR33" i="6"/>
  <c r="SLQ33" i="6"/>
  <c r="SLP33" i="6"/>
  <c r="SLO33" i="6"/>
  <c r="SLN33" i="6"/>
  <c r="SLM33" i="6"/>
  <c r="SLL33" i="6"/>
  <c r="SLK33" i="6"/>
  <c r="SLJ33" i="6"/>
  <c r="SLI33" i="6"/>
  <c r="SLH33" i="6"/>
  <c r="SLG33" i="6"/>
  <c r="SLF33" i="6"/>
  <c r="SLE33" i="6"/>
  <c r="SLD33" i="6"/>
  <c r="SLC33" i="6"/>
  <c r="SLB33" i="6"/>
  <c r="SLA33" i="6"/>
  <c r="SKZ33" i="6"/>
  <c r="SKY33" i="6"/>
  <c r="SKX33" i="6"/>
  <c r="SKW33" i="6"/>
  <c r="SKV33" i="6"/>
  <c r="SKU33" i="6"/>
  <c r="SKT33" i="6"/>
  <c r="SKS33" i="6"/>
  <c r="SKR33" i="6"/>
  <c r="SKQ33" i="6"/>
  <c r="SKP33" i="6"/>
  <c r="SKO33" i="6"/>
  <c r="SKN33" i="6"/>
  <c r="SKM33" i="6"/>
  <c r="SKL33" i="6"/>
  <c r="SKK33" i="6"/>
  <c r="SKJ33" i="6"/>
  <c r="SKI33" i="6"/>
  <c r="SKH33" i="6"/>
  <c r="SKG33" i="6"/>
  <c r="SKF33" i="6"/>
  <c r="SKE33" i="6"/>
  <c r="SKD33" i="6"/>
  <c r="SKC33" i="6"/>
  <c r="SKB33" i="6"/>
  <c r="SKA33" i="6"/>
  <c r="SJZ33" i="6"/>
  <c r="SJY33" i="6"/>
  <c r="SJX33" i="6"/>
  <c r="SJW33" i="6"/>
  <c r="SJV33" i="6"/>
  <c r="SJU33" i="6"/>
  <c r="SJT33" i="6"/>
  <c r="SJS33" i="6"/>
  <c r="SJR33" i="6"/>
  <c r="SJQ33" i="6"/>
  <c r="SJP33" i="6"/>
  <c r="SJO33" i="6"/>
  <c r="SJN33" i="6"/>
  <c r="SJM33" i="6"/>
  <c r="SJL33" i="6"/>
  <c r="SJK33" i="6"/>
  <c r="SJJ33" i="6"/>
  <c r="SJI33" i="6"/>
  <c r="SJH33" i="6"/>
  <c r="SJG33" i="6"/>
  <c r="SJF33" i="6"/>
  <c r="SJE33" i="6"/>
  <c r="SJD33" i="6"/>
  <c r="SJC33" i="6"/>
  <c r="SJB33" i="6"/>
  <c r="SJA33" i="6"/>
  <c r="SIZ33" i="6"/>
  <c r="SIY33" i="6"/>
  <c r="SIX33" i="6"/>
  <c r="SIW33" i="6"/>
  <c r="SIV33" i="6"/>
  <c r="SIU33" i="6"/>
  <c r="SIT33" i="6"/>
  <c r="SIS33" i="6"/>
  <c r="SIR33" i="6"/>
  <c r="SIQ33" i="6"/>
  <c r="SIP33" i="6"/>
  <c r="SIO33" i="6"/>
  <c r="SIN33" i="6"/>
  <c r="SIM33" i="6"/>
  <c r="SIL33" i="6"/>
  <c r="SIK33" i="6"/>
  <c r="SIJ33" i="6"/>
  <c r="SII33" i="6"/>
  <c r="SIH33" i="6"/>
  <c r="SIG33" i="6"/>
  <c r="SIF33" i="6"/>
  <c r="SIE33" i="6"/>
  <c r="SID33" i="6"/>
  <c r="SIC33" i="6"/>
  <c r="SIB33" i="6"/>
  <c r="SIA33" i="6"/>
  <c r="SHZ33" i="6"/>
  <c r="SHY33" i="6"/>
  <c r="SHX33" i="6"/>
  <c r="SHW33" i="6"/>
  <c r="SHV33" i="6"/>
  <c r="SHU33" i="6"/>
  <c r="SHT33" i="6"/>
  <c r="SHS33" i="6"/>
  <c r="SHR33" i="6"/>
  <c r="SHQ33" i="6"/>
  <c r="SHP33" i="6"/>
  <c r="SHO33" i="6"/>
  <c r="SHN33" i="6"/>
  <c r="SHM33" i="6"/>
  <c r="SHL33" i="6"/>
  <c r="SHK33" i="6"/>
  <c r="SHJ33" i="6"/>
  <c r="SHI33" i="6"/>
  <c r="SHH33" i="6"/>
  <c r="SHG33" i="6"/>
  <c r="SHF33" i="6"/>
  <c r="SHE33" i="6"/>
  <c r="SHD33" i="6"/>
  <c r="SHC33" i="6"/>
  <c r="SHB33" i="6"/>
  <c r="SHA33" i="6"/>
  <c r="SGZ33" i="6"/>
  <c r="SGY33" i="6"/>
  <c r="SGX33" i="6"/>
  <c r="SGW33" i="6"/>
  <c r="SGV33" i="6"/>
  <c r="SGU33" i="6"/>
  <c r="SGT33" i="6"/>
  <c r="SGS33" i="6"/>
  <c r="SGR33" i="6"/>
  <c r="SGQ33" i="6"/>
  <c r="SGP33" i="6"/>
  <c r="SGO33" i="6"/>
  <c r="SGN33" i="6"/>
  <c r="SGM33" i="6"/>
  <c r="SGL33" i="6"/>
  <c r="SGK33" i="6"/>
  <c r="SGJ33" i="6"/>
  <c r="SGI33" i="6"/>
  <c r="SGH33" i="6"/>
  <c r="SGG33" i="6"/>
  <c r="SGF33" i="6"/>
  <c r="SGE33" i="6"/>
  <c r="SGD33" i="6"/>
  <c r="SGC33" i="6"/>
  <c r="SGB33" i="6"/>
  <c r="SGA33" i="6"/>
  <c r="SFZ33" i="6"/>
  <c r="SFY33" i="6"/>
  <c r="SFX33" i="6"/>
  <c r="SFW33" i="6"/>
  <c r="SFV33" i="6"/>
  <c r="SFU33" i="6"/>
  <c r="SFT33" i="6"/>
  <c r="SFS33" i="6"/>
  <c r="SFR33" i="6"/>
  <c r="SFQ33" i="6"/>
  <c r="SFP33" i="6"/>
  <c r="SFO33" i="6"/>
  <c r="SFN33" i="6"/>
  <c r="SFM33" i="6"/>
  <c r="SFL33" i="6"/>
  <c r="SFK33" i="6"/>
  <c r="SFJ33" i="6"/>
  <c r="SFI33" i="6"/>
  <c r="SFH33" i="6"/>
  <c r="SFG33" i="6"/>
  <c r="SFF33" i="6"/>
  <c r="SFE33" i="6"/>
  <c r="SFD33" i="6"/>
  <c r="SFC33" i="6"/>
  <c r="SFB33" i="6"/>
  <c r="SFA33" i="6"/>
  <c r="SEZ33" i="6"/>
  <c r="SEY33" i="6"/>
  <c r="SEX33" i="6"/>
  <c r="SEW33" i="6"/>
  <c r="SEV33" i="6"/>
  <c r="SEU33" i="6"/>
  <c r="SET33" i="6"/>
  <c r="SES33" i="6"/>
  <c r="SER33" i="6"/>
  <c r="SEQ33" i="6"/>
  <c r="SEP33" i="6"/>
  <c r="SEO33" i="6"/>
  <c r="SEN33" i="6"/>
  <c r="SEM33" i="6"/>
  <c r="SEL33" i="6"/>
  <c r="SEK33" i="6"/>
  <c r="SEJ33" i="6"/>
  <c r="SEI33" i="6"/>
  <c r="SEH33" i="6"/>
  <c r="SEG33" i="6"/>
  <c r="SEF33" i="6"/>
  <c r="SEE33" i="6"/>
  <c r="SED33" i="6"/>
  <c r="SEC33" i="6"/>
  <c r="SEB33" i="6"/>
  <c r="SEA33" i="6"/>
  <c r="SDZ33" i="6"/>
  <c r="SDY33" i="6"/>
  <c r="SDX33" i="6"/>
  <c r="SDW33" i="6"/>
  <c r="SDV33" i="6"/>
  <c r="SDU33" i="6"/>
  <c r="SDT33" i="6"/>
  <c r="SDS33" i="6"/>
  <c r="SDR33" i="6"/>
  <c r="SDQ33" i="6"/>
  <c r="SDP33" i="6"/>
  <c r="SDO33" i="6"/>
  <c r="SDN33" i="6"/>
  <c r="SDM33" i="6"/>
  <c r="SDL33" i="6"/>
  <c r="SDK33" i="6"/>
  <c r="SDJ33" i="6"/>
  <c r="SDI33" i="6"/>
  <c r="SDH33" i="6"/>
  <c r="SDG33" i="6"/>
  <c r="SDF33" i="6"/>
  <c r="SDE33" i="6"/>
  <c r="SDD33" i="6"/>
  <c r="SDC33" i="6"/>
  <c r="SDB33" i="6"/>
  <c r="SDA33" i="6"/>
  <c r="SCZ33" i="6"/>
  <c r="SCY33" i="6"/>
  <c r="SCX33" i="6"/>
  <c r="SCW33" i="6"/>
  <c r="SCV33" i="6"/>
  <c r="SCU33" i="6"/>
  <c r="SCT33" i="6"/>
  <c r="SCS33" i="6"/>
  <c r="SCR33" i="6"/>
  <c r="SCQ33" i="6"/>
  <c r="SCP33" i="6"/>
  <c r="SCO33" i="6"/>
  <c r="SCN33" i="6"/>
  <c r="SCM33" i="6"/>
  <c r="SCL33" i="6"/>
  <c r="SCK33" i="6"/>
  <c r="SCJ33" i="6"/>
  <c r="SCI33" i="6"/>
  <c r="SCH33" i="6"/>
  <c r="SCG33" i="6"/>
  <c r="SCF33" i="6"/>
  <c r="SCE33" i="6"/>
  <c r="SCD33" i="6"/>
  <c r="SCC33" i="6"/>
  <c r="SCB33" i="6"/>
  <c r="SCA33" i="6"/>
  <c r="SBZ33" i="6"/>
  <c r="SBY33" i="6"/>
  <c r="SBX33" i="6"/>
  <c r="SBW33" i="6"/>
  <c r="SBV33" i="6"/>
  <c r="SBU33" i="6"/>
  <c r="SBT33" i="6"/>
  <c r="SBS33" i="6"/>
  <c r="SBR33" i="6"/>
  <c r="SBQ33" i="6"/>
  <c r="SBP33" i="6"/>
  <c r="SBO33" i="6"/>
  <c r="SBN33" i="6"/>
  <c r="SBM33" i="6"/>
  <c r="SBL33" i="6"/>
  <c r="SBK33" i="6"/>
  <c r="SBJ33" i="6"/>
  <c r="SBI33" i="6"/>
  <c r="SBH33" i="6"/>
  <c r="SBG33" i="6"/>
  <c r="SBF33" i="6"/>
  <c r="SBE33" i="6"/>
  <c r="SBD33" i="6"/>
  <c r="SBC33" i="6"/>
  <c r="SBB33" i="6"/>
  <c r="SBA33" i="6"/>
  <c r="SAZ33" i="6"/>
  <c r="SAY33" i="6"/>
  <c r="SAX33" i="6"/>
  <c r="SAW33" i="6"/>
  <c r="SAV33" i="6"/>
  <c r="SAU33" i="6"/>
  <c r="SAT33" i="6"/>
  <c r="SAS33" i="6"/>
  <c r="SAR33" i="6"/>
  <c r="SAQ33" i="6"/>
  <c r="SAP33" i="6"/>
  <c r="SAO33" i="6"/>
  <c r="SAN33" i="6"/>
  <c r="SAM33" i="6"/>
  <c r="SAL33" i="6"/>
  <c r="SAK33" i="6"/>
  <c r="SAJ33" i="6"/>
  <c r="SAI33" i="6"/>
  <c r="SAH33" i="6"/>
  <c r="SAG33" i="6"/>
  <c r="SAF33" i="6"/>
  <c r="SAE33" i="6"/>
  <c r="SAD33" i="6"/>
  <c r="SAC33" i="6"/>
  <c r="SAB33" i="6"/>
  <c r="SAA33" i="6"/>
  <c r="RZZ33" i="6"/>
  <c r="RZY33" i="6"/>
  <c r="RZX33" i="6"/>
  <c r="RZW33" i="6"/>
  <c r="RZV33" i="6"/>
  <c r="RZU33" i="6"/>
  <c r="RZT33" i="6"/>
  <c r="RZS33" i="6"/>
  <c r="RZR33" i="6"/>
  <c r="RZQ33" i="6"/>
  <c r="RZP33" i="6"/>
  <c r="RZO33" i="6"/>
  <c r="RZN33" i="6"/>
  <c r="RZM33" i="6"/>
  <c r="RZL33" i="6"/>
  <c r="RZK33" i="6"/>
  <c r="RZJ33" i="6"/>
  <c r="RZI33" i="6"/>
  <c r="RZH33" i="6"/>
  <c r="RZG33" i="6"/>
  <c r="RZF33" i="6"/>
  <c r="RZE33" i="6"/>
  <c r="RZD33" i="6"/>
  <c r="RZC33" i="6"/>
  <c r="RZB33" i="6"/>
  <c r="RZA33" i="6"/>
  <c r="RYZ33" i="6"/>
  <c r="RYY33" i="6"/>
  <c r="RYX33" i="6"/>
  <c r="RYW33" i="6"/>
  <c r="RYV33" i="6"/>
  <c r="RYU33" i="6"/>
  <c r="RYT33" i="6"/>
  <c r="RYS33" i="6"/>
  <c r="RYR33" i="6"/>
  <c r="RYQ33" i="6"/>
  <c r="RYP33" i="6"/>
  <c r="RYO33" i="6"/>
  <c r="RYN33" i="6"/>
  <c r="RYM33" i="6"/>
  <c r="RYL33" i="6"/>
  <c r="RYK33" i="6"/>
  <c r="RYJ33" i="6"/>
  <c r="RYI33" i="6"/>
  <c r="RYH33" i="6"/>
  <c r="RYG33" i="6"/>
  <c r="RYF33" i="6"/>
  <c r="RYE33" i="6"/>
  <c r="RYD33" i="6"/>
  <c r="RYC33" i="6"/>
  <c r="RYB33" i="6"/>
  <c r="RYA33" i="6"/>
  <c r="RXZ33" i="6"/>
  <c r="RXY33" i="6"/>
  <c r="RXX33" i="6"/>
  <c r="RXW33" i="6"/>
  <c r="RXV33" i="6"/>
  <c r="RXU33" i="6"/>
  <c r="RXT33" i="6"/>
  <c r="RXS33" i="6"/>
  <c r="RXR33" i="6"/>
  <c r="RXQ33" i="6"/>
  <c r="RXP33" i="6"/>
  <c r="RXO33" i="6"/>
  <c r="RXN33" i="6"/>
  <c r="RXM33" i="6"/>
  <c r="RXL33" i="6"/>
  <c r="RXK33" i="6"/>
  <c r="RXJ33" i="6"/>
  <c r="RXI33" i="6"/>
  <c r="RXH33" i="6"/>
  <c r="RXG33" i="6"/>
  <c r="RXF33" i="6"/>
  <c r="RXE33" i="6"/>
  <c r="RXD33" i="6"/>
  <c r="RXC33" i="6"/>
  <c r="RXB33" i="6"/>
  <c r="RXA33" i="6"/>
  <c r="RWZ33" i="6"/>
  <c r="RWY33" i="6"/>
  <c r="RWX33" i="6"/>
  <c r="RWW33" i="6"/>
  <c r="RWV33" i="6"/>
  <c r="RWU33" i="6"/>
  <c r="RWT33" i="6"/>
  <c r="RWS33" i="6"/>
  <c r="RWR33" i="6"/>
  <c r="RWQ33" i="6"/>
  <c r="RWP33" i="6"/>
  <c r="RWO33" i="6"/>
  <c r="RWN33" i="6"/>
  <c r="RWM33" i="6"/>
  <c r="RWL33" i="6"/>
  <c r="RWK33" i="6"/>
  <c r="RWJ33" i="6"/>
  <c r="RWI33" i="6"/>
  <c r="RWH33" i="6"/>
  <c r="RWG33" i="6"/>
  <c r="RWF33" i="6"/>
  <c r="RWE33" i="6"/>
  <c r="RWD33" i="6"/>
  <c r="RWC33" i="6"/>
  <c r="RWB33" i="6"/>
  <c r="RWA33" i="6"/>
  <c r="RVZ33" i="6"/>
  <c r="RVY33" i="6"/>
  <c r="RVX33" i="6"/>
  <c r="RVW33" i="6"/>
  <c r="RVV33" i="6"/>
  <c r="RVU33" i="6"/>
  <c r="RVT33" i="6"/>
  <c r="RVS33" i="6"/>
  <c r="RVR33" i="6"/>
  <c r="RVQ33" i="6"/>
  <c r="RVP33" i="6"/>
  <c r="RVO33" i="6"/>
  <c r="RVN33" i="6"/>
  <c r="RVM33" i="6"/>
  <c r="RVL33" i="6"/>
  <c r="RVK33" i="6"/>
  <c r="RVJ33" i="6"/>
  <c r="RVI33" i="6"/>
  <c r="RVH33" i="6"/>
  <c r="RVG33" i="6"/>
  <c r="RVF33" i="6"/>
  <c r="RVE33" i="6"/>
  <c r="RVD33" i="6"/>
  <c r="RVC33" i="6"/>
  <c r="RVB33" i="6"/>
  <c r="RVA33" i="6"/>
  <c r="RUZ33" i="6"/>
  <c r="RUY33" i="6"/>
  <c r="RUX33" i="6"/>
  <c r="RUW33" i="6"/>
  <c r="RUV33" i="6"/>
  <c r="RUU33" i="6"/>
  <c r="RUT33" i="6"/>
  <c r="RUS33" i="6"/>
  <c r="RUR33" i="6"/>
  <c r="RUQ33" i="6"/>
  <c r="RUP33" i="6"/>
  <c r="RUO33" i="6"/>
  <c r="RUN33" i="6"/>
  <c r="RUM33" i="6"/>
  <c r="RUL33" i="6"/>
  <c r="RUK33" i="6"/>
  <c r="RUJ33" i="6"/>
  <c r="RUI33" i="6"/>
  <c r="RUH33" i="6"/>
  <c r="RUG33" i="6"/>
  <c r="RUF33" i="6"/>
  <c r="RUE33" i="6"/>
  <c r="RUD33" i="6"/>
  <c r="RUC33" i="6"/>
  <c r="RUB33" i="6"/>
  <c r="RUA33" i="6"/>
  <c r="RTZ33" i="6"/>
  <c r="RTY33" i="6"/>
  <c r="RTX33" i="6"/>
  <c r="RTW33" i="6"/>
  <c r="RTV33" i="6"/>
  <c r="RTU33" i="6"/>
  <c r="RTT33" i="6"/>
  <c r="RTS33" i="6"/>
  <c r="RTR33" i="6"/>
  <c r="RTQ33" i="6"/>
  <c r="RTP33" i="6"/>
  <c r="RTO33" i="6"/>
  <c r="RTN33" i="6"/>
  <c r="RTM33" i="6"/>
  <c r="RTL33" i="6"/>
  <c r="RTK33" i="6"/>
  <c r="RTJ33" i="6"/>
  <c r="RTI33" i="6"/>
  <c r="RTH33" i="6"/>
  <c r="RTG33" i="6"/>
  <c r="RTF33" i="6"/>
  <c r="RTE33" i="6"/>
  <c r="RTD33" i="6"/>
  <c r="RTC33" i="6"/>
  <c r="RTB33" i="6"/>
  <c r="RTA33" i="6"/>
  <c r="RSZ33" i="6"/>
  <c r="RSY33" i="6"/>
  <c r="RSX33" i="6"/>
  <c r="RSW33" i="6"/>
  <c r="RSV33" i="6"/>
  <c r="RSU33" i="6"/>
  <c r="RST33" i="6"/>
  <c r="RSS33" i="6"/>
  <c r="RSR33" i="6"/>
  <c r="RSQ33" i="6"/>
  <c r="RSP33" i="6"/>
  <c r="RSO33" i="6"/>
  <c r="RSN33" i="6"/>
  <c r="RSM33" i="6"/>
  <c r="RSL33" i="6"/>
  <c r="RSK33" i="6"/>
  <c r="RSJ33" i="6"/>
  <c r="RSI33" i="6"/>
  <c r="RSH33" i="6"/>
  <c r="RSG33" i="6"/>
  <c r="RSF33" i="6"/>
  <c r="RSE33" i="6"/>
  <c r="RSD33" i="6"/>
  <c r="RSC33" i="6"/>
  <c r="RSB33" i="6"/>
  <c r="RSA33" i="6"/>
  <c r="RRZ33" i="6"/>
  <c r="RRY33" i="6"/>
  <c r="RRX33" i="6"/>
  <c r="RRW33" i="6"/>
  <c r="RRV33" i="6"/>
  <c r="RRU33" i="6"/>
  <c r="RRT33" i="6"/>
  <c r="RRS33" i="6"/>
  <c r="RRR33" i="6"/>
  <c r="RRQ33" i="6"/>
  <c r="RRP33" i="6"/>
  <c r="RRO33" i="6"/>
  <c r="RRN33" i="6"/>
  <c r="RRM33" i="6"/>
  <c r="RRL33" i="6"/>
  <c r="RRK33" i="6"/>
  <c r="RRJ33" i="6"/>
  <c r="RRI33" i="6"/>
  <c r="RRH33" i="6"/>
  <c r="RRG33" i="6"/>
  <c r="RRF33" i="6"/>
  <c r="RRE33" i="6"/>
  <c r="RRD33" i="6"/>
  <c r="RRC33" i="6"/>
  <c r="RRB33" i="6"/>
  <c r="RRA33" i="6"/>
  <c r="RQZ33" i="6"/>
  <c r="RQY33" i="6"/>
  <c r="RQX33" i="6"/>
  <c r="RQW33" i="6"/>
  <c r="RQV33" i="6"/>
  <c r="RQU33" i="6"/>
  <c r="RQT33" i="6"/>
  <c r="RQS33" i="6"/>
  <c r="RQR33" i="6"/>
  <c r="RQQ33" i="6"/>
  <c r="RQP33" i="6"/>
  <c r="RQO33" i="6"/>
  <c r="RQN33" i="6"/>
  <c r="RQM33" i="6"/>
  <c r="RQL33" i="6"/>
  <c r="RQK33" i="6"/>
  <c r="RQJ33" i="6"/>
  <c r="RQI33" i="6"/>
  <c r="RQH33" i="6"/>
  <c r="RQG33" i="6"/>
  <c r="RQF33" i="6"/>
  <c r="RQE33" i="6"/>
  <c r="RQD33" i="6"/>
  <c r="RQC33" i="6"/>
  <c r="RQB33" i="6"/>
  <c r="RQA33" i="6"/>
  <c r="RPZ33" i="6"/>
  <c r="RPY33" i="6"/>
  <c r="RPX33" i="6"/>
  <c r="RPW33" i="6"/>
  <c r="RPV33" i="6"/>
  <c r="RPU33" i="6"/>
  <c r="RPT33" i="6"/>
  <c r="RPS33" i="6"/>
  <c r="RPR33" i="6"/>
  <c r="RPQ33" i="6"/>
  <c r="RPP33" i="6"/>
  <c r="RPO33" i="6"/>
  <c r="RPN33" i="6"/>
  <c r="RPM33" i="6"/>
  <c r="RPL33" i="6"/>
  <c r="RPK33" i="6"/>
  <c r="RPJ33" i="6"/>
  <c r="RPI33" i="6"/>
  <c r="RPH33" i="6"/>
  <c r="RPG33" i="6"/>
  <c r="RPF33" i="6"/>
  <c r="RPE33" i="6"/>
  <c r="RPD33" i="6"/>
  <c r="RPC33" i="6"/>
  <c r="RPB33" i="6"/>
  <c r="RPA33" i="6"/>
  <c r="ROZ33" i="6"/>
  <c r="ROY33" i="6"/>
  <c r="ROX33" i="6"/>
  <c r="ROW33" i="6"/>
  <c r="ROV33" i="6"/>
  <c r="ROU33" i="6"/>
  <c r="ROT33" i="6"/>
  <c r="ROS33" i="6"/>
  <c r="ROR33" i="6"/>
  <c r="ROQ33" i="6"/>
  <c r="ROP33" i="6"/>
  <c r="ROO33" i="6"/>
  <c r="RON33" i="6"/>
  <c r="ROM33" i="6"/>
  <c r="ROL33" i="6"/>
  <c r="ROK33" i="6"/>
  <c r="ROJ33" i="6"/>
  <c r="ROI33" i="6"/>
  <c r="ROH33" i="6"/>
  <c r="ROG33" i="6"/>
  <c r="ROF33" i="6"/>
  <c r="ROE33" i="6"/>
  <c r="ROD33" i="6"/>
  <c r="ROC33" i="6"/>
  <c r="ROB33" i="6"/>
  <c r="ROA33" i="6"/>
  <c r="RNZ33" i="6"/>
  <c r="RNY33" i="6"/>
  <c r="RNX33" i="6"/>
  <c r="RNW33" i="6"/>
  <c r="RNV33" i="6"/>
  <c r="RNU33" i="6"/>
  <c r="RNT33" i="6"/>
  <c r="RNS33" i="6"/>
  <c r="RNR33" i="6"/>
  <c r="RNQ33" i="6"/>
  <c r="RNP33" i="6"/>
  <c r="RNO33" i="6"/>
  <c r="RNN33" i="6"/>
  <c r="RNM33" i="6"/>
  <c r="RNL33" i="6"/>
  <c r="RNK33" i="6"/>
  <c r="RNJ33" i="6"/>
  <c r="RNI33" i="6"/>
  <c r="RNH33" i="6"/>
  <c r="RNG33" i="6"/>
  <c r="RNF33" i="6"/>
  <c r="RNE33" i="6"/>
  <c r="RND33" i="6"/>
  <c r="RNC33" i="6"/>
  <c r="RNB33" i="6"/>
  <c r="RNA33" i="6"/>
  <c r="RMZ33" i="6"/>
  <c r="RMY33" i="6"/>
  <c r="RMX33" i="6"/>
  <c r="RMW33" i="6"/>
  <c r="RMV33" i="6"/>
  <c r="RMU33" i="6"/>
  <c r="RMT33" i="6"/>
  <c r="RMS33" i="6"/>
  <c r="RMR33" i="6"/>
  <c r="RMQ33" i="6"/>
  <c r="RMP33" i="6"/>
  <c r="RMO33" i="6"/>
  <c r="RMN33" i="6"/>
  <c r="RMM33" i="6"/>
  <c r="RML33" i="6"/>
  <c r="RMK33" i="6"/>
  <c r="RMJ33" i="6"/>
  <c r="RMI33" i="6"/>
  <c r="RMH33" i="6"/>
  <c r="RMG33" i="6"/>
  <c r="RMF33" i="6"/>
  <c r="RME33" i="6"/>
  <c r="RMD33" i="6"/>
  <c r="RMC33" i="6"/>
  <c r="RMB33" i="6"/>
  <c r="RMA33" i="6"/>
  <c r="RLZ33" i="6"/>
  <c r="RLY33" i="6"/>
  <c r="RLX33" i="6"/>
  <c r="RLW33" i="6"/>
  <c r="RLV33" i="6"/>
  <c r="RLU33" i="6"/>
  <c r="RLT33" i="6"/>
  <c r="RLS33" i="6"/>
  <c r="RLR33" i="6"/>
  <c r="RLQ33" i="6"/>
  <c r="RLP33" i="6"/>
  <c r="RLO33" i="6"/>
  <c r="RLN33" i="6"/>
  <c r="RLM33" i="6"/>
  <c r="RLL33" i="6"/>
  <c r="RLK33" i="6"/>
  <c r="RLJ33" i="6"/>
  <c r="RLI33" i="6"/>
  <c r="RLH33" i="6"/>
  <c r="RLG33" i="6"/>
  <c r="RLF33" i="6"/>
  <c r="RLE33" i="6"/>
  <c r="RLD33" i="6"/>
  <c r="RLC33" i="6"/>
  <c r="RLB33" i="6"/>
  <c r="RLA33" i="6"/>
  <c r="RKZ33" i="6"/>
  <c r="RKY33" i="6"/>
  <c r="RKX33" i="6"/>
  <c r="RKW33" i="6"/>
  <c r="RKV33" i="6"/>
  <c r="RKU33" i="6"/>
  <c r="RKT33" i="6"/>
  <c r="RKS33" i="6"/>
  <c r="RKR33" i="6"/>
  <c r="RKQ33" i="6"/>
  <c r="RKP33" i="6"/>
  <c r="RKO33" i="6"/>
  <c r="RKN33" i="6"/>
  <c r="RKM33" i="6"/>
  <c r="RKL33" i="6"/>
  <c r="RKK33" i="6"/>
  <c r="RKJ33" i="6"/>
  <c r="RKI33" i="6"/>
  <c r="RKH33" i="6"/>
  <c r="RKG33" i="6"/>
  <c r="RKF33" i="6"/>
  <c r="RKE33" i="6"/>
  <c r="RKD33" i="6"/>
  <c r="RKC33" i="6"/>
  <c r="RKB33" i="6"/>
  <c r="RKA33" i="6"/>
  <c r="RJZ33" i="6"/>
  <c r="RJY33" i="6"/>
  <c r="RJX33" i="6"/>
  <c r="RJW33" i="6"/>
  <c r="RJV33" i="6"/>
  <c r="RJU33" i="6"/>
  <c r="RJT33" i="6"/>
  <c r="RJS33" i="6"/>
  <c r="RJR33" i="6"/>
  <c r="RJQ33" i="6"/>
  <c r="RJP33" i="6"/>
  <c r="RJO33" i="6"/>
  <c r="RJN33" i="6"/>
  <c r="RJM33" i="6"/>
  <c r="RJL33" i="6"/>
  <c r="RJK33" i="6"/>
  <c r="RJJ33" i="6"/>
  <c r="RJI33" i="6"/>
  <c r="RJH33" i="6"/>
  <c r="RJG33" i="6"/>
  <c r="RJF33" i="6"/>
  <c r="RJE33" i="6"/>
  <c r="RJD33" i="6"/>
  <c r="RJC33" i="6"/>
  <c r="RJB33" i="6"/>
  <c r="RJA33" i="6"/>
  <c r="RIZ33" i="6"/>
  <c r="RIY33" i="6"/>
  <c r="RIX33" i="6"/>
  <c r="RIW33" i="6"/>
  <c r="RIV33" i="6"/>
  <c r="RIU33" i="6"/>
  <c r="RIT33" i="6"/>
  <c r="RIS33" i="6"/>
  <c r="RIR33" i="6"/>
  <c r="RIQ33" i="6"/>
  <c r="RIP33" i="6"/>
  <c r="RIO33" i="6"/>
  <c r="RIN33" i="6"/>
  <c r="RIM33" i="6"/>
  <c r="RIL33" i="6"/>
  <c r="RIK33" i="6"/>
  <c r="RIJ33" i="6"/>
  <c r="RII33" i="6"/>
  <c r="RIH33" i="6"/>
  <c r="RIG33" i="6"/>
  <c r="RIF33" i="6"/>
  <c r="RIE33" i="6"/>
  <c r="RID33" i="6"/>
  <c r="RIC33" i="6"/>
  <c r="RIB33" i="6"/>
  <c r="RIA33" i="6"/>
  <c r="RHZ33" i="6"/>
  <c r="RHY33" i="6"/>
  <c r="RHX33" i="6"/>
  <c r="RHW33" i="6"/>
  <c r="RHV33" i="6"/>
  <c r="RHU33" i="6"/>
  <c r="RHT33" i="6"/>
  <c r="RHS33" i="6"/>
  <c r="RHR33" i="6"/>
  <c r="RHQ33" i="6"/>
  <c r="RHP33" i="6"/>
  <c r="RHO33" i="6"/>
  <c r="RHN33" i="6"/>
  <c r="RHM33" i="6"/>
  <c r="RHL33" i="6"/>
  <c r="RHK33" i="6"/>
  <c r="RHJ33" i="6"/>
  <c r="RHI33" i="6"/>
  <c r="RHH33" i="6"/>
  <c r="RHG33" i="6"/>
  <c r="RHF33" i="6"/>
  <c r="RHE33" i="6"/>
  <c r="RHD33" i="6"/>
  <c r="RHC33" i="6"/>
  <c r="RHB33" i="6"/>
  <c r="RHA33" i="6"/>
  <c r="RGZ33" i="6"/>
  <c r="RGY33" i="6"/>
  <c r="RGX33" i="6"/>
  <c r="RGW33" i="6"/>
  <c r="RGV33" i="6"/>
  <c r="RGU33" i="6"/>
  <c r="RGT33" i="6"/>
  <c r="RGS33" i="6"/>
  <c r="RGR33" i="6"/>
  <c r="RGQ33" i="6"/>
  <c r="RGP33" i="6"/>
  <c r="RGO33" i="6"/>
  <c r="RGN33" i="6"/>
  <c r="RGM33" i="6"/>
  <c r="RGL33" i="6"/>
  <c r="RGK33" i="6"/>
  <c r="RGJ33" i="6"/>
  <c r="RGI33" i="6"/>
  <c r="RGH33" i="6"/>
  <c r="RGG33" i="6"/>
  <c r="RGF33" i="6"/>
  <c r="RGE33" i="6"/>
  <c r="RGD33" i="6"/>
  <c r="RGC33" i="6"/>
  <c r="RGB33" i="6"/>
  <c r="RGA33" i="6"/>
  <c r="RFZ33" i="6"/>
  <c r="RFY33" i="6"/>
  <c r="RFX33" i="6"/>
  <c r="RFW33" i="6"/>
  <c r="RFV33" i="6"/>
  <c r="RFU33" i="6"/>
  <c r="RFT33" i="6"/>
  <c r="RFS33" i="6"/>
  <c r="RFR33" i="6"/>
  <c r="RFQ33" i="6"/>
  <c r="RFP33" i="6"/>
  <c r="RFO33" i="6"/>
  <c r="RFN33" i="6"/>
  <c r="RFM33" i="6"/>
  <c r="RFL33" i="6"/>
  <c r="RFK33" i="6"/>
  <c r="RFJ33" i="6"/>
  <c r="RFI33" i="6"/>
  <c r="RFH33" i="6"/>
  <c r="RFG33" i="6"/>
  <c r="RFF33" i="6"/>
  <c r="RFE33" i="6"/>
  <c r="RFD33" i="6"/>
  <c r="RFC33" i="6"/>
  <c r="RFB33" i="6"/>
  <c r="RFA33" i="6"/>
  <c r="REZ33" i="6"/>
  <c r="REY33" i="6"/>
  <c r="REX33" i="6"/>
  <c r="REW33" i="6"/>
  <c r="REV33" i="6"/>
  <c r="REU33" i="6"/>
  <c r="RET33" i="6"/>
  <c r="RES33" i="6"/>
  <c r="RER33" i="6"/>
  <c r="REQ33" i="6"/>
  <c r="REP33" i="6"/>
  <c r="REO33" i="6"/>
  <c r="REN33" i="6"/>
  <c r="REM33" i="6"/>
  <c r="REL33" i="6"/>
  <c r="REK33" i="6"/>
  <c r="REJ33" i="6"/>
  <c r="REI33" i="6"/>
  <c r="REH33" i="6"/>
  <c r="REG33" i="6"/>
  <c r="REF33" i="6"/>
  <c r="REE33" i="6"/>
  <c r="RED33" i="6"/>
  <c r="REC33" i="6"/>
  <c r="REB33" i="6"/>
  <c r="REA33" i="6"/>
  <c r="RDZ33" i="6"/>
  <c r="RDY33" i="6"/>
  <c r="RDX33" i="6"/>
  <c r="RDW33" i="6"/>
  <c r="RDV33" i="6"/>
  <c r="RDU33" i="6"/>
  <c r="RDT33" i="6"/>
  <c r="RDS33" i="6"/>
  <c r="RDR33" i="6"/>
  <c r="RDQ33" i="6"/>
  <c r="RDP33" i="6"/>
  <c r="RDO33" i="6"/>
  <c r="RDN33" i="6"/>
  <c r="RDM33" i="6"/>
  <c r="RDL33" i="6"/>
  <c r="RDK33" i="6"/>
  <c r="RDJ33" i="6"/>
  <c r="RDI33" i="6"/>
  <c r="RDH33" i="6"/>
  <c r="RDG33" i="6"/>
  <c r="RDF33" i="6"/>
  <c r="RDE33" i="6"/>
  <c r="RDD33" i="6"/>
  <c r="RDC33" i="6"/>
  <c r="RDB33" i="6"/>
  <c r="RDA33" i="6"/>
  <c r="RCZ33" i="6"/>
  <c r="RCY33" i="6"/>
  <c r="RCX33" i="6"/>
  <c r="RCW33" i="6"/>
  <c r="RCV33" i="6"/>
  <c r="RCU33" i="6"/>
  <c r="RCT33" i="6"/>
  <c r="RCS33" i="6"/>
  <c r="RCR33" i="6"/>
  <c r="RCQ33" i="6"/>
  <c r="RCP33" i="6"/>
  <c r="RCO33" i="6"/>
  <c r="RCN33" i="6"/>
  <c r="RCM33" i="6"/>
  <c r="RCL33" i="6"/>
  <c r="RCK33" i="6"/>
  <c r="RCJ33" i="6"/>
  <c r="RCI33" i="6"/>
  <c r="RCH33" i="6"/>
  <c r="RCG33" i="6"/>
  <c r="RCF33" i="6"/>
  <c r="RCE33" i="6"/>
  <c r="RCD33" i="6"/>
  <c r="RCC33" i="6"/>
  <c r="RCB33" i="6"/>
  <c r="RCA33" i="6"/>
  <c r="RBZ33" i="6"/>
  <c r="RBY33" i="6"/>
  <c r="RBX33" i="6"/>
  <c r="RBW33" i="6"/>
  <c r="RBV33" i="6"/>
  <c r="RBU33" i="6"/>
  <c r="RBT33" i="6"/>
  <c r="RBS33" i="6"/>
  <c r="RBR33" i="6"/>
  <c r="RBQ33" i="6"/>
  <c r="RBP33" i="6"/>
  <c r="RBO33" i="6"/>
  <c r="RBN33" i="6"/>
  <c r="RBM33" i="6"/>
  <c r="RBL33" i="6"/>
  <c r="RBK33" i="6"/>
  <c r="RBJ33" i="6"/>
  <c r="RBI33" i="6"/>
  <c r="RBH33" i="6"/>
  <c r="RBG33" i="6"/>
  <c r="RBF33" i="6"/>
  <c r="RBE33" i="6"/>
  <c r="RBD33" i="6"/>
  <c r="RBC33" i="6"/>
  <c r="RBB33" i="6"/>
  <c r="RBA33" i="6"/>
  <c r="RAZ33" i="6"/>
  <c r="RAY33" i="6"/>
  <c r="RAX33" i="6"/>
  <c r="RAW33" i="6"/>
  <c r="RAV33" i="6"/>
  <c r="RAU33" i="6"/>
  <c r="RAT33" i="6"/>
  <c r="RAS33" i="6"/>
  <c r="RAR33" i="6"/>
  <c r="RAQ33" i="6"/>
  <c r="RAP33" i="6"/>
  <c r="RAO33" i="6"/>
  <c r="RAN33" i="6"/>
  <c r="RAM33" i="6"/>
  <c r="RAL33" i="6"/>
  <c r="RAK33" i="6"/>
  <c r="RAJ33" i="6"/>
  <c r="RAI33" i="6"/>
  <c r="RAH33" i="6"/>
  <c r="RAG33" i="6"/>
  <c r="RAF33" i="6"/>
  <c r="RAE33" i="6"/>
  <c r="RAD33" i="6"/>
  <c r="RAC33" i="6"/>
  <c r="RAB33" i="6"/>
  <c r="RAA33" i="6"/>
  <c r="QZZ33" i="6"/>
  <c r="QZY33" i="6"/>
  <c r="QZX33" i="6"/>
  <c r="QZW33" i="6"/>
  <c r="QZV33" i="6"/>
  <c r="QZU33" i="6"/>
  <c r="QZT33" i="6"/>
  <c r="QZS33" i="6"/>
  <c r="QZR33" i="6"/>
  <c r="QZQ33" i="6"/>
  <c r="QZP33" i="6"/>
  <c r="QZO33" i="6"/>
  <c r="QZN33" i="6"/>
  <c r="QZM33" i="6"/>
  <c r="QZL33" i="6"/>
  <c r="QZK33" i="6"/>
  <c r="QZJ33" i="6"/>
  <c r="QZI33" i="6"/>
  <c r="QZH33" i="6"/>
  <c r="QZG33" i="6"/>
  <c r="QZF33" i="6"/>
  <c r="QZE33" i="6"/>
  <c r="QZD33" i="6"/>
  <c r="QZC33" i="6"/>
  <c r="QZB33" i="6"/>
  <c r="QZA33" i="6"/>
  <c r="QYZ33" i="6"/>
  <c r="QYY33" i="6"/>
  <c r="QYX33" i="6"/>
  <c r="QYW33" i="6"/>
  <c r="QYV33" i="6"/>
  <c r="QYU33" i="6"/>
  <c r="QYT33" i="6"/>
  <c r="QYS33" i="6"/>
  <c r="QYR33" i="6"/>
  <c r="QYQ33" i="6"/>
  <c r="QYP33" i="6"/>
  <c r="QYO33" i="6"/>
  <c r="QYN33" i="6"/>
  <c r="QYM33" i="6"/>
  <c r="QYL33" i="6"/>
  <c r="QYK33" i="6"/>
  <c r="QYJ33" i="6"/>
  <c r="QYI33" i="6"/>
  <c r="QYH33" i="6"/>
  <c r="QYG33" i="6"/>
  <c r="QYF33" i="6"/>
  <c r="QYE33" i="6"/>
  <c r="QYD33" i="6"/>
  <c r="QYC33" i="6"/>
  <c r="QYB33" i="6"/>
  <c r="QYA33" i="6"/>
  <c r="QXZ33" i="6"/>
  <c r="QXY33" i="6"/>
  <c r="QXX33" i="6"/>
  <c r="QXW33" i="6"/>
  <c r="QXV33" i="6"/>
  <c r="QXU33" i="6"/>
  <c r="QXT33" i="6"/>
  <c r="QXS33" i="6"/>
  <c r="QXR33" i="6"/>
  <c r="QXQ33" i="6"/>
  <c r="QXP33" i="6"/>
  <c r="QXO33" i="6"/>
  <c r="QXN33" i="6"/>
  <c r="QXM33" i="6"/>
  <c r="QXL33" i="6"/>
  <c r="QXK33" i="6"/>
  <c r="QXJ33" i="6"/>
  <c r="QXI33" i="6"/>
  <c r="QXH33" i="6"/>
  <c r="QXG33" i="6"/>
  <c r="QXF33" i="6"/>
  <c r="QXE33" i="6"/>
  <c r="QXD33" i="6"/>
  <c r="QXC33" i="6"/>
  <c r="QXB33" i="6"/>
  <c r="QXA33" i="6"/>
  <c r="QWZ33" i="6"/>
  <c r="QWY33" i="6"/>
  <c r="QWX33" i="6"/>
  <c r="QWW33" i="6"/>
  <c r="QWV33" i="6"/>
  <c r="QWU33" i="6"/>
  <c r="QWT33" i="6"/>
  <c r="QWS33" i="6"/>
  <c r="QWR33" i="6"/>
  <c r="QWQ33" i="6"/>
  <c r="QWP33" i="6"/>
  <c r="QWO33" i="6"/>
  <c r="QWN33" i="6"/>
  <c r="QWM33" i="6"/>
  <c r="QWL33" i="6"/>
  <c r="QWK33" i="6"/>
  <c r="QWJ33" i="6"/>
  <c r="QWI33" i="6"/>
  <c r="QWH33" i="6"/>
  <c r="QWG33" i="6"/>
  <c r="QWF33" i="6"/>
  <c r="QWE33" i="6"/>
  <c r="QWD33" i="6"/>
  <c r="QWC33" i="6"/>
  <c r="QWB33" i="6"/>
  <c r="QWA33" i="6"/>
  <c r="QVZ33" i="6"/>
  <c r="QVY33" i="6"/>
  <c r="QVX33" i="6"/>
  <c r="QVW33" i="6"/>
  <c r="QVV33" i="6"/>
  <c r="QVU33" i="6"/>
  <c r="QVT33" i="6"/>
  <c r="QVS33" i="6"/>
  <c r="QVR33" i="6"/>
  <c r="QVQ33" i="6"/>
  <c r="QVP33" i="6"/>
  <c r="QVO33" i="6"/>
  <c r="QVN33" i="6"/>
  <c r="QVM33" i="6"/>
  <c r="QVL33" i="6"/>
  <c r="QVK33" i="6"/>
  <c r="QVJ33" i="6"/>
  <c r="QVI33" i="6"/>
  <c r="QVH33" i="6"/>
  <c r="QVG33" i="6"/>
  <c r="QVF33" i="6"/>
  <c r="QVE33" i="6"/>
  <c r="QVD33" i="6"/>
  <c r="QVC33" i="6"/>
  <c r="QVB33" i="6"/>
  <c r="QVA33" i="6"/>
  <c r="QUZ33" i="6"/>
  <c r="QUY33" i="6"/>
  <c r="QUX33" i="6"/>
  <c r="QUW33" i="6"/>
  <c r="QUV33" i="6"/>
  <c r="QUU33" i="6"/>
  <c r="QUT33" i="6"/>
  <c r="QUS33" i="6"/>
  <c r="QUR33" i="6"/>
  <c r="QUQ33" i="6"/>
  <c r="QUP33" i="6"/>
  <c r="QUO33" i="6"/>
  <c r="QUN33" i="6"/>
  <c r="QUM33" i="6"/>
  <c r="QUL33" i="6"/>
  <c r="QUK33" i="6"/>
  <c r="QUJ33" i="6"/>
  <c r="QUI33" i="6"/>
  <c r="QUH33" i="6"/>
  <c r="QUG33" i="6"/>
  <c r="QUF33" i="6"/>
  <c r="QUE33" i="6"/>
  <c r="QUD33" i="6"/>
  <c r="QUC33" i="6"/>
  <c r="QUB33" i="6"/>
  <c r="QUA33" i="6"/>
  <c r="QTZ33" i="6"/>
  <c r="QTY33" i="6"/>
  <c r="QTX33" i="6"/>
  <c r="QTW33" i="6"/>
  <c r="QTV33" i="6"/>
  <c r="QTU33" i="6"/>
  <c r="QTT33" i="6"/>
  <c r="QTS33" i="6"/>
  <c r="QTR33" i="6"/>
  <c r="QTQ33" i="6"/>
  <c r="QTP33" i="6"/>
  <c r="QTO33" i="6"/>
  <c r="QTN33" i="6"/>
  <c r="QTM33" i="6"/>
  <c r="QTL33" i="6"/>
  <c r="QTK33" i="6"/>
  <c r="QTJ33" i="6"/>
  <c r="QTI33" i="6"/>
  <c r="QTH33" i="6"/>
  <c r="QTG33" i="6"/>
  <c r="QTF33" i="6"/>
  <c r="QTE33" i="6"/>
  <c r="QTD33" i="6"/>
  <c r="QTC33" i="6"/>
  <c r="QTB33" i="6"/>
  <c r="QTA33" i="6"/>
  <c r="QSZ33" i="6"/>
  <c r="QSY33" i="6"/>
  <c r="QSX33" i="6"/>
  <c r="QSW33" i="6"/>
  <c r="QSV33" i="6"/>
  <c r="QSU33" i="6"/>
  <c r="QST33" i="6"/>
  <c r="QSS33" i="6"/>
  <c r="QSR33" i="6"/>
  <c r="QSQ33" i="6"/>
  <c r="QSP33" i="6"/>
  <c r="QSO33" i="6"/>
  <c r="QSN33" i="6"/>
  <c r="QSM33" i="6"/>
  <c r="QSL33" i="6"/>
  <c r="QSK33" i="6"/>
  <c r="QSJ33" i="6"/>
  <c r="QSI33" i="6"/>
  <c r="QSH33" i="6"/>
  <c r="QSG33" i="6"/>
  <c r="QSF33" i="6"/>
  <c r="QSE33" i="6"/>
  <c r="QSD33" i="6"/>
  <c r="QSC33" i="6"/>
  <c r="QSB33" i="6"/>
  <c r="QSA33" i="6"/>
  <c r="QRZ33" i="6"/>
  <c r="QRY33" i="6"/>
  <c r="QRX33" i="6"/>
  <c r="QRW33" i="6"/>
  <c r="QRV33" i="6"/>
  <c r="QRU33" i="6"/>
  <c r="QRT33" i="6"/>
  <c r="QRS33" i="6"/>
  <c r="QRR33" i="6"/>
  <c r="QRQ33" i="6"/>
  <c r="QRP33" i="6"/>
  <c r="QRO33" i="6"/>
  <c r="QRN33" i="6"/>
  <c r="QRM33" i="6"/>
  <c r="QRL33" i="6"/>
  <c r="QRK33" i="6"/>
  <c r="QRJ33" i="6"/>
  <c r="QRI33" i="6"/>
  <c r="QRH33" i="6"/>
  <c r="QRG33" i="6"/>
  <c r="QRF33" i="6"/>
  <c r="QRE33" i="6"/>
  <c r="QRD33" i="6"/>
  <c r="QRC33" i="6"/>
  <c r="QRB33" i="6"/>
  <c r="QRA33" i="6"/>
  <c r="QQZ33" i="6"/>
  <c r="QQY33" i="6"/>
  <c r="QQX33" i="6"/>
  <c r="QQW33" i="6"/>
  <c r="QQV33" i="6"/>
  <c r="QQU33" i="6"/>
  <c r="QQT33" i="6"/>
  <c r="QQS33" i="6"/>
  <c r="QQR33" i="6"/>
  <c r="QQQ33" i="6"/>
  <c r="QQP33" i="6"/>
  <c r="QQO33" i="6"/>
  <c r="QQN33" i="6"/>
  <c r="QQM33" i="6"/>
  <c r="QQL33" i="6"/>
  <c r="QQK33" i="6"/>
  <c r="QQJ33" i="6"/>
  <c r="QQI33" i="6"/>
  <c r="QQH33" i="6"/>
  <c r="QQG33" i="6"/>
  <c r="QQF33" i="6"/>
  <c r="QQE33" i="6"/>
  <c r="QQD33" i="6"/>
  <c r="QQC33" i="6"/>
  <c r="QQB33" i="6"/>
  <c r="QQA33" i="6"/>
  <c r="QPZ33" i="6"/>
  <c r="QPY33" i="6"/>
  <c r="QPX33" i="6"/>
  <c r="QPW33" i="6"/>
  <c r="QPV33" i="6"/>
  <c r="QPU33" i="6"/>
  <c r="QPT33" i="6"/>
  <c r="QPS33" i="6"/>
  <c r="QPR33" i="6"/>
  <c r="QPQ33" i="6"/>
  <c r="QPP33" i="6"/>
  <c r="QPO33" i="6"/>
  <c r="QPN33" i="6"/>
  <c r="QPM33" i="6"/>
  <c r="QPL33" i="6"/>
  <c r="QPK33" i="6"/>
  <c r="QPJ33" i="6"/>
  <c r="QPI33" i="6"/>
  <c r="QPH33" i="6"/>
  <c r="QPG33" i="6"/>
  <c r="QPF33" i="6"/>
  <c r="QPE33" i="6"/>
  <c r="QPD33" i="6"/>
  <c r="QPC33" i="6"/>
  <c r="QPB33" i="6"/>
  <c r="QPA33" i="6"/>
  <c r="QOZ33" i="6"/>
  <c r="QOY33" i="6"/>
  <c r="QOX33" i="6"/>
  <c r="QOW33" i="6"/>
  <c r="QOV33" i="6"/>
  <c r="QOU33" i="6"/>
  <c r="QOT33" i="6"/>
  <c r="QOS33" i="6"/>
  <c r="QOR33" i="6"/>
  <c r="QOQ33" i="6"/>
  <c r="QOP33" i="6"/>
  <c r="QOO33" i="6"/>
  <c r="QON33" i="6"/>
  <c r="QOM33" i="6"/>
  <c r="QOL33" i="6"/>
  <c r="QOK33" i="6"/>
  <c r="QOJ33" i="6"/>
  <c r="QOI33" i="6"/>
  <c r="QOH33" i="6"/>
  <c r="QOG33" i="6"/>
  <c r="QOF33" i="6"/>
  <c r="QOE33" i="6"/>
  <c r="QOD33" i="6"/>
  <c r="QOC33" i="6"/>
  <c r="QOB33" i="6"/>
  <c r="QOA33" i="6"/>
  <c r="QNZ33" i="6"/>
  <c r="QNY33" i="6"/>
  <c r="QNX33" i="6"/>
  <c r="QNW33" i="6"/>
  <c r="QNV33" i="6"/>
  <c r="QNU33" i="6"/>
  <c r="QNT33" i="6"/>
  <c r="QNS33" i="6"/>
  <c r="QNR33" i="6"/>
  <c r="QNQ33" i="6"/>
  <c r="QNP33" i="6"/>
  <c r="QNO33" i="6"/>
  <c r="QNN33" i="6"/>
  <c r="QNM33" i="6"/>
  <c r="QNL33" i="6"/>
  <c r="QNK33" i="6"/>
  <c r="QNJ33" i="6"/>
  <c r="QNI33" i="6"/>
  <c r="QNH33" i="6"/>
  <c r="QNG33" i="6"/>
  <c r="QNF33" i="6"/>
  <c r="QNE33" i="6"/>
  <c r="QND33" i="6"/>
  <c r="QNC33" i="6"/>
  <c r="QNB33" i="6"/>
  <c r="QNA33" i="6"/>
  <c r="QMZ33" i="6"/>
  <c r="QMY33" i="6"/>
  <c r="QMX33" i="6"/>
  <c r="QMW33" i="6"/>
  <c r="QMV33" i="6"/>
  <c r="QMU33" i="6"/>
  <c r="QMT33" i="6"/>
  <c r="QMS33" i="6"/>
  <c r="QMR33" i="6"/>
  <c r="QMQ33" i="6"/>
  <c r="QMP33" i="6"/>
  <c r="QMO33" i="6"/>
  <c r="QMN33" i="6"/>
  <c r="QMM33" i="6"/>
  <c r="QML33" i="6"/>
  <c r="QMK33" i="6"/>
  <c r="QMJ33" i="6"/>
  <c r="QMI33" i="6"/>
  <c r="QMH33" i="6"/>
  <c r="QMG33" i="6"/>
  <c r="QMF33" i="6"/>
  <c r="QME33" i="6"/>
  <c r="QMD33" i="6"/>
  <c r="QMC33" i="6"/>
  <c r="QMB33" i="6"/>
  <c r="QMA33" i="6"/>
  <c r="QLZ33" i="6"/>
  <c r="QLY33" i="6"/>
  <c r="QLX33" i="6"/>
  <c r="QLW33" i="6"/>
  <c r="QLV33" i="6"/>
  <c r="QLU33" i="6"/>
  <c r="QLT33" i="6"/>
  <c r="QLS33" i="6"/>
  <c r="QLR33" i="6"/>
  <c r="QLQ33" i="6"/>
  <c r="QLP33" i="6"/>
  <c r="QLO33" i="6"/>
  <c r="QLN33" i="6"/>
  <c r="QLM33" i="6"/>
  <c r="QLL33" i="6"/>
  <c r="QLK33" i="6"/>
  <c r="QLJ33" i="6"/>
  <c r="QLI33" i="6"/>
  <c r="QLH33" i="6"/>
  <c r="QLG33" i="6"/>
  <c r="QLF33" i="6"/>
  <c r="QLE33" i="6"/>
  <c r="QLD33" i="6"/>
  <c r="QLC33" i="6"/>
  <c r="QLB33" i="6"/>
  <c r="QLA33" i="6"/>
  <c r="QKZ33" i="6"/>
  <c r="QKY33" i="6"/>
  <c r="QKX33" i="6"/>
  <c r="QKW33" i="6"/>
  <c r="QKV33" i="6"/>
  <c r="QKU33" i="6"/>
  <c r="QKT33" i="6"/>
  <c r="QKS33" i="6"/>
  <c r="QKR33" i="6"/>
  <c r="QKQ33" i="6"/>
  <c r="QKP33" i="6"/>
  <c r="QKO33" i="6"/>
  <c r="QKN33" i="6"/>
  <c r="QKM33" i="6"/>
  <c r="QKL33" i="6"/>
  <c r="QKK33" i="6"/>
  <c r="QKJ33" i="6"/>
  <c r="QKI33" i="6"/>
  <c r="QKH33" i="6"/>
  <c r="QKG33" i="6"/>
  <c r="QKF33" i="6"/>
  <c r="QKE33" i="6"/>
  <c r="QKD33" i="6"/>
  <c r="QKC33" i="6"/>
  <c r="QKB33" i="6"/>
  <c r="QKA33" i="6"/>
  <c r="QJZ33" i="6"/>
  <c r="QJY33" i="6"/>
  <c r="QJX33" i="6"/>
  <c r="QJW33" i="6"/>
  <c r="QJV33" i="6"/>
  <c r="QJU33" i="6"/>
  <c r="QJT33" i="6"/>
  <c r="QJS33" i="6"/>
  <c r="QJR33" i="6"/>
  <c r="QJQ33" i="6"/>
  <c r="QJP33" i="6"/>
  <c r="QJO33" i="6"/>
  <c r="QJN33" i="6"/>
  <c r="QJM33" i="6"/>
  <c r="QJL33" i="6"/>
  <c r="QJK33" i="6"/>
  <c r="QJJ33" i="6"/>
  <c r="QJI33" i="6"/>
  <c r="QJH33" i="6"/>
  <c r="QJG33" i="6"/>
  <c r="QJF33" i="6"/>
  <c r="QJE33" i="6"/>
  <c r="QJD33" i="6"/>
  <c r="QJC33" i="6"/>
  <c r="QJB33" i="6"/>
  <c r="QJA33" i="6"/>
  <c r="QIZ33" i="6"/>
  <c r="QIY33" i="6"/>
  <c r="QIX33" i="6"/>
  <c r="QIW33" i="6"/>
  <c r="QIV33" i="6"/>
  <c r="QIU33" i="6"/>
  <c r="QIT33" i="6"/>
  <c r="QIS33" i="6"/>
  <c r="QIR33" i="6"/>
  <c r="QIQ33" i="6"/>
  <c r="QIP33" i="6"/>
  <c r="QIO33" i="6"/>
  <c r="QIN33" i="6"/>
  <c r="QIM33" i="6"/>
  <c r="QIL33" i="6"/>
  <c r="QIK33" i="6"/>
  <c r="QIJ33" i="6"/>
  <c r="QII33" i="6"/>
  <c r="QIH33" i="6"/>
  <c r="QIG33" i="6"/>
  <c r="QIF33" i="6"/>
  <c r="QIE33" i="6"/>
  <c r="QID33" i="6"/>
  <c r="QIC33" i="6"/>
  <c r="QIB33" i="6"/>
  <c r="QIA33" i="6"/>
  <c r="QHZ33" i="6"/>
  <c r="QHY33" i="6"/>
  <c r="QHX33" i="6"/>
  <c r="QHW33" i="6"/>
  <c r="QHV33" i="6"/>
  <c r="QHU33" i="6"/>
  <c r="QHT33" i="6"/>
  <c r="QHS33" i="6"/>
  <c r="QHR33" i="6"/>
  <c r="QHQ33" i="6"/>
  <c r="QHP33" i="6"/>
  <c r="QHO33" i="6"/>
  <c r="QHN33" i="6"/>
  <c r="QHM33" i="6"/>
  <c r="QHL33" i="6"/>
  <c r="QHK33" i="6"/>
  <c r="QHJ33" i="6"/>
  <c r="QHI33" i="6"/>
  <c r="QHH33" i="6"/>
  <c r="QHG33" i="6"/>
  <c r="QHF33" i="6"/>
  <c r="QHE33" i="6"/>
  <c r="QHD33" i="6"/>
  <c r="QHC33" i="6"/>
  <c r="QHB33" i="6"/>
  <c r="QHA33" i="6"/>
  <c r="QGZ33" i="6"/>
  <c r="QGY33" i="6"/>
  <c r="QGX33" i="6"/>
  <c r="QGW33" i="6"/>
  <c r="QGV33" i="6"/>
  <c r="QGU33" i="6"/>
  <c r="QGT33" i="6"/>
  <c r="QGS33" i="6"/>
  <c r="QGR33" i="6"/>
  <c r="QGQ33" i="6"/>
  <c r="QGP33" i="6"/>
  <c r="QGO33" i="6"/>
  <c r="QGN33" i="6"/>
  <c r="QGM33" i="6"/>
  <c r="QGL33" i="6"/>
  <c r="QGK33" i="6"/>
  <c r="QGJ33" i="6"/>
  <c r="QGI33" i="6"/>
  <c r="QGH33" i="6"/>
  <c r="QGG33" i="6"/>
  <c r="QGF33" i="6"/>
  <c r="QGE33" i="6"/>
  <c r="QGD33" i="6"/>
  <c r="QGC33" i="6"/>
  <c r="QGB33" i="6"/>
  <c r="QGA33" i="6"/>
  <c r="QFZ33" i="6"/>
  <c r="QFY33" i="6"/>
  <c r="QFX33" i="6"/>
  <c r="QFW33" i="6"/>
  <c r="QFV33" i="6"/>
  <c r="QFU33" i="6"/>
  <c r="QFT33" i="6"/>
  <c r="QFS33" i="6"/>
  <c r="QFR33" i="6"/>
  <c r="QFQ33" i="6"/>
  <c r="QFP33" i="6"/>
  <c r="QFO33" i="6"/>
  <c r="QFN33" i="6"/>
  <c r="QFM33" i="6"/>
  <c r="QFL33" i="6"/>
  <c r="QFK33" i="6"/>
  <c r="QFJ33" i="6"/>
  <c r="QFI33" i="6"/>
  <c r="QFH33" i="6"/>
  <c r="QFG33" i="6"/>
  <c r="QFF33" i="6"/>
  <c r="QFE33" i="6"/>
  <c r="QFD33" i="6"/>
  <c r="QFC33" i="6"/>
  <c r="QFB33" i="6"/>
  <c r="QFA33" i="6"/>
  <c r="QEZ33" i="6"/>
  <c r="QEY33" i="6"/>
  <c r="QEX33" i="6"/>
  <c r="QEW33" i="6"/>
  <c r="QEV33" i="6"/>
  <c r="QEU33" i="6"/>
  <c r="QET33" i="6"/>
  <c r="QES33" i="6"/>
  <c r="QER33" i="6"/>
  <c r="QEQ33" i="6"/>
  <c r="QEP33" i="6"/>
  <c r="QEO33" i="6"/>
  <c r="QEN33" i="6"/>
  <c r="QEM33" i="6"/>
  <c r="QEL33" i="6"/>
  <c r="QEK33" i="6"/>
  <c r="QEJ33" i="6"/>
  <c r="QEI33" i="6"/>
  <c r="QEH33" i="6"/>
  <c r="QEG33" i="6"/>
  <c r="QEF33" i="6"/>
  <c r="QEE33" i="6"/>
  <c r="QED33" i="6"/>
  <c r="QEC33" i="6"/>
  <c r="QEB33" i="6"/>
  <c r="QEA33" i="6"/>
  <c r="QDZ33" i="6"/>
  <c r="QDY33" i="6"/>
  <c r="QDX33" i="6"/>
  <c r="QDW33" i="6"/>
  <c r="QDV33" i="6"/>
  <c r="QDU33" i="6"/>
  <c r="QDT33" i="6"/>
  <c r="QDS33" i="6"/>
  <c r="QDR33" i="6"/>
  <c r="QDQ33" i="6"/>
  <c r="QDP33" i="6"/>
  <c r="QDO33" i="6"/>
  <c r="QDN33" i="6"/>
  <c r="QDM33" i="6"/>
  <c r="QDL33" i="6"/>
  <c r="QDK33" i="6"/>
  <c r="QDJ33" i="6"/>
  <c r="QDI33" i="6"/>
  <c r="QDH33" i="6"/>
  <c r="QDG33" i="6"/>
  <c r="QDF33" i="6"/>
  <c r="QDE33" i="6"/>
  <c r="QDD33" i="6"/>
  <c r="QDC33" i="6"/>
  <c r="QDB33" i="6"/>
  <c r="QDA33" i="6"/>
  <c r="QCZ33" i="6"/>
  <c r="QCY33" i="6"/>
  <c r="QCX33" i="6"/>
  <c r="QCW33" i="6"/>
  <c r="QCV33" i="6"/>
  <c r="QCU33" i="6"/>
  <c r="QCT33" i="6"/>
  <c r="QCS33" i="6"/>
  <c r="QCR33" i="6"/>
  <c r="QCQ33" i="6"/>
  <c r="QCP33" i="6"/>
  <c r="QCO33" i="6"/>
  <c r="QCN33" i="6"/>
  <c r="QCM33" i="6"/>
  <c r="QCL33" i="6"/>
  <c r="QCK33" i="6"/>
  <c r="QCJ33" i="6"/>
  <c r="QCI33" i="6"/>
  <c r="QCH33" i="6"/>
  <c r="QCG33" i="6"/>
  <c r="QCF33" i="6"/>
  <c r="QCE33" i="6"/>
  <c r="QCD33" i="6"/>
  <c r="QCC33" i="6"/>
  <c r="QCB33" i="6"/>
  <c r="QCA33" i="6"/>
  <c r="QBZ33" i="6"/>
  <c r="QBY33" i="6"/>
  <c r="QBX33" i="6"/>
  <c r="QBW33" i="6"/>
  <c r="QBV33" i="6"/>
  <c r="QBU33" i="6"/>
  <c r="QBT33" i="6"/>
  <c r="QBS33" i="6"/>
  <c r="QBR33" i="6"/>
  <c r="QBQ33" i="6"/>
  <c r="QBP33" i="6"/>
  <c r="QBO33" i="6"/>
  <c r="QBN33" i="6"/>
  <c r="QBM33" i="6"/>
  <c r="QBL33" i="6"/>
  <c r="QBK33" i="6"/>
  <c r="QBJ33" i="6"/>
  <c r="QBI33" i="6"/>
  <c r="QBH33" i="6"/>
  <c r="QBG33" i="6"/>
  <c r="QBF33" i="6"/>
  <c r="QBE33" i="6"/>
  <c r="QBD33" i="6"/>
  <c r="QBC33" i="6"/>
  <c r="QBB33" i="6"/>
  <c r="QBA33" i="6"/>
  <c r="QAZ33" i="6"/>
  <c r="QAY33" i="6"/>
  <c r="QAX33" i="6"/>
  <c r="QAW33" i="6"/>
  <c r="QAV33" i="6"/>
  <c r="QAU33" i="6"/>
  <c r="QAT33" i="6"/>
  <c r="QAS33" i="6"/>
  <c r="QAR33" i="6"/>
  <c r="QAQ33" i="6"/>
  <c r="QAP33" i="6"/>
  <c r="QAO33" i="6"/>
  <c r="QAN33" i="6"/>
  <c r="QAM33" i="6"/>
  <c r="QAL33" i="6"/>
  <c r="QAK33" i="6"/>
  <c r="QAJ33" i="6"/>
  <c r="QAI33" i="6"/>
  <c r="QAH33" i="6"/>
  <c r="QAG33" i="6"/>
  <c r="QAF33" i="6"/>
  <c r="QAE33" i="6"/>
  <c r="QAD33" i="6"/>
  <c r="QAC33" i="6"/>
  <c r="QAB33" i="6"/>
  <c r="QAA33" i="6"/>
  <c r="PZZ33" i="6"/>
  <c r="PZY33" i="6"/>
  <c r="PZX33" i="6"/>
  <c r="PZW33" i="6"/>
  <c r="PZV33" i="6"/>
  <c r="PZU33" i="6"/>
  <c r="PZT33" i="6"/>
  <c r="PZS33" i="6"/>
  <c r="PZR33" i="6"/>
  <c r="PZQ33" i="6"/>
  <c r="PZP33" i="6"/>
  <c r="PZO33" i="6"/>
  <c r="PZN33" i="6"/>
  <c r="PZM33" i="6"/>
  <c r="PZL33" i="6"/>
  <c r="PZK33" i="6"/>
  <c r="PZJ33" i="6"/>
  <c r="PZI33" i="6"/>
  <c r="PZH33" i="6"/>
  <c r="PZG33" i="6"/>
  <c r="PZF33" i="6"/>
  <c r="PZE33" i="6"/>
  <c r="PZD33" i="6"/>
  <c r="PZC33" i="6"/>
  <c r="PZB33" i="6"/>
  <c r="PZA33" i="6"/>
  <c r="PYZ33" i="6"/>
  <c r="PYY33" i="6"/>
  <c r="PYX33" i="6"/>
  <c r="PYW33" i="6"/>
  <c r="PYV33" i="6"/>
  <c r="PYU33" i="6"/>
  <c r="PYT33" i="6"/>
  <c r="PYS33" i="6"/>
  <c r="PYR33" i="6"/>
  <c r="PYQ33" i="6"/>
  <c r="PYP33" i="6"/>
  <c r="PYO33" i="6"/>
  <c r="PYN33" i="6"/>
  <c r="PYM33" i="6"/>
  <c r="PYL33" i="6"/>
  <c r="PYK33" i="6"/>
  <c r="PYJ33" i="6"/>
  <c r="PYI33" i="6"/>
  <c r="PYH33" i="6"/>
  <c r="PYG33" i="6"/>
  <c r="PYF33" i="6"/>
  <c r="PYE33" i="6"/>
  <c r="PYD33" i="6"/>
  <c r="PYC33" i="6"/>
  <c r="PYB33" i="6"/>
  <c r="PYA33" i="6"/>
  <c r="PXZ33" i="6"/>
  <c r="PXY33" i="6"/>
  <c r="PXX33" i="6"/>
  <c r="PXW33" i="6"/>
  <c r="PXV33" i="6"/>
  <c r="PXU33" i="6"/>
  <c r="PXT33" i="6"/>
  <c r="PXS33" i="6"/>
  <c r="PXR33" i="6"/>
  <c r="PXQ33" i="6"/>
  <c r="PXP33" i="6"/>
  <c r="PXO33" i="6"/>
  <c r="PXN33" i="6"/>
  <c r="PXM33" i="6"/>
  <c r="PXL33" i="6"/>
  <c r="PXK33" i="6"/>
  <c r="PXJ33" i="6"/>
  <c r="PXI33" i="6"/>
  <c r="PXH33" i="6"/>
  <c r="PXG33" i="6"/>
  <c r="PXF33" i="6"/>
  <c r="PXE33" i="6"/>
  <c r="PXD33" i="6"/>
  <c r="PXC33" i="6"/>
  <c r="PXB33" i="6"/>
  <c r="PXA33" i="6"/>
  <c r="PWZ33" i="6"/>
  <c r="PWY33" i="6"/>
  <c r="PWX33" i="6"/>
  <c r="PWW33" i="6"/>
  <c r="PWV33" i="6"/>
  <c r="PWU33" i="6"/>
  <c r="PWT33" i="6"/>
  <c r="PWS33" i="6"/>
  <c r="PWR33" i="6"/>
  <c r="PWQ33" i="6"/>
  <c r="PWP33" i="6"/>
  <c r="PWO33" i="6"/>
  <c r="PWN33" i="6"/>
  <c r="PWM33" i="6"/>
  <c r="PWL33" i="6"/>
  <c r="PWK33" i="6"/>
  <c r="PWJ33" i="6"/>
  <c r="PWI33" i="6"/>
  <c r="PWH33" i="6"/>
  <c r="PWG33" i="6"/>
  <c r="PWF33" i="6"/>
  <c r="PWE33" i="6"/>
  <c r="PWD33" i="6"/>
  <c r="PWC33" i="6"/>
  <c r="PWB33" i="6"/>
  <c r="PWA33" i="6"/>
  <c r="PVZ33" i="6"/>
  <c r="PVY33" i="6"/>
  <c r="PVX33" i="6"/>
  <c r="PVW33" i="6"/>
  <c r="PVV33" i="6"/>
  <c r="PVU33" i="6"/>
  <c r="PVT33" i="6"/>
  <c r="PVS33" i="6"/>
  <c r="PVR33" i="6"/>
  <c r="PVQ33" i="6"/>
  <c r="PVP33" i="6"/>
  <c r="PVO33" i="6"/>
  <c r="PVN33" i="6"/>
  <c r="PVM33" i="6"/>
  <c r="PVL33" i="6"/>
  <c r="PVK33" i="6"/>
  <c r="PVJ33" i="6"/>
  <c r="PVI33" i="6"/>
  <c r="PVH33" i="6"/>
  <c r="PVG33" i="6"/>
  <c r="PVF33" i="6"/>
  <c r="PVE33" i="6"/>
  <c r="PVD33" i="6"/>
  <c r="PVC33" i="6"/>
  <c r="PVB33" i="6"/>
  <c r="PVA33" i="6"/>
  <c r="PUZ33" i="6"/>
  <c r="PUY33" i="6"/>
  <c r="PUX33" i="6"/>
  <c r="PUW33" i="6"/>
  <c r="PUV33" i="6"/>
  <c r="PUU33" i="6"/>
  <c r="PUT33" i="6"/>
  <c r="PUS33" i="6"/>
  <c r="PUR33" i="6"/>
  <c r="PUQ33" i="6"/>
  <c r="PUP33" i="6"/>
  <c r="PUO33" i="6"/>
  <c r="PUN33" i="6"/>
  <c r="PUM33" i="6"/>
  <c r="PUL33" i="6"/>
  <c r="PUK33" i="6"/>
  <c r="PUJ33" i="6"/>
  <c r="PUI33" i="6"/>
  <c r="PUH33" i="6"/>
  <c r="PUG33" i="6"/>
  <c r="PUF33" i="6"/>
  <c r="PUE33" i="6"/>
  <c r="PUD33" i="6"/>
  <c r="PUC33" i="6"/>
  <c r="PUB33" i="6"/>
  <c r="PUA33" i="6"/>
  <c r="PTZ33" i="6"/>
  <c r="PTY33" i="6"/>
  <c r="PTX33" i="6"/>
  <c r="PTW33" i="6"/>
  <c r="PTV33" i="6"/>
  <c r="PTU33" i="6"/>
  <c r="PTT33" i="6"/>
  <c r="PTS33" i="6"/>
  <c r="PTR33" i="6"/>
  <c r="PTQ33" i="6"/>
  <c r="PTP33" i="6"/>
  <c r="PTO33" i="6"/>
  <c r="PTN33" i="6"/>
  <c r="PTM33" i="6"/>
  <c r="PTL33" i="6"/>
  <c r="PTK33" i="6"/>
  <c r="PTJ33" i="6"/>
  <c r="PTI33" i="6"/>
  <c r="PTH33" i="6"/>
  <c r="PTG33" i="6"/>
  <c r="PTF33" i="6"/>
  <c r="PTE33" i="6"/>
  <c r="PTD33" i="6"/>
  <c r="PTC33" i="6"/>
  <c r="PTB33" i="6"/>
  <c r="PTA33" i="6"/>
  <c r="PSZ33" i="6"/>
  <c r="PSY33" i="6"/>
  <c r="PSX33" i="6"/>
  <c r="PSW33" i="6"/>
  <c r="PSV33" i="6"/>
  <c r="PSU33" i="6"/>
  <c r="PST33" i="6"/>
  <c r="PSS33" i="6"/>
  <c r="PSR33" i="6"/>
  <c r="PSQ33" i="6"/>
  <c r="PSP33" i="6"/>
  <c r="PSO33" i="6"/>
  <c r="PSN33" i="6"/>
  <c r="PSM33" i="6"/>
  <c r="PSL33" i="6"/>
  <c r="PSK33" i="6"/>
  <c r="PSJ33" i="6"/>
  <c r="PSI33" i="6"/>
  <c r="PSH33" i="6"/>
  <c r="PSG33" i="6"/>
  <c r="PSF33" i="6"/>
  <c r="PSE33" i="6"/>
  <c r="PSD33" i="6"/>
  <c r="PSC33" i="6"/>
  <c r="PSB33" i="6"/>
  <c r="PSA33" i="6"/>
  <c r="PRZ33" i="6"/>
  <c r="PRY33" i="6"/>
  <c r="PRX33" i="6"/>
  <c r="PRW33" i="6"/>
  <c r="PRV33" i="6"/>
  <c r="PRU33" i="6"/>
  <c r="PRT33" i="6"/>
  <c r="PRS33" i="6"/>
  <c r="PRR33" i="6"/>
  <c r="PRQ33" i="6"/>
  <c r="PRP33" i="6"/>
  <c r="PRO33" i="6"/>
  <c r="PRN33" i="6"/>
  <c r="PRM33" i="6"/>
  <c r="PRL33" i="6"/>
  <c r="PRK33" i="6"/>
  <c r="PRJ33" i="6"/>
  <c r="PRI33" i="6"/>
  <c r="PRH33" i="6"/>
  <c r="PRG33" i="6"/>
  <c r="PRF33" i="6"/>
  <c r="PRE33" i="6"/>
  <c r="PRD33" i="6"/>
  <c r="PRC33" i="6"/>
  <c r="PRB33" i="6"/>
  <c r="PRA33" i="6"/>
  <c r="PQZ33" i="6"/>
  <c r="PQY33" i="6"/>
  <c r="PQX33" i="6"/>
  <c r="PQW33" i="6"/>
  <c r="PQV33" i="6"/>
  <c r="PQU33" i="6"/>
  <c r="PQT33" i="6"/>
  <c r="PQS33" i="6"/>
  <c r="PQR33" i="6"/>
  <c r="PQQ33" i="6"/>
  <c r="PQP33" i="6"/>
  <c r="PQO33" i="6"/>
  <c r="PQN33" i="6"/>
  <c r="PQM33" i="6"/>
  <c r="PQL33" i="6"/>
  <c r="PQK33" i="6"/>
  <c r="PQJ33" i="6"/>
  <c r="PQI33" i="6"/>
  <c r="PQH33" i="6"/>
  <c r="PQG33" i="6"/>
  <c r="PQF33" i="6"/>
  <c r="PQE33" i="6"/>
  <c r="PQD33" i="6"/>
  <c r="PQC33" i="6"/>
  <c r="PQB33" i="6"/>
  <c r="PQA33" i="6"/>
  <c r="PPZ33" i="6"/>
  <c r="PPY33" i="6"/>
  <c r="PPX33" i="6"/>
  <c r="PPW33" i="6"/>
  <c r="PPV33" i="6"/>
  <c r="PPU33" i="6"/>
  <c r="PPT33" i="6"/>
  <c r="PPS33" i="6"/>
  <c r="PPR33" i="6"/>
  <c r="PPQ33" i="6"/>
  <c r="PPP33" i="6"/>
  <c r="PPO33" i="6"/>
  <c r="PPN33" i="6"/>
  <c r="PPM33" i="6"/>
  <c r="PPL33" i="6"/>
  <c r="PPK33" i="6"/>
  <c r="PPJ33" i="6"/>
  <c r="PPI33" i="6"/>
  <c r="PPH33" i="6"/>
  <c r="PPG33" i="6"/>
  <c r="PPF33" i="6"/>
  <c r="PPE33" i="6"/>
  <c r="PPD33" i="6"/>
  <c r="PPC33" i="6"/>
  <c r="PPB33" i="6"/>
  <c r="PPA33" i="6"/>
  <c r="POZ33" i="6"/>
  <c r="POY33" i="6"/>
  <c r="POX33" i="6"/>
  <c r="POW33" i="6"/>
  <c r="POV33" i="6"/>
  <c r="POU33" i="6"/>
  <c r="POT33" i="6"/>
  <c r="POS33" i="6"/>
  <c r="POR33" i="6"/>
  <c r="POQ33" i="6"/>
  <c r="POP33" i="6"/>
  <c r="POO33" i="6"/>
  <c r="PON33" i="6"/>
  <c r="POM33" i="6"/>
  <c r="POL33" i="6"/>
  <c r="POK33" i="6"/>
  <c r="POJ33" i="6"/>
  <c r="POI33" i="6"/>
  <c r="POH33" i="6"/>
  <c r="POG33" i="6"/>
  <c r="POF33" i="6"/>
  <c r="POE33" i="6"/>
  <c r="POD33" i="6"/>
  <c r="POC33" i="6"/>
  <c r="POB33" i="6"/>
  <c r="POA33" i="6"/>
  <c r="PNZ33" i="6"/>
  <c r="PNY33" i="6"/>
  <c r="PNX33" i="6"/>
  <c r="PNW33" i="6"/>
  <c r="PNV33" i="6"/>
  <c r="PNU33" i="6"/>
  <c r="PNT33" i="6"/>
  <c r="PNS33" i="6"/>
  <c r="PNR33" i="6"/>
  <c r="PNQ33" i="6"/>
  <c r="PNP33" i="6"/>
  <c r="PNO33" i="6"/>
  <c r="PNN33" i="6"/>
  <c r="PNM33" i="6"/>
  <c r="PNL33" i="6"/>
  <c r="PNK33" i="6"/>
  <c r="PNJ33" i="6"/>
  <c r="PNI33" i="6"/>
  <c r="PNH33" i="6"/>
  <c r="PNG33" i="6"/>
  <c r="PNF33" i="6"/>
  <c r="PNE33" i="6"/>
  <c r="PND33" i="6"/>
  <c r="PNC33" i="6"/>
  <c r="PNB33" i="6"/>
  <c r="PNA33" i="6"/>
  <c r="PMZ33" i="6"/>
  <c r="PMY33" i="6"/>
  <c r="PMX33" i="6"/>
  <c r="PMW33" i="6"/>
  <c r="PMV33" i="6"/>
  <c r="PMU33" i="6"/>
  <c r="PMT33" i="6"/>
  <c r="PMS33" i="6"/>
  <c r="PMR33" i="6"/>
  <c r="PMQ33" i="6"/>
  <c r="PMP33" i="6"/>
  <c r="PMO33" i="6"/>
  <c r="PMN33" i="6"/>
  <c r="PMM33" i="6"/>
  <c r="PML33" i="6"/>
  <c r="PMK33" i="6"/>
  <c r="PMJ33" i="6"/>
  <c r="PMI33" i="6"/>
  <c r="PMH33" i="6"/>
  <c r="PMG33" i="6"/>
  <c r="PMF33" i="6"/>
  <c r="PME33" i="6"/>
  <c r="PMD33" i="6"/>
  <c r="PMC33" i="6"/>
  <c r="PMB33" i="6"/>
  <c r="PMA33" i="6"/>
  <c r="PLZ33" i="6"/>
  <c r="PLY33" i="6"/>
  <c r="PLX33" i="6"/>
  <c r="PLW33" i="6"/>
  <c r="PLV33" i="6"/>
  <c r="PLU33" i="6"/>
  <c r="PLT33" i="6"/>
  <c r="PLS33" i="6"/>
  <c r="PLR33" i="6"/>
  <c r="PLQ33" i="6"/>
  <c r="PLP33" i="6"/>
  <c r="PLO33" i="6"/>
  <c r="PLN33" i="6"/>
  <c r="PLM33" i="6"/>
  <c r="PLL33" i="6"/>
  <c r="PLK33" i="6"/>
  <c r="PLJ33" i="6"/>
  <c r="PLI33" i="6"/>
  <c r="PLH33" i="6"/>
  <c r="PLG33" i="6"/>
  <c r="PLF33" i="6"/>
  <c r="PLE33" i="6"/>
  <c r="PLD33" i="6"/>
  <c r="PLC33" i="6"/>
  <c r="PLB33" i="6"/>
  <c r="PLA33" i="6"/>
  <c r="PKZ33" i="6"/>
  <c r="PKY33" i="6"/>
  <c r="PKX33" i="6"/>
  <c r="PKW33" i="6"/>
  <c r="PKV33" i="6"/>
  <c r="PKU33" i="6"/>
  <c r="PKT33" i="6"/>
  <c r="PKS33" i="6"/>
  <c r="PKR33" i="6"/>
  <c r="PKQ33" i="6"/>
  <c r="PKP33" i="6"/>
  <c r="PKO33" i="6"/>
  <c r="PKN33" i="6"/>
  <c r="PKM33" i="6"/>
  <c r="PKL33" i="6"/>
  <c r="PKK33" i="6"/>
  <c r="PKJ33" i="6"/>
  <c r="PKI33" i="6"/>
  <c r="PKH33" i="6"/>
  <c r="PKG33" i="6"/>
  <c r="PKF33" i="6"/>
  <c r="PKE33" i="6"/>
  <c r="PKD33" i="6"/>
  <c r="PKC33" i="6"/>
  <c r="PKB33" i="6"/>
  <c r="PKA33" i="6"/>
  <c r="PJZ33" i="6"/>
  <c r="PJY33" i="6"/>
  <c r="PJX33" i="6"/>
  <c r="PJW33" i="6"/>
  <c r="PJV33" i="6"/>
  <c r="PJU33" i="6"/>
  <c r="PJT33" i="6"/>
  <c r="PJS33" i="6"/>
  <c r="PJR33" i="6"/>
  <c r="PJQ33" i="6"/>
  <c r="PJP33" i="6"/>
  <c r="PJO33" i="6"/>
  <c r="PJN33" i="6"/>
  <c r="PJM33" i="6"/>
  <c r="PJL33" i="6"/>
  <c r="PJK33" i="6"/>
  <c r="PJJ33" i="6"/>
  <c r="PJI33" i="6"/>
  <c r="PJH33" i="6"/>
  <c r="PJG33" i="6"/>
  <c r="PJF33" i="6"/>
  <c r="PJE33" i="6"/>
  <c r="PJD33" i="6"/>
  <c r="PJC33" i="6"/>
  <c r="PJB33" i="6"/>
  <c r="PJA33" i="6"/>
  <c r="PIZ33" i="6"/>
  <c r="PIY33" i="6"/>
  <c r="PIX33" i="6"/>
  <c r="PIW33" i="6"/>
  <c r="PIV33" i="6"/>
  <c r="PIU33" i="6"/>
  <c r="PIT33" i="6"/>
  <c r="PIS33" i="6"/>
  <c r="PIR33" i="6"/>
  <c r="PIQ33" i="6"/>
  <c r="PIP33" i="6"/>
  <c r="PIO33" i="6"/>
  <c r="PIN33" i="6"/>
  <c r="PIM33" i="6"/>
  <c r="PIL33" i="6"/>
  <c r="PIK33" i="6"/>
  <c r="PIJ33" i="6"/>
  <c r="PII33" i="6"/>
  <c r="PIH33" i="6"/>
  <c r="PIG33" i="6"/>
  <c r="PIF33" i="6"/>
  <c r="PIE33" i="6"/>
  <c r="PID33" i="6"/>
  <c r="PIC33" i="6"/>
  <c r="PIB33" i="6"/>
  <c r="PIA33" i="6"/>
  <c r="PHZ33" i="6"/>
  <c r="PHY33" i="6"/>
  <c r="PHX33" i="6"/>
  <c r="PHW33" i="6"/>
  <c r="PHV33" i="6"/>
  <c r="PHU33" i="6"/>
  <c r="PHT33" i="6"/>
  <c r="PHS33" i="6"/>
  <c r="PHR33" i="6"/>
  <c r="PHQ33" i="6"/>
  <c r="PHP33" i="6"/>
  <c r="PHO33" i="6"/>
  <c r="PHN33" i="6"/>
  <c r="PHM33" i="6"/>
  <c r="PHL33" i="6"/>
  <c r="PHK33" i="6"/>
  <c r="PHJ33" i="6"/>
  <c r="PHI33" i="6"/>
  <c r="PHH33" i="6"/>
  <c r="PHG33" i="6"/>
  <c r="PHF33" i="6"/>
  <c r="PHE33" i="6"/>
  <c r="PHD33" i="6"/>
  <c r="PHC33" i="6"/>
  <c r="PHB33" i="6"/>
  <c r="PHA33" i="6"/>
  <c r="PGZ33" i="6"/>
  <c r="PGY33" i="6"/>
  <c r="PGX33" i="6"/>
  <c r="PGW33" i="6"/>
  <c r="PGV33" i="6"/>
  <c r="PGU33" i="6"/>
  <c r="PGT33" i="6"/>
  <c r="PGS33" i="6"/>
  <c r="PGR33" i="6"/>
  <c r="PGQ33" i="6"/>
  <c r="PGP33" i="6"/>
  <c r="PGO33" i="6"/>
  <c r="PGN33" i="6"/>
  <c r="PGM33" i="6"/>
  <c r="PGL33" i="6"/>
  <c r="PGK33" i="6"/>
  <c r="PGJ33" i="6"/>
  <c r="PGI33" i="6"/>
  <c r="PGH33" i="6"/>
  <c r="PGG33" i="6"/>
  <c r="PGF33" i="6"/>
  <c r="PGE33" i="6"/>
  <c r="PGD33" i="6"/>
  <c r="PGC33" i="6"/>
  <c r="PGB33" i="6"/>
  <c r="PGA33" i="6"/>
  <c r="PFZ33" i="6"/>
  <c r="PFY33" i="6"/>
  <c r="PFX33" i="6"/>
  <c r="PFW33" i="6"/>
  <c r="PFV33" i="6"/>
  <c r="PFU33" i="6"/>
  <c r="PFT33" i="6"/>
  <c r="PFS33" i="6"/>
  <c r="PFR33" i="6"/>
  <c r="PFQ33" i="6"/>
  <c r="PFP33" i="6"/>
  <c r="PFO33" i="6"/>
  <c r="PFN33" i="6"/>
  <c r="PFM33" i="6"/>
  <c r="PFL33" i="6"/>
  <c r="PFK33" i="6"/>
  <c r="PFJ33" i="6"/>
  <c r="PFI33" i="6"/>
  <c r="PFH33" i="6"/>
  <c r="PFG33" i="6"/>
  <c r="PFF33" i="6"/>
  <c r="PFE33" i="6"/>
  <c r="PFD33" i="6"/>
  <c r="PFC33" i="6"/>
  <c r="PFB33" i="6"/>
  <c r="PFA33" i="6"/>
  <c r="PEZ33" i="6"/>
  <c r="PEY33" i="6"/>
  <c r="PEX33" i="6"/>
  <c r="PEW33" i="6"/>
  <c r="PEV33" i="6"/>
  <c r="PEU33" i="6"/>
  <c r="PET33" i="6"/>
  <c r="PES33" i="6"/>
  <c r="PER33" i="6"/>
  <c r="PEQ33" i="6"/>
  <c r="PEP33" i="6"/>
  <c r="PEO33" i="6"/>
  <c r="PEN33" i="6"/>
  <c r="PEM33" i="6"/>
  <c r="PEL33" i="6"/>
  <c r="PEK33" i="6"/>
  <c r="PEJ33" i="6"/>
  <c r="PEI33" i="6"/>
  <c r="PEH33" i="6"/>
  <c r="PEG33" i="6"/>
  <c r="PEF33" i="6"/>
  <c r="PEE33" i="6"/>
  <c r="PED33" i="6"/>
  <c r="PEC33" i="6"/>
  <c r="PEB33" i="6"/>
  <c r="PEA33" i="6"/>
  <c r="PDZ33" i="6"/>
  <c r="PDY33" i="6"/>
  <c r="PDX33" i="6"/>
  <c r="PDW33" i="6"/>
  <c r="PDV33" i="6"/>
  <c r="PDU33" i="6"/>
  <c r="PDT33" i="6"/>
  <c r="PDS33" i="6"/>
  <c r="PDR33" i="6"/>
  <c r="PDQ33" i="6"/>
  <c r="PDP33" i="6"/>
  <c r="PDO33" i="6"/>
  <c r="PDN33" i="6"/>
  <c r="PDM33" i="6"/>
  <c r="PDL33" i="6"/>
  <c r="PDK33" i="6"/>
  <c r="PDJ33" i="6"/>
  <c r="PDI33" i="6"/>
  <c r="PDH33" i="6"/>
  <c r="PDG33" i="6"/>
  <c r="PDF33" i="6"/>
  <c r="PDE33" i="6"/>
  <c r="PDD33" i="6"/>
  <c r="PDC33" i="6"/>
  <c r="PDB33" i="6"/>
  <c r="PDA33" i="6"/>
  <c r="PCZ33" i="6"/>
  <c r="PCY33" i="6"/>
  <c r="PCX33" i="6"/>
  <c r="PCW33" i="6"/>
  <c r="PCV33" i="6"/>
  <c r="PCU33" i="6"/>
  <c r="PCT33" i="6"/>
  <c r="PCS33" i="6"/>
  <c r="PCR33" i="6"/>
  <c r="PCQ33" i="6"/>
  <c r="PCP33" i="6"/>
  <c r="PCO33" i="6"/>
  <c r="PCN33" i="6"/>
  <c r="PCM33" i="6"/>
  <c r="PCL33" i="6"/>
  <c r="PCK33" i="6"/>
  <c r="PCJ33" i="6"/>
  <c r="PCI33" i="6"/>
  <c r="PCH33" i="6"/>
  <c r="PCG33" i="6"/>
  <c r="PCF33" i="6"/>
  <c r="PCE33" i="6"/>
  <c r="PCD33" i="6"/>
  <c r="PCC33" i="6"/>
  <c r="PCB33" i="6"/>
  <c r="PCA33" i="6"/>
  <c r="PBZ33" i="6"/>
  <c r="PBY33" i="6"/>
  <c r="PBX33" i="6"/>
  <c r="PBW33" i="6"/>
  <c r="PBV33" i="6"/>
  <c r="PBU33" i="6"/>
  <c r="PBT33" i="6"/>
  <c r="PBS33" i="6"/>
  <c r="PBR33" i="6"/>
  <c r="PBQ33" i="6"/>
  <c r="PBP33" i="6"/>
  <c r="PBO33" i="6"/>
  <c r="PBN33" i="6"/>
  <c r="PBM33" i="6"/>
  <c r="PBL33" i="6"/>
  <c r="PBK33" i="6"/>
  <c r="PBJ33" i="6"/>
  <c r="PBI33" i="6"/>
  <c r="PBH33" i="6"/>
  <c r="PBG33" i="6"/>
  <c r="PBF33" i="6"/>
  <c r="PBE33" i="6"/>
  <c r="PBD33" i="6"/>
  <c r="PBC33" i="6"/>
  <c r="PBB33" i="6"/>
  <c r="PBA33" i="6"/>
  <c r="PAZ33" i="6"/>
  <c r="PAY33" i="6"/>
  <c r="PAX33" i="6"/>
  <c r="PAW33" i="6"/>
  <c r="PAV33" i="6"/>
  <c r="PAU33" i="6"/>
  <c r="PAT33" i="6"/>
  <c r="PAS33" i="6"/>
  <c r="PAR33" i="6"/>
  <c r="PAQ33" i="6"/>
  <c r="PAP33" i="6"/>
  <c r="PAO33" i="6"/>
  <c r="PAN33" i="6"/>
  <c r="PAM33" i="6"/>
  <c r="PAL33" i="6"/>
  <c r="PAK33" i="6"/>
  <c r="PAJ33" i="6"/>
  <c r="PAI33" i="6"/>
  <c r="PAH33" i="6"/>
  <c r="PAG33" i="6"/>
  <c r="PAF33" i="6"/>
  <c r="PAE33" i="6"/>
  <c r="PAD33" i="6"/>
  <c r="PAC33" i="6"/>
  <c r="PAB33" i="6"/>
  <c r="PAA33" i="6"/>
  <c r="OZZ33" i="6"/>
  <c r="OZY33" i="6"/>
  <c r="OZX33" i="6"/>
  <c r="OZW33" i="6"/>
  <c r="OZV33" i="6"/>
  <c r="OZU33" i="6"/>
  <c r="OZT33" i="6"/>
  <c r="OZS33" i="6"/>
  <c r="OZR33" i="6"/>
  <c r="OZQ33" i="6"/>
  <c r="OZP33" i="6"/>
  <c r="OZO33" i="6"/>
  <c r="OZN33" i="6"/>
  <c r="OZM33" i="6"/>
  <c r="OZL33" i="6"/>
  <c r="OZK33" i="6"/>
  <c r="OZJ33" i="6"/>
  <c r="OZI33" i="6"/>
  <c r="OZH33" i="6"/>
  <c r="OZG33" i="6"/>
  <c r="OZF33" i="6"/>
  <c r="OZE33" i="6"/>
  <c r="OZD33" i="6"/>
  <c r="OZC33" i="6"/>
  <c r="OZB33" i="6"/>
  <c r="OZA33" i="6"/>
  <c r="OYZ33" i="6"/>
  <c r="OYY33" i="6"/>
  <c r="OYX33" i="6"/>
  <c r="OYW33" i="6"/>
  <c r="OYV33" i="6"/>
  <c r="OYU33" i="6"/>
  <c r="OYT33" i="6"/>
  <c r="OYS33" i="6"/>
  <c r="OYR33" i="6"/>
  <c r="OYQ33" i="6"/>
  <c r="OYP33" i="6"/>
  <c r="OYO33" i="6"/>
  <c r="OYN33" i="6"/>
  <c r="OYM33" i="6"/>
  <c r="OYL33" i="6"/>
  <c r="OYK33" i="6"/>
  <c r="OYJ33" i="6"/>
  <c r="OYI33" i="6"/>
  <c r="OYH33" i="6"/>
  <c r="OYG33" i="6"/>
  <c r="OYF33" i="6"/>
  <c r="OYE33" i="6"/>
  <c r="OYD33" i="6"/>
  <c r="OYC33" i="6"/>
  <c r="OYB33" i="6"/>
  <c r="OYA33" i="6"/>
  <c r="OXZ33" i="6"/>
  <c r="OXY33" i="6"/>
  <c r="OXX33" i="6"/>
  <c r="OXW33" i="6"/>
  <c r="OXV33" i="6"/>
  <c r="OXU33" i="6"/>
  <c r="OXT33" i="6"/>
  <c r="OXS33" i="6"/>
  <c r="OXR33" i="6"/>
  <c r="OXQ33" i="6"/>
  <c r="OXP33" i="6"/>
  <c r="OXO33" i="6"/>
  <c r="OXN33" i="6"/>
  <c r="OXM33" i="6"/>
  <c r="OXL33" i="6"/>
  <c r="OXK33" i="6"/>
  <c r="OXJ33" i="6"/>
  <c r="OXI33" i="6"/>
  <c r="OXH33" i="6"/>
  <c r="OXG33" i="6"/>
  <c r="OXF33" i="6"/>
  <c r="OXE33" i="6"/>
  <c r="OXD33" i="6"/>
  <c r="OXC33" i="6"/>
  <c r="OXB33" i="6"/>
  <c r="OXA33" i="6"/>
  <c r="OWZ33" i="6"/>
  <c r="OWY33" i="6"/>
  <c r="OWX33" i="6"/>
  <c r="OWW33" i="6"/>
  <c r="OWV33" i="6"/>
  <c r="OWU33" i="6"/>
  <c r="OWT33" i="6"/>
  <c r="OWS33" i="6"/>
  <c r="OWR33" i="6"/>
  <c r="OWQ33" i="6"/>
  <c r="OWP33" i="6"/>
  <c r="OWO33" i="6"/>
  <c r="OWN33" i="6"/>
  <c r="OWM33" i="6"/>
  <c r="OWL33" i="6"/>
  <c r="OWK33" i="6"/>
  <c r="OWJ33" i="6"/>
  <c r="OWI33" i="6"/>
  <c r="OWH33" i="6"/>
  <c r="OWG33" i="6"/>
  <c r="OWF33" i="6"/>
  <c r="OWE33" i="6"/>
  <c r="OWD33" i="6"/>
  <c r="OWC33" i="6"/>
  <c r="OWB33" i="6"/>
  <c r="OWA33" i="6"/>
  <c r="OVZ33" i="6"/>
  <c r="OVY33" i="6"/>
  <c r="OVX33" i="6"/>
  <c r="OVW33" i="6"/>
  <c r="OVV33" i="6"/>
  <c r="OVU33" i="6"/>
  <c r="OVT33" i="6"/>
  <c r="OVS33" i="6"/>
  <c r="OVR33" i="6"/>
  <c r="OVQ33" i="6"/>
  <c r="OVP33" i="6"/>
  <c r="OVO33" i="6"/>
  <c r="OVN33" i="6"/>
  <c r="OVM33" i="6"/>
  <c r="OVL33" i="6"/>
  <c r="OVK33" i="6"/>
  <c r="OVJ33" i="6"/>
  <c r="OVI33" i="6"/>
  <c r="OVH33" i="6"/>
  <c r="OVG33" i="6"/>
  <c r="OVF33" i="6"/>
  <c r="OVE33" i="6"/>
  <c r="OVD33" i="6"/>
  <c r="OVC33" i="6"/>
  <c r="OVB33" i="6"/>
  <c r="OVA33" i="6"/>
  <c r="OUZ33" i="6"/>
  <c r="OUY33" i="6"/>
  <c r="OUX33" i="6"/>
  <c r="OUW33" i="6"/>
  <c r="OUV33" i="6"/>
  <c r="OUU33" i="6"/>
  <c r="OUT33" i="6"/>
  <c r="OUS33" i="6"/>
  <c r="OUR33" i="6"/>
  <c r="OUQ33" i="6"/>
  <c r="OUP33" i="6"/>
  <c r="OUO33" i="6"/>
  <c r="OUN33" i="6"/>
  <c r="OUM33" i="6"/>
  <c r="OUL33" i="6"/>
  <c r="OUK33" i="6"/>
  <c r="OUJ33" i="6"/>
  <c r="OUI33" i="6"/>
  <c r="OUH33" i="6"/>
  <c r="OUG33" i="6"/>
  <c r="OUF33" i="6"/>
  <c r="OUE33" i="6"/>
  <c r="OUD33" i="6"/>
  <c r="OUC33" i="6"/>
  <c r="OUB33" i="6"/>
  <c r="OUA33" i="6"/>
  <c r="OTZ33" i="6"/>
  <c r="OTY33" i="6"/>
  <c r="OTX33" i="6"/>
  <c r="OTW33" i="6"/>
  <c r="OTV33" i="6"/>
  <c r="OTU33" i="6"/>
  <c r="OTT33" i="6"/>
  <c r="OTS33" i="6"/>
  <c r="OTR33" i="6"/>
  <c r="OTQ33" i="6"/>
  <c r="OTP33" i="6"/>
  <c r="OTO33" i="6"/>
  <c r="OTN33" i="6"/>
  <c r="OTM33" i="6"/>
  <c r="OTL33" i="6"/>
  <c r="OTK33" i="6"/>
  <c r="OTJ33" i="6"/>
  <c r="OTI33" i="6"/>
  <c r="OTH33" i="6"/>
  <c r="OTG33" i="6"/>
  <c r="OTF33" i="6"/>
  <c r="OTE33" i="6"/>
  <c r="OTD33" i="6"/>
  <c r="OTC33" i="6"/>
  <c r="OTB33" i="6"/>
  <c r="OTA33" i="6"/>
  <c r="OSZ33" i="6"/>
  <c r="OSY33" i="6"/>
  <c r="OSX33" i="6"/>
  <c r="OSW33" i="6"/>
  <c r="OSV33" i="6"/>
  <c r="OSU33" i="6"/>
  <c r="OST33" i="6"/>
  <c r="OSS33" i="6"/>
  <c r="OSR33" i="6"/>
  <c r="OSQ33" i="6"/>
  <c r="OSP33" i="6"/>
  <c r="OSO33" i="6"/>
  <c r="OSN33" i="6"/>
  <c r="OSM33" i="6"/>
  <c r="OSL33" i="6"/>
  <c r="OSK33" i="6"/>
  <c r="OSJ33" i="6"/>
  <c r="OSI33" i="6"/>
  <c r="OSH33" i="6"/>
  <c r="OSG33" i="6"/>
  <c r="OSF33" i="6"/>
  <c r="OSE33" i="6"/>
  <c r="OSD33" i="6"/>
  <c r="OSC33" i="6"/>
  <c r="OSB33" i="6"/>
  <c r="OSA33" i="6"/>
  <c r="ORZ33" i="6"/>
  <c r="ORY33" i="6"/>
  <c r="ORX33" i="6"/>
  <c r="ORW33" i="6"/>
  <c r="ORV33" i="6"/>
  <c r="ORU33" i="6"/>
  <c r="ORT33" i="6"/>
  <c r="ORS33" i="6"/>
  <c r="ORR33" i="6"/>
  <c r="ORQ33" i="6"/>
  <c r="ORP33" i="6"/>
  <c r="ORO33" i="6"/>
  <c r="ORN33" i="6"/>
  <c r="ORM33" i="6"/>
  <c r="ORL33" i="6"/>
  <c r="ORK33" i="6"/>
  <c r="ORJ33" i="6"/>
  <c r="ORI33" i="6"/>
  <c r="ORH33" i="6"/>
  <c r="ORG33" i="6"/>
  <c r="ORF33" i="6"/>
  <c r="ORE33" i="6"/>
  <c r="ORD33" i="6"/>
  <c r="ORC33" i="6"/>
  <c r="ORB33" i="6"/>
  <c r="ORA33" i="6"/>
  <c r="OQZ33" i="6"/>
  <c r="OQY33" i="6"/>
  <c r="OQX33" i="6"/>
  <c r="OQW33" i="6"/>
  <c r="OQV33" i="6"/>
  <c r="OQU33" i="6"/>
  <c r="OQT33" i="6"/>
  <c r="OQS33" i="6"/>
  <c r="OQR33" i="6"/>
  <c r="OQQ33" i="6"/>
  <c r="OQP33" i="6"/>
  <c r="OQO33" i="6"/>
  <c r="OQN33" i="6"/>
  <c r="OQM33" i="6"/>
  <c r="OQL33" i="6"/>
  <c r="OQK33" i="6"/>
  <c r="OQJ33" i="6"/>
  <c r="OQI33" i="6"/>
  <c r="OQH33" i="6"/>
  <c r="OQG33" i="6"/>
  <c r="OQF33" i="6"/>
  <c r="OQE33" i="6"/>
  <c r="OQD33" i="6"/>
  <c r="OQC33" i="6"/>
  <c r="OQB33" i="6"/>
  <c r="OQA33" i="6"/>
  <c r="OPZ33" i="6"/>
  <c r="OPY33" i="6"/>
  <c r="OPX33" i="6"/>
  <c r="OPW33" i="6"/>
  <c r="OPV33" i="6"/>
  <c r="OPU33" i="6"/>
  <c r="OPT33" i="6"/>
  <c r="OPS33" i="6"/>
  <c r="OPR33" i="6"/>
  <c r="OPQ33" i="6"/>
  <c r="OPP33" i="6"/>
  <c r="OPO33" i="6"/>
  <c r="OPN33" i="6"/>
  <c r="OPM33" i="6"/>
  <c r="OPL33" i="6"/>
  <c r="OPK33" i="6"/>
  <c r="OPJ33" i="6"/>
  <c r="OPI33" i="6"/>
  <c r="OPH33" i="6"/>
  <c r="OPG33" i="6"/>
  <c r="OPF33" i="6"/>
  <c r="OPE33" i="6"/>
  <c r="OPD33" i="6"/>
  <c r="OPC33" i="6"/>
  <c r="OPB33" i="6"/>
  <c r="OPA33" i="6"/>
  <c r="OOZ33" i="6"/>
  <c r="OOY33" i="6"/>
  <c r="OOX33" i="6"/>
  <c r="OOW33" i="6"/>
  <c r="OOV33" i="6"/>
  <c r="OOU33" i="6"/>
  <c r="OOT33" i="6"/>
  <c r="OOS33" i="6"/>
  <c r="OOR33" i="6"/>
  <c r="OOQ33" i="6"/>
  <c r="OOP33" i="6"/>
  <c r="OOO33" i="6"/>
  <c r="OON33" i="6"/>
  <c r="OOM33" i="6"/>
  <c r="OOL33" i="6"/>
  <c r="OOK33" i="6"/>
  <c r="OOJ33" i="6"/>
  <c r="OOI33" i="6"/>
  <c r="OOH33" i="6"/>
  <c r="OOG33" i="6"/>
  <c r="OOF33" i="6"/>
  <c r="OOE33" i="6"/>
  <c r="OOD33" i="6"/>
  <c r="OOC33" i="6"/>
  <c r="OOB33" i="6"/>
  <c r="OOA33" i="6"/>
  <c r="ONZ33" i="6"/>
  <c r="ONY33" i="6"/>
  <c r="ONX33" i="6"/>
  <c r="ONW33" i="6"/>
  <c r="ONV33" i="6"/>
  <c r="ONU33" i="6"/>
  <c r="ONT33" i="6"/>
  <c r="ONS33" i="6"/>
  <c r="ONR33" i="6"/>
  <c r="ONQ33" i="6"/>
  <c r="ONP33" i="6"/>
  <c r="ONO33" i="6"/>
  <c r="ONN33" i="6"/>
  <c r="ONM33" i="6"/>
  <c r="ONL33" i="6"/>
  <c r="ONK33" i="6"/>
  <c r="ONJ33" i="6"/>
  <c r="ONI33" i="6"/>
  <c r="ONH33" i="6"/>
  <c r="ONG33" i="6"/>
  <c r="ONF33" i="6"/>
  <c r="ONE33" i="6"/>
  <c r="OND33" i="6"/>
  <c r="ONC33" i="6"/>
  <c r="ONB33" i="6"/>
  <c r="ONA33" i="6"/>
  <c r="OMZ33" i="6"/>
  <c r="OMY33" i="6"/>
  <c r="OMX33" i="6"/>
  <c r="OMW33" i="6"/>
  <c r="OMV33" i="6"/>
  <c r="OMU33" i="6"/>
  <c r="OMT33" i="6"/>
  <c r="OMS33" i="6"/>
  <c r="OMR33" i="6"/>
  <c r="OMQ33" i="6"/>
  <c r="OMP33" i="6"/>
  <c r="OMO33" i="6"/>
  <c r="OMN33" i="6"/>
  <c r="OMM33" i="6"/>
  <c r="OML33" i="6"/>
  <c r="OMK33" i="6"/>
  <c r="OMJ33" i="6"/>
  <c r="OMI33" i="6"/>
  <c r="OMH33" i="6"/>
  <c r="OMG33" i="6"/>
  <c r="OMF33" i="6"/>
  <c r="OME33" i="6"/>
  <c r="OMD33" i="6"/>
  <c r="OMC33" i="6"/>
  <c r="OMB33" i="6"/>
  <c r="OMA33" i="6"/>
  <c r="OLZ33" i="6"/>
  <c r="OLY33" i="6"/>
  <c r="OLX33" i="6"/>
  <c r="OLW33" i="6"/>
  <c r="OLV33" i="6"/>
  <c r="OLU33" i="6"/>
  <c r="OLT33" i="6"/>
  <c r="OLS33" i="6"/>
  <c r="OLR33" i="6"/>
  <c r="OLQ33" i="6"/>
  <c r="OLP33" i="6"/>
  <c r="OLO33" i="6"/>
  <c r="OLN33" i="6"/>
  <c r="OLM33" i="6"/>
  <c r="OLL33" i="6"/>
  <c r="OLK33" i="6"/>
  <c r="OLJ33" i="6"/>
  <c r="OLI33" i="6"/>
  <c r="OLH33" i="6"/>
  <c r="OLG33" i="6"/>
  <c r="OLF33" i="6"/>
  <c r="OLE33" i="6"/>
  <c r="OLD33" i="6"/>
  <c r="OLC33" i="6"/>
  <c r="OLB33" i="6"/>
  <c r="OLA33" i="6"/>
  <c r="OKZ33" i="6"/>
  <c r="OKY33" i="6"/>
  <c r="OKX33" i="6"/>
  <c r="OKW33" i="6"/>
  <c r="OKV33" i="6"/>
  <c r="OKU33" i="6"/>
  <c r="OKT33" i="6"/>
  <c r="OKS33" i="6"/>
  <c r="OKR33" i="6"/>
  <c r="OKQ33" i="6"/>
  <c r="OKP33" i="6"/>
  <c r="OKO33" i="6"/>
  <c r="OKN33" i="6"/>
  <c r="OKM33" i="6"/>
  <c r="OKL33" i="6"/>
  <c r="OKK33" i="6"/>
  <c r="OKJ33" i="6"/>
  <c r="OKI33" i="6"/>
  <c r="OKH33" i="6"/>
  <c r="OKG33" i="6"/>
  <c r="OKF33" i="6"/>
  <c r="OKE33" i="6"/>
  <c r="OKD33" i="6"/>
  <c r="OKC33" i="6"/>
  <c r="OKB33" i="6"/>
  <c r="OKA33" i="6"/>
  <c r="OJZ33" i="6"/>
  <c r="OJY33" i="6"/>
  <c r="OJX33" i="6"/>
  <c r="OJW33" i="6"/>
  <c r="OJV33" i="6"/>
  <c r="OJU33" i="6"/>
  <c r="OJT33" i="6"/>
  <c r="OJS33" i="6"/>
  <c r="OJR33" i="6"/>
  <c r="OJQ33" i="6"/>
  <c r="OJP33" i="6"/>
  <c r="OJO33" i="6"/>
  <c r="OJN33" i="6"/>
  <c r="OJM33" i="6"/>
  <c r="OJL33" i="6"/>
  <c r="OJK33" i="6"/>
  <c r="OJJ33" i="6"/>
  <c r="OJI33" i="6"/>
  <c r="OJH33" i="6"/>
  <c r="OJG33" i="6"/>
  <c r="OJF33" i="6"/>
  <c r="OJE33" i="6"/>
  <c r="OJD33" i="6"/>
  <c r="OJC33" i="6"/>
  <c r="OJB33" i="6"/>
  <c r="OJA33" i="6"/>
  <c r="OIZ33" i="6"/>
  <c r="OIY33" i="6"/>
  <c r="OIX33" i="6"/>
  <c r="OIW33" i="6"/>
  <c r="OIV33" i="6"/>
  <c r="OIU33" i="6"/>
  <c r="OIT33" i="6"/>
  <c r="OIS33" i="6"/>
  <c r="OIR33" i="6"/>
  <c r="OIQ33" i="6"/>
  <c r="OIP33" i="6"/>
  <c r="OIO33" i="6"/>
  <c r="OIN33" i="6"/>
  <c r="OIM33" i="6"/>
  <c r="OIL33" i="6"/>
  <c r="OIK33" i="6"/>
  <c r="OIJ33" i="6"/>
  <c r="OII33" i="6"/>
  <c r="OIH33" i="6"/>
  <c r="OIG33" i="6"/>
  <c r="OIF33" i="6"/>
  <c r="OIE33" i="6"/>
  <c r="OID33" i="6"/>
  <c r="OIC33" i="6"/>
  <c r="OIB33" i="6"/>
  <c r="OIA33" i="6"/>
  <c r="OHZ33" i="6"/>
  <c r="OHY33" i="6"/>
  <c r="OHX33" i="6"/>
  <c r="OHW33" i="6"/>
  <c r="OHV33" i="6"/>
  <c r="OHU33" i="6"/>
  <c r="OHT33" i="6"/>
  <c r="OHS33" i="6"/>
  <c r="OHR33" i="6"/>
  <c r="OHQ33" i="6"/>
  <c r="OHP33" i="6"/>
  <c r="OHO33" i="6"/>
  <c r="OHN33" i="6"/>
  <c r="OHM33" i="6"/>
  <c r="OHL33" i="6"/>
  <c r="OHK33" i="6"/>
  <c r="OHJ33" i="6"/>
  <c r="OHI33" i="6"/>
  <c r="OHH33" i="6"/>
  <c r="OHG33" i="6"/>
  <c r="OHF33" i="6"/>
  <c r="OHE33" i="6"/>
  <c r="OHD33" i="6"/>
  <c r="OHC33" i="6"/>
  <c r="OHB33" i="6"/>
  <c r="OHA33" i="6"/>
  <c r="OGZ33" i="6"/>
  <c r="OGY33" i="6"/>
  <c r="OGX33" i="6"/>
  <c r="OGW33" i="6"/>
  <c r="OGV33" i="6"/>
  <c r="OGU33" i="6"/>
  <c r="OGT33" i="6"/>
  <c r="OGS33" i="6"/>
  <c r="OGR33" i="6"/>
  <c r="OGQ33" i="6"/>
  <c r="OGP33" i="6"/>
  <c r="OGO33" i="6"/>
  <c r="OGN33" i="6"/>
  <c r="OGM33" i="6"/>
  <c r="OGL33" i="6"/>
  <c r="OGK33" i="6"/>
  <c r="OGJ33" i="6"/>
  <c r="OGI33" i="6"/>
  <c r="OGH33" i="6"/>
  <c r="OGG33" i="6"/>
  <c r="OGF33" i="6"/>
  <c r="OGE33" i="6"/>
  <c r="OGD33" i="6"/>
  <c r="OGC33" i="6"/>
  <c r="OGB33" i="6"/>
  <c r="OGA33" i="6"/>
  <c r="OFZ33" i="6"/>
  <c r="OFY33" i="6"/>
  <c r="OFX33" i="6"/>
  <c r="OFW33" i="6"/>
  <c r="OFV33" i="6"/>
  <c r="OFU33" i="6"/>
  <c r="OFT33" i="6"/>
  <c r="OFS33" i="6"/>
  <c r="OFR33" i="6"/>
  <c r="OFQ33" i="6"/>
  <c r="OFP33" i="6"/>
  <c r="OFO33" i="6"/>
  <c r="OFN33" i="6"/>
  <c r="OFM33" i="6"/>
  <c r="OFL33" i="6"/>
  <c r="OFK33" i="6"/>
  <c r="OFJ33" i="6"/>
  <c r="OFI33" i="6"/>
  <c r="OFH33" i="6"/>
  <c r="OFG33" i="6"/>
  <c r="OFF33" i="6"/>
  <c r="OFE33" i="6"/>
  <c r="OFD33" i="6"/>
  <c r="OFC33" i="6"/>
  <c r="OFB33" i="6"/>
  <c r="OFA33" i="6"/>
  <c r="OEZ33" i="6"/>
  <c r="OEY33" i="6"/>
  <c r="OEX33" i="6"/>
  <c r="OEW33" i="6"/>
  <c r="OEV33" i="6"/>
  <c r="OEU33" i="6"/>
  <c r="OET33" i="6"/>
  <c r="OES33" i="6"/>
  <c r="OER33" i="6"/>
  <c r="OEQ33" i="6"/>
  <c r="OEP33" i="6"/>
  <c r="OEO33" i="6"/>
  <c r="OEN33" i="6"/>
  <c r="OEM33" i="6"/>
  <c r="OEL33" i="6"/>
  <c r="OEK33" i="6"/>
  <c r="OEJ33" i="6"/>
  <c r="OEI33" i="6"/>
  <c r="OEH33" i="6"/>
  <c r="OEG33" i="6"/>
  <c r="OEF33" i="6"/>
  <c r="OEE33" i="6"/>
  <c r="OED33" i="6"/>
  <c r="OEC33" i="6"/>
  <c r="OEB33" i="6"/>
  <c r="OEA33" i="6"/>
  <c r="ODZ33" i="6"/>
  <c r="ODY33" i="6"/>
  <c r="ODX33" i="6"/>
  <c r="ODW33" i="6"/>
  <c r="ODV33" i="6"/>
  <c r="ODU33" i="6"/>
  <c r="ODT33" i="6"/>
  <c r="ODS33" i="6"/>
  <c r="ODR33" i="6"/>
  <c r="ODQ33" i="6"/>
  <c r="ODP33" i="6"/>
  <c r="ODO33" i="6"/>
  <c r="ODN33" i="6"/>
  <c r="ODM33" i="6"/>
  <c r="ODL33" i="6"/>
  <c r="ODK33" i="6"/>
  <c r="ODJ33" i="6"/>
  <c r="ODI33" i="6"/>
  <c r="ODH33" i="6"/>
  <c r="ODG33" i="6"/>
  <c r="ODF33" i="6"/>
  <c r="ODE33" i="6"/>
  <c r="ODD33" i="6"/>
  <c r="ODC33" i="6"/>
  <c r="ODB33" i="6"/>
  <c r="ODA33" i="6"/>
  <c r="OCZ33" i="6"/>
  <c r="OCY33" i="6"/>
  <c r="OCX33" i="6"/>
  <c r="OCW33" i="6"/>
  <c r="OCV33" i="6"/>
  <c r="OCU33" i="6"/>
  <c r="OCT33" i="6"/>
  <c r="OCS33" i="6"/>
  <c r="OCR33" i="6"/>
  <c r="OCQ33" i="6"/>
  <c r="OCP33" i="6"/>
  <c r="OCO33" i="6"/>
  <c r="OCN33" i="6"/>
  <c r="OCM33" i="6"/>
  <c r="OCL33" i="6"/>
  <c r="OCK33" i="6"/>
  <c r="OCJ33" i="6"/>
  <c r="OCI33" i="6"/>
  <c r="OCH33" i="6"/>
  <c r="OCG33" i="6"/>
  <c r="OCF33" i="6"/>
  <c r="OCE33" i="6"/>
  <c r="OCD33" i="6"/>
  <c r="OCC33" i="6"/>
  <c r="OCB33" i="6"/>
  <c r="OCA33" i="6"/>
  <c r="OBZ33" i="6"/>
  <c r="OBY33" i="6"/>
  <c r="OBX33" i="6"/>
  <c r="OBW33" i="6"/>
  <c r="OBV33" i="6"/>
  <c r="OBU33" i="6"/>
  <c r="OBT33" i="6"/>
  <c r="OBS33" i="6"/>
  <c r="OBR33" i="6"/>
  <c r="OBQ33" i="6"/>
  <c r="OBP33" i="6"/>
  <c r="OBO33" i="6"/>
  <c r="OBN33" i="6"/>
  <c r="OBM33" i="6"/>
  <c r="OBL33" i="6"/>
  <c r="OBK33" i="6"/>
  <c r="OBJ33" i="6"/>
  <c r="OBI33" i="6"/>
  <c r="OBH33" i="6"/>
  <c r="OBG33" i="6"/>
  <c r="OBF33" i="6"/>
  <c r="OBE33" i="6"/>
  <c r="OBD33" i="6"/>
  <c r="OBC33" i="6"/>
  <c r="OBB33" i="6"/>
  <c r="OBA33" i="6"/>
  <c r="OAZ33" i="6"/>
  <c r="OAY33" i="6"/>
  <c r="OAX33" i="6"/>
  <c r="OAW33" i="6"/>
  <c r="OAV33" i="6"/>
  <c r="OAU33" i="6"/>
  <c r="OAT33" i="6"/>
  <c r="OAS33" i="6"/>
  <c r="OAR33" i="6"/>
  <c r="OAQ33" i="6"/>
  <c r="OAP33" i="6"/>
  <c r="OAO33" i="6"/>
  <c r="OAN33" i="6"/>
  <c r="OAM33" i="6"/>
  <c r="OAL33" i="6"/>
  <c r="OAK33" i="6"/>
  <c r="OAJ33" i="6"/>
  <c r="OAI33" i="6"/>
  <c r="OAH33" i="6"/>
  <c r="OAG33" i="6"/>
  <c r="OAF33" i="6"/>
  <c r="OAE33" i="6"/>
  <c r="OAD33" i="6"/>
  <c r="OAC33" i="6"/>
  <c r="OAB33" i="6"/>
  <c r="OAA33" i="6"/>
  <c r="NZZ33" i="6"/>
  <c r="NZY33" i="6"/>
  <c r="NZX33" i="6"/>
  <c r="NZW33" i="6"/>
  <c r="NZV33" i="6"/>
  <c r="NZU33" i="6"/>
  <c r="NZT33" i="6"/>
  <c r="NZS33" i="6"/>
  <c r="NZR33" i="6"/>
  <c r="NZQ33" i="6"/>
  <c r="NZP33" i="6"/>
  <c r="NZO33" i="6"/>
  <c r="NZN33" i="6"/>
  <c r="NZM33" i="6"/>
  <c r="NZL33" i="6"/>
  <c r="NZK33" i="6"/>
  <c r="NZJ33" i="6"/>
  <c r="NZI33" i="6"/>
  <c r="NZH33" i="6"/>
  <c r="NZG33" i="6"/>
  <c r="NZF33" i="6"/>
  <c r="NZE33" i="6"/>
  <c r="NZD33" i="6"/>
  <c r="NZC33" i="6"/>
  <c r="NZB33" i="6"/>
  <c r="NZA33" i="6"/>
  <c r="NYZ33" i="6"/>
  <c r="NYY33" i="6"/>
  <c r="NYX33" i="6"/>
  <c r="NYW33" i="6"/>
  <c r="NYV33" i="6"/>
  <c r="NYU33" i="6"/>
  <c r="NYT33" i="6"/>
  <c r="NYS33" i="6"/>
  <c r="NYR33" i="6"/>
  <c r="NYQ33" i="6"/>
  <c r="NYP33" i="6"/>
  <c r="NYO33" i="6"/>
  <c r="NYN33" i="6"/>
  <c r="NYM33" i="6"/>
  <c r="NYL33" i="6"/>
  <c r="NYK33" i="6"/>
  <c r="NYJ33" i="6"/>
  <c r="NYI33" i="6"/>
  <c r="NYH33" i="6"/>
  <c r="NYG33" i="6"/>
  <c r="NYF33" i="6"/>
  <c r="NYE33" i="6"/>
  <c r="NYD33" i="6"/>
  <c r="NYC33" i="6"/>
  <c r="NYB33" i="6"/>
  <c r="NYA33" i="6"/>
  <c r="NXZ33" i="6"/>
  <c r="NXY33" i="6"/>
  <c r="NXX33" i="6"/>
  <c r="NXW33" i="6"/>
  <c r="NXV33" i="6"/>
  <c r="NXU33" i="6"/>
  <c r="NXT33" i="6"/>
  <c r="NXS33" i="6"/>
  <c r="NXR33" i="6"/>
  <c r="NXQ33" i="6"/>
  <c r="NXP33" i="6"/>
  <c r="NXO33" i="6"/>
  <c r="NXN33" i="6"/>
  <c r="NXM33" i="6"/>
  <c r="NXL33" i="6"/>
  <c r="NXK33" i="6"/>
  <c r="NXJ33" i="6"/>
  <c r="NXI33" i="6"/>
  <c r="NXH33" i="6"/>
  <c r="NXG33" i="6"/>
  <c r="NXF33" i="6"/>
  <c r="NXE33" i="6"/>
  <c r="NXD33" i="6"/>
  <c r="NXC33" i="6"/>
  <c r="NXB33" i="6"/>
  <c r="NXA33" i="6"/>
  <c r="NWZ33" i="6"/>
  <c r="NWY33" i="6"/>
  <c r="NWX33" i="6"/>
  <c r="NWW33" i="6"/>
  <c r="NWV33" i="6"/>
  <c r="NWU33" i="6"/>
  <c r="NWT33" i="6"/>
  <c r="NWS33" i="6"/>
  <c r="NWR33" i="6"/>
  <c r="NWQ33" i="6"/>
  <c r="NWP33" i="6"/>
  <c r="NWO33" i="6"/>
  <c r="NWN33" i="6"/>
  <c r="NWM33" i="6"/>
  <c r="NWL33" i="6"/>
  <c r="NWK33" i="6"/>
  <c r="NWJ33" i="6"/>
  <c r="NWI33" i="6"/>
  <c r="NWH33" i="6"/>
  <c r="NWG33" i="6"/>
  <c r="NWF33" i="6"/>
  <c r="NWE33" i="6"/>
  <c r="NWD33" i="6"/>
  <c r="NWC33" i="6"/>
  <c r="NWB33" i="6"/>
  <c r="NWA33" i="6"/>
  <c r="NVZ33" i="6"/>
  <c r="NVY33" i="6"/>
  <c r="NVX33" i="6"/>
  <c r="NVW33" i="6"/>
  <c r="NVV33" i="6"/>
  <c r="NVU33" i="6"/>
  <c r="NVT33" i="6"/>
  <c r="NVS33" i="6"/>
  <c r="NVR33" i="6"/>
  <c r="NVQ33" i="6"/>
  <c r="NVP33" i="6"/>
  <c r="NVO33" i="6"/>
  <c r="NVN33" i="6"/>
  <c r="NVM33" i="6"/>
  <c r="NVL33" i="6"/>
  <c r="NVK33" i="6"/>
  <c r="NVJ33" i="6"/>
  <c r="NVI33" i="6"/>
  <c r="NVH33" i="6"/>
  <c r="NVG33" i="6"/>
  <c r="NVF33" i="6"/>
  <c r="NVE33" i="6"/>
  <c r="NVD33" i="6"/>
  <c r="NVC33" i="6"/>
  <c r="NVB33" i="6"/>
  <c r="NVA33" i="6"/>
  <c r="NUZ33" i="6"/>
  <c r="NUY33" i="6"/>
  <c r="NUX33" i="6"/>
  <c r="NUW33" i="6"/>
  <c r="NUV33" i="6"/>
  <c r="NUU33" i="6"/>
  <c r="NUT33" i="6"/>
  <c r="NUS33" i="6"/>
  <c r="NUR33" i="6"/>
  <c r="NUQ33" i="6"/>
  <c r="NUP33" i="6"/>
  <c r="NUO33" i="6"/>
  <c r="NUN33" i="6"/>
  <c r="NUM33" i="6"/>
  <c r="NUL33" i="6"/>
  <c r="NUK33" i="6"/>
  <c r="NUJ33" i="6"/>
  <c r="NUI33" i="6"/>
  <c r="NUH33" i="6"/>
  <c r="NUG33" i="6"/>
  <c r="NUF33" i="6"/>
  <c r="NUE33" i="6"/>
  <c r="NUD33" i="6"/>
  <c r="NUC33" i="6"/>
  <c r="NUB33" i="6"/>
  <c r="NUA33" i="6"/>
  <c r="NTZ33" i="6"/>
  <c r="NTY33" i="6"/>
  <c r="NTX33" i="6"/>
  <c r="NTW33" i="6"/>
  <c r="NTV33" i="6"/>
  <c r="NTU33" i="6"/>
  <c r="NTT33" i="6"/>
  <c r="NTS33" i="6"/>
  <c r="NTR33" i="6"/>
  <c r="NTQ33" i="6"/>
  <c r="NTP33" i="6"/>
  <c r="NTO33" i="6"/>
  <c r="NTN33" i="6"/>
  <c r="NTM33" i="6"/>
  <c r="NTL33" i="6"/>
  <c r="NTK33" i="6"/>
  <c r="NTJ33" i="6"/>
  <c r="NTI33" i="6"/>
  <c r="NTH33" i="6"/>
  <c r="NTG33" i="6"/>
  <c r="NTF33" i="6"/>
  <c r="NTE33" i="6"/>
  <c r="NTD33" i="6"/>
  <c r="NTC33" i="6"/>
  <c r="NTB33" i="6"/>
  <c r="NTA33" i="6"/>
  <c r="NSZ33" i="6"/>
  <c r="NSY33" i="6"/>
  <c r="NSX33" i="6"/>
  <c r="NSW33" i="6"/>
  <c r="NSV33" i="6"/>
  <c r="NSU33" i="6"/>
  <c r="NST33" i="6"/>
  <c r="NSS33" i="6"/>
  <c r="NSR33" i="6"/>
  <c r="NSQ33" i="6"/>
  <c r="NSP33" i="6"/>
  <c r="NSO33" i="6"/>
  <c r="NSN33" i="6"/>
  <c r="NSM33" i="6"/>
  <c r="NSL33" i="6"/>
  <c r="NSK33" i="6"/>
  <c r="NSJ33" i="6"/>
  <c r="NSI33" i="6"/>
  <c r="NSH33" i="6"/>
  <c r="NSG33" i="6"/>
  <c r="NSF33" i="6"/>
  <c r="NSE33" i="6"/>
  <c r="NSD33" i="6"/>
  <c r="NSC33" i="6"/>
  <c r="NSB33" i="6"/>
  <c r="NSA33" i="6"/>
  <c r="NRZ33" i="6"/>
  <c r="NRY33" i="6"/>
  <c r="NRX33" i="6"/>
  <c r="NRW33" i="6"/>
  <c r="NRV33" i="6"/>
  <c r="NRU33" i="6"/>
  <c r="NRT33" i="6"/>
  <c r="NRS33" i="6"/>
  <c r="NRR33" i="6"/>
  <c r="NRQ33" i="6"/>
  <c r="NRP33" i="6"/>
  <c r="NRO33" i="6"/>
  <c r="NRN33" i="6"/>
  <c r="NRM33" i="6"/>
  <c r="NRL33" i="6"/>
  <c r="NRK33" i="6"/>
  <c r="NRJ33" i="6"/>
  <c r="NRI33" i="6"/>
  <c r="NRH33" i="6"/>
  <c r="NRG33" i="6"/>
  <c r="NRF33" i="6"/>
  <c r="NRE33" i="6"/>
  <c r="NRD33" i="6"/>
  <c r="NRC33" i="6"/>
  <c r="NRB33" i="6"/>
  <c r="NRA33" i="6"/>
  <c r="NQZ33" i="6"/>
  <c r="NQY33" i="6"/>
  <c r="NQX33" i="6"/>
  <c r="NQW33" i="6"/>
  <c r="NQV33" i="6"/>
  <c r="NQU33" i="6"/>
  <c r="NQT33" i="6"/>
  <c r="NQS33" i="6"/>
  <c r="NQR33" i="6"/>
  <c r="NQQ33" i="6"/>
  <c r="NQP33" i="6"/>
  <c r="NQO33" i="6"/>
  <c r="NQN33" i="6"/>
  <c r="NQM33" i="6"/>
  <c r="NQL33" i="6"/>
  <c r="NQK33" i="6"/>
  <c r="NQJ33" i="6"/>
  <c r="NQI33" i="6"/>
  <c r="NQH33" i="6"/>
  <c r="NQG33" i="6"/>
  <c r="NQF33" i="6"/>
  <c r="NQE33" i="6"/>
  <c r="NQD33" i="6"/>
  <c r="NQC33" i="6"/>
  <c r="NQB33" i="6"/>
  <c r="NQA33" i="6"/>
  <c r="NPZ33" i="6"/>
  <c r="NPY33" i="6"/>
  <c r="NPX33" i="6"/>
  <c r="NPW33" i="6"/>
  <c r="NPV33" i="6"/>
  <c r="NPU33" i="6"/>
  <c r="NPT33" i="6"/>
  <c r="NPS33" i="6"/>
  <c r="NPR33" i="6"/>
  <c r="NPQ33" i="6"/>
  <c r="NPP33" i="6"/>
  <c r="NPO33" i="6"/>
  <c r="NPN33" i="6"/>
  <c r="NPM33" i="6"/>
  <c r="NPL33" i="6"/>
  <c r="NPK33" i="6"/>
  <c r="NPJ33" i="6"/>
  <c r="NPI33" i="6"/>
  <c r="NPH33" i="6"/>
  <c r="NPG33" i="6"/>
  <c r="NPF33" i="6"/>
  <c r="NPE33" i="6"/>
  <c r="NPD33" i="6"/>
  <c r="NPC33" i="6"/>
  <c r="NPB33" i="6"/>
  <c r="NPA33" i="6"/>
  <c r="NOZ33" i="6"/>
  <c r="NOY33" i="6"/>
  <c r="NOX33" i="6"/>
  <c r="NOW33" i="6"/>
  <c r="NOV33" i="6"/>
  <c r="NOU33" i="6"/>
  <c r="NOT33" i="6"/>
  <c r="NOS33" i="6"/>
  <c r="NOR33" i="6"/>
  <c r="NOQ33" i="6"/>
  <c r="NOP33" i="6"/>
  <c r="NOO33" i="6"/>
  <c r="NON33" i="6"/>
  <c r="NOM33" i="6"/>
  <c r="NOL33" i="6"/>
  <c r="NOK33" i="6"/>
  <c r="NOJ33" i="6"/>
  <c r="NOI33" i="6"/>
  <c r="NOH33" i="6"/>
  <c r="NOG33" i="6"/>
  <c r="NOF33" i="6"/>
  <c r="NOE33" i="6"/>
  <c r="NOD33" i="6"/>
  <c r="NOC33" i="6"/>
  <c r="NOB33" i="6"/>
  <c r="NOA33" i="6"/>
  <c r="NNZ33" i="6"/>
  <c r="NNY33" i="6"/>
  <c r="NNX33" i="6"/>
  <c r="NNW33" i="6"/>
  <c r="NNV33" i="6"/>
  <c r="NNU33" i="6"/>
  <c r="NNT33" i="6"/>
  <c r="NNS33" i="6"/>
  <c r="NNR33" i="6"/>
  <c r="NNQ33" i="6"/>
  <c r="NNP33" i="6"/>
  <c r="NNO33" i="6"/>
  <c r="NNN33" i="6"/>
  <c r="NNM33" i="6"/>
  <c r="NNL33" i="6"/>
  <c r="NNK33" i="6"/>
  <c r="NNJ33" i="6"/>
  <c r="NNI33" i="6"/>
  <c r="NNH33" i="6"/>
  <c r="NNG33" i="6"/>
  <c r="NNF33" i="6"/>
  <c r="NNE33" i="6"/>
  <c r="NND33" i="6"/>
  <c r="NNC33" i="6"/>
  <c r="NNB33" i="6"/>
  <c r="NNA33" i="6"/>
  <c r="NMZ33" i="6"/>
  <c r="NMY33" i="6"/>
  <c r="NMX33" i="6"/>
  <c r="NMW33" i="6"/>
  <c r="NMV33" i="6"/>
  <c r="NMU33" i="6"/>
  <c r="NMT33" i="6"/>
  <c r="NMS33" i="6"/>
  <c r="NMR33" i="6"/>
  <c r="NMQ33" i="6"/>
  <c r="NMP33" i="6"/>
  <c r="NMO33" i="6"/>
  <c r="NMN33" i="6"/>
  <c r="NMM33" i="6"/>
  <c r="NML33" i="6"/>
  <c r="NMK33" i="6"/>
  <c r="NMJ33" i="6"/>
  <c r="NMI33" i="6"/>
  <c r="NMH33" i="6"/>
  <c r="NMG33" i="6"/>
  <c r="NMF33" i="6"/>
  <c r="NME33" i="6"/>
  <c r="NMD33" i="6"/>
  <c r="NMC33" i="6"/>
  <c r="NMB33" i="6"/>
  <c r="NMA33" i="6"/>
  <c r="NLZ33" i="6"/>
  <c r="NLY33" i="6"/>
  <c r="NLX33" i="6"/>
  <c r="NLW33" i="6"/>
  <c r="NLV33" i="6"/>
  <c r="NLU33" i="6"/>
  <c r="NLT33" i="6"/>
  <c r="NLS33" i="6"/>
  <c r="NLR33" i="6"/>
  <c r="NLQ33" i="6"/>
  <c r="NLP33" i="6"/>
  <c r="NLO33" i="6"/>
  <c r="NLN33" i="6"/>
  <c r="NLM33" i="6"/>
  <c r="NLL33" i="6"/>
  <c r="NLK33" i="6"/>
  <c r="NLJ33" i="6"/>
  <c r="NLI33" i="6"/>
  <c r="NLH33" i="6"/>
  <c r="NLG33" i="6"/>
  <c r="NLF33" i="6"/>
  <c r="NLE33" i="6"/>
  <c r="NLD33" i="6"/>
  <c r="NLC33" i="6"/>
  <c r="NLB33" i="6"/>
  <c r="NLA33" i="6"/>
  <c r="NKZ33" i="6"/>
  <c r="NKY33" i="6"/>
  <c r="NKX33" i="6"/>
  <c r="NKW33" i="6"/>
  <c r="NKV33" i="6"/>
  <c r="NKU33" i="6"/>
  <c r="NKT33" i="6"/>
  <c r="NKS33" i="6"/>
  <c r="NKR33" i="6"/>
  <c r="NKQ33" i="6"/>
  <c r="NKP33" i="6"/>
  <c r="NKO33" i="6"/>
  <c r="NKN33" i="6"/>
  <c r="NKM33" i="6"/>
  <c r="NKL33" i="6"/>
  <c r="NKK33" i="6"/>
  <c r="NKJ33" i="6"/>
  <c r="NKI33" i="6"/>
  <c r="NKH33" i="6"/>
  <c r="NKG33" i="6"/>
  <c r="NKF33" i="6"/>
  <c r="NKE33" i="6"/>
  <c r="NKD33" i="6"/>
  <c r="NKC33" i="6"/>
  <c r="NKB33" i="6"/>
  <c r="NKA33" i="6"/>
  <c r="NJZ33" i="6"/>
  <c r="NJY33" i="6"/>
  <c r="NJX33" i="6"/>
  <c r="NJW33" i="6"/>
  <c r="NJV33" i="6"/>
  <c r="NJU33" i="6"/>
  <c r="NJT33" i="6"/>
  <c r="NJS33" i="6"/>
  <c r="NJR33" i="6"/>
  <c r="NJQ33" i="6"/>
  <c r="NJP33" i="6"/>
  <c r="NJO33" i="6"/>
  <c r="NJN33" i="6"/>
  <c r="NJM33" i="6"/>
  <c r="NJL33" i="6"/>
  <c r="NJK33" i="6"/>
  <c r="NJJ33" i="6"/>
  <c r="NJI33" i="6"/>
  <c r="NJH33" i="6"/>
  <c r="NJG33" i="6"/>
  <c r="NJF33" i="6"/>
  <c r="NJE33" i="6"/>
  <c r="NJD33" i="6"/>
  <c r="NJC33" i="6"/>
  <c r="NJB33" i="6"/>
  <c r="NJA33" i="6"/>
  <c r="NIZ33" i="6"/>
  <c r="NIY33" i="6"/>
  <c r="NIX33" i="6"/>
  <c r="NIW33" i="6"/>
  <c r="NIV33" i="6"/>
  <c r="NIU33" i="6"/>
  <c r="NIT33" i="6"/>
  <c r="NIS33" i="6"/>
  <c r="NIR33" i="6"/>
  <c r="NIQ33" i="6"/>
  <c r="NIP33" i="6"/>
  <c r="NIO33" i="6"/>
  <c r="NIN33" i="6"/>
  <c r="NIM33" i="6"/>
  <c r="NIL33" i="6"/>
  <c r="NIK33" i="6"/>
  <c r="NIJ33" i="6"/>
  <c r="NII33" i="6"/>
  <c r="NIH33" i="6"/>
  <c r="NIG33" i="6"/>
  <c r="NIF33" i="6"/>
  <c r="NIE33" i="6"/>
  <c r="NID33" i="6"/>
  <c r="NIC33" i="6"/>
  <c r="NIB33" i="6"/>
  <c r="NIA33" i="6"/>
  <c r="NHZ33" i="6"/>
  <c r="NHY33" i="6"/>
  <c r="NHX33" i="6"/>
  <c r="NHW33" i="6"/>
  <c r="NHV33" i="6"/>
  <c r="NHU33" i="6"/>
  <c r="NHT33" i="6"/>
  <c r="NHS33" i="6"/>
  <c r="NHR33" i="6"/>
  <c r="NHQ33" i="6"/>
  <c r="NHP33" i="6"/>
  <c r="NHO33" i="6"/>
  <c r="NHN33" i="6"/>
  <c r="NHM33" i="6"/>
  <c r="NHL33" i="6"/>
  <c r="NHK33" i="6"/>
  <c r="NHJ33" i="6"/>
  <c r="NHI33" i="6"/>
  <c r="NHH33" i="6"/>
  <c r="NHG33" i="6"/>
  <c r="NHF33" i="6"/>
  <c r="NHE33" i="6"/>
  <c r="NHD33" i="6"/>
  <c r="NHC33" i="6"/>
  <c r="NHB33" i="6"/>
  <c r="NHA33" i="6"/>
  <c r="NGZ33" i="6"/>
  <c r="NGY33" i="6"/>
  <c r="NGX33" i="6"/>
  <c r="NGW33" i="6"/>
  <c r="NGV33" i="6"/>
  <c r="NGU33" i="6"/>
  <c r="NGT33" i="6"/>
  <c r="NGS33" i="6"/>
  <c r="NGR33" i="6"/>
  <c r="NGQ33" i="6"/>
  <c r="NGP33" i="6"/>
  <c r="NGO33" i="6"/>
  <c r="NGN33" i="6"/>
  <c r="NGM33" i="6"/>
  <c r="NGL33" i="6"/>
  <c r="NGK33" i="6"/>
  <c r="NGJ33" i="6"/>
  <c r="NGI33" i="6"/>
  <c r="NGH33" i="6"/>
  <c r="NGG33" i="6"/>
  <c r="NGF33" i="6"/>
  <c r="NGE33" i="6"/>
  <c r="NGD33" i="6"/>
  <c r="NGC33" i="6"/>
  <c r="NGB33" i="6"/>
  <c r="NGA33" i="6"/>
  <c r="NFZ33" i="6"/>
  <c r="NFY33" i="6"/>
  <c r="NFX33" i="6"/>
  <c r="NFW33" i="6"/>
  <c r="NFV33" i="6"/>
  <c r="NFU33" i="6"/>
  <c r="NFT33" i="6"/>
  <c r="NFS33" i="6"/>
  <c r="NFR33" i="6"/>
  <c r="NFQ33" i="6"/>
  <c r="NFP33" i="6"/>
  <c r="NFO33" i="6"/>
  <c r="NFN33" i="6"/>
  <c r="NFM33" i="6"/>
  <c r="NFL33" i="6"/>
  <c r="NFK33" i="6"/>
  <c r="NFJ33" i="6"/>
  <c r="NFI33" i="6"/>
  <c r="NFH33" i="6"/>
  <c r="NFG33" i="6"/>
  <c r="NFF33" i="6"/>
  <c r="NFE33" i="6"/>
  <c r="NFD33" i="6"/>
  <c r="NFC33" i="6"/>
  <c r="NFB33" i="6"/>
  <c r="NFA33" i="6"/>
  <c r="NEZ33" i="6"/>
  <c r="NEY33" i="6"/>
  <c r="NEX33" i="6"/>
  <c r="NEW33" i="6"/>
  <c r="NEV33" i="6"/>
  <c r="NEU33" i="6"/>
  <c r="NET33" i="6"/>
  <c r="NES33" i="6"/>
  <c r="NER33" i="6"/>
  <c r="NEQ33" i="6"/>
  <c r="NEP33" i="6"/>
  <c r="NEO33" i="6"/>
  <c r="NEN33" i="6"/>
  <c r="NEM33" i="6"/>
  <c r="NEL33" i="6"/>
  <c r="NEK33" i="6"/>
  <c r="NEJ33" i="6"/>
  <c r="NEI33" i="6"/>
  <c r="NEH33" i="6"/>
  <c r="NEG33" i="6"/>
  <c r="NEF33" i="6"/>
  <c r="NEE33" i="6"/>
  <c r="NED33" i="6"/>
  <c r="NEC33" i="6"/>
  <c r="NEB33" i="6"/>
  <c r="NEA33" i="6"/>
  <c r="NDZ33" i="6"/>
  <c r="NDY33" i="6"/>
  <c r="NDX33" i="6"/>
  <c r="NDW33" i="6"/>
  <c r="NDV33" i="6"/>
  <c r="NDU33" i="6"/>
  <c r="NDT33" i="6"/>
  <c r="NDS33" i="6"/>
  <c r="NDR33" i="6"/>
  <c r="NDQ33" i="6"/>
  <c r="NDP33" i="6"/>
  <c r="NDO33" i="6"/>
  <c r="NDN33" i="6"/>
  <c r="NDM33" i="6"/>
  <c r="NDL33" i="6"/>
  <c r="NDK33" i="6"/>
  <c r="NDJ33" i="6"/>
  <c r="NDI33" i="6"/>
  <c r="NDH33" i="6"/>
  <c r="NDG33" i="6"/>
  <c r="NDF33" i="6"/>
  <c r="NDE33" i="6"/>
  <c r="NDD33" i="6"/>
  <c r="NDC33" i="6"/>
  <c r="NDB33" i="6"/>
  <c r="NDA33" i="6"/>
  <c r="NCZ33" i="6"/>
  <c r="NCY33" i="6"/>
  <c r="NCX33" i="6"/>
  <c r="NCW33" i="6"/>
  <c r="NCV33" i="6"/>
  <c r="NCU33" i="6"/>
  <c r="NCT33" i="6"/>
  <c r="NCS33" i="6"/>
  <c r="NCR33" i="6"/>
  <c r="NCQ33" i="6"/>
  <c r="NCP33" i="6"/>
  <c r="NCO33" i="6"/>
  <c r="NCN33" i="6"/>
  <c r="NCM33" i="6"/>
  <c r="NCL33" i="6"/>
  <c r="NCK33" i="6"/>
  <c r="NCJ33" i="6"/>
  <c r="NCI33" i="6"/>
  <c r="NCH33" i="6"/>
  <c r="NCG33" i="6"/>
  <c r="NCF33" i="6"/>
  <c r="NCE33" i="6"/>
  <c r="NCD33" i="6"/>
  <c r="NCC33" i="6"/>
  <c r="NCB33" i="6"/>
  <c r="NCA33" i="6"/>
  <c r="NBZ33" i="6"/>
  <c r="NBY33" i="6"/>
  <c r="NBX33" i="6"/>
  <c r="NBW33" i="6"/>
  <c r="NBV33" i="6"/>
  <c r="NBU33" i="6"/>
  <c r="NBT33" i="6"/>
  <c r="NBS33" i="6"/>
  <c r="NBR33" i="6"/>
  <c r="NBQ33" i="6"/>
  <c r="NBP33" i="6"/>
  <c r="NBO33" i="6"/>
  <c r="NBN33" i="6"/>
  <c r="NBM33" i="6"/>
  <c r="NBL33" i="6"/>
  <c r="NBK33" i="6"/>
  <c r="NBJ33" i="6"/>
  <c r="NBI33" i="6"/>
  <c r="NBH33" i="6"/>
  <c r="NBG33" i="6"/>
  <c r="NBF33" i="6"/>
  <c r="NBE33" i="6"/>
  <c r="NBD33" i="6"/>
  <c r="NBC33" i="6"/>
  <c r="NBB33" i="6"/>
  <c r="NBA33" i="6"/>
  <c r="NAZ33" i="6"/>
  <c r="NAY33" i="6"/>
  <c r="NAX33" i="6"/>
  <c r="NAW33" i="6"/>
  <c r="NAV33" i="6"/>
  <c r="NAU33" i="6"/>
  <c r="NAT33" i="6"/>
  <c r="NAS33" i="6"/>
  <c r="NAR33" i="6"/>
  <c r="NAQ33" i="6"/>
  <c r="NAP33" i="6"/>
  <c r="NAO33" i="6"/>
  <c r="NAN33" i="6"/>
  <c r="NAM33" i="6"/>
  <c r="NAL33" i="6"/>
  <c r="NAK33" i="6"/>
  <c r="NAJ33" i="6"/>
  <c r="NAI33" i="6"/>
  <c r="NAH33" i="6"/>
  <c r="NAG33" i="6"/>
  <c r="NAF33" i="6"/>
  <c r="NAE33" i="6"/>
  <c r="NAD33" i="6"/>
  <c r="NAC33" i="6"/>
  <c r="NAB33" i="6"/>
  <c r="NAA33" i="6"/>
  <c r="MZZ33" i="6"/>
  <c r="MZY33" i="6"/>
  <c r="MZX33" i="6"/>
  <c r="MZW33" i="6"/>
  <c r="MZV33" i="6"/>
  <c r="MZU33" i="6"/>
  <c r="MZT33" i="6"/>
  <c r="MZS33" i="6"/>
  <c r="MZR33" i="6"/>
  <c r="MZQ33" i="6"/>
  <c r="MZP33" i="6"/>
  <c r="MZO33" i="6"/>
  <c r="MZN33" i="6"/>
  <c r="MZM33" i="6"/>
  <c r="MZL33" i="6"/>
  <c r="MZK33" i="6"/>
  <c r="MZJ33" i="6"/>
  <c r="MZI33" i="6"/>
  <c r="MZH33" i="6"/>
  <c r="MZG33" i="6"/>
  <c r="MZF33" i="6"/>
  <c r="MZE33" i="6"/>
  <c r="MZD33" i="6"/>
  <c r="MZC33" i="6"/>
  <c r="MZB33" i="6"/>
  <c r="MZA33" i="6"/>
  <c r="MYZ33" i="6"/>
  <c r="MYY33" i="6"/>
  <c r="MYX33" i="6"/>
  <c r="MYW33" i="6"/>
  <c r="MYV33" i="6"/>
  <c r="MYU33" i="6"/>
  <c r="MYT33" i="6"/>
  <c r="MYS33" i="6"/>
  <c r="MYR33" i="6"/>
  <c r="MYQ33" i="6"/>
  <c r="MYP33" i="6"/>
  <c r="MYO33" i="6"/>
  <c r="MYN33" i="6"/>
  <c r="MYM33" i="6"/>
  <c r="MYL33" i="6"/>
  <c r="MYK33" i="6"/>
  <c r="MYJ33" i="6"/>
  <c r="MYI33" i="6"/>
  <c r="MYH33" i="6"/>
  <c r="MYG33" i="6"/>
  <c r="MYF33" i="6"/>
  <c r="MYE33" i="6"/>
  <c r="MYD33" i="6"/>
  <c r="MYC33" i="6"/>
  <c r="MYB33" i="6"/>
  <c r="MYA33" i="6"/>
  <c r="MXZ33" i="6"/>
  <c r="MXY33" i="6"/>
  <c r="MXX33" i="6"/>
  <c r="MXW33" i="6"/>
  <c r="MXV33" i="6"/>
  <c r="MXU33" i="6"/>
  <c r="MXT33" i="6"/>
  <c r="MXS33" i="6"/>
  <c r="MXR33" i="6"/>
  <c r="MXQ33" i="6"/>
  <c r="MXP33" i="6"/>
  <c r="MXO33" i="6"/>
  <c r="MXN33" i="6"/>
  <c r="MXM33" i="6"/>
  <c r="MXL33" i="6"/>
  <c r="MXK33" i="6"/>
  <c r="MXJ33" i="6"/>
  <c r="MXI33" i="6"/>
  <c r="MXH33" i="6"/>
  <c r="MXG33" i="6"/>
  <c r="MXF33" i="6"/>
  <c r="MXE33" i="6"/>
  <c r="MXD33" i="6"/>
  <c r="MXC33" i="6"/>
  <c r="MXB33" i="6"/>
  <c r="MXA33" i="6"/>
  <c r="MWZ33" i="6"/>
  <c r="MWY33" i="6"/>
  <c r="MWX33" i="6"/>
  <c r="MWW33" i="6"/>
  <c r="MWV33" i="6"/>
  <c r="MWU33" i="6"/>
  <c r="MWT33" i="6"/>
  <c r="MWS33" i="6"/>
  <c r="MWR33" i="6"/>
  <c r="MWQ33" i="6"/>
  <c r="MWP33" i="6"/>
  <c r="MWO33" i="6"/>
  <c r="MWN33" i="6"/>
  <c r="MWM33" i="6"/>
  <c r="MWL33" i="6"/>
  <c r="MWK33" i="6"/>
  <c r="MWJ33" i="6"/>
  <c r="MWI33" i="6"/>
  <c r="MWH33" i="6"/>
  <c r="MWG33" i="6"/>
  <c r="MWF33" i="6"/>
  <c r="MWE33" i="6"/>
  <c r="MWD33" i="6"/>
  <c r="MWC33" i="6"/>
  <c r="MWB33" i="6"/>
  <c r="MWA33" i="6"/>
  <c r="MVZ33" i="6"/>
  <c r="MVY33" i="6"/>
  <c r="MVX33" i="6"/>
  <c r="MVW33" i="6"/>
  <c r="MVV33" i="6"/>
  <c r="MVU33" i="6"/>
  <c r="MVT33" i="6"/>
  <c r="MVS33" i="6"/>
  <c r="MVR33" i="6"/>
  <c r="MVQ33" i="6"/>
  <c r="MVP33" i="6"/>
  <c r="MVO33" i="6"/>
  <c r="MVN33" i="6"/>
  <c r="MVM33" i="6"/>
  <c r="MVL33" i="6"/>
  <c r="MVK33" i="6"/>
  <c r="MVJ33" i="6"/>
  <c r="MVI33" i="6"/>
  <c r="MVH33" i="6"/>
  <c r="MVG33" i="6"/>
  <c r="MVF33" i="6"/>
  <c r="MVE33" i="6"/>
  <c r="MVD33" i="6"/>
  <c r="MVC33" i="6"/>
  <c r="MVB33" i="6"/>
  <c r="MVA33" i="6"/>
  <c r="MUZ33" i="6"/>
  <c r="MUY33" i="6"/>
  <c r="MUX33" i="6"/>
  <c r="MUW33" i="6"/>
  <c r="MUV33" i="6"/>
  <c r="MUU33" i="6"/>
  <c r="MUT33" i="6"/>
  <c r="MUS33" i="6"/>
  <c r="MUR33" i="6"/>
  <c r="MUQ33" i="6"/>
  <c r="MUP33" i="6"/>
  <c r="MUO33" i="6"/>
  <c r="MUN33" i="6"/>
  <c r="MUM33" i="6"/>
  <c r="MUL33" i="6"/>
  <c r="MUK33" i="6"/>
  <c r="MUJ33" i="6"/>
  <c r="MUI33" i="6"/>
  <c r="MUH33" i="6"/>
  <c r="MUG33" i="6"/>
  <c r="MUF33" i="6"/>
  <c r="MUE33" i="6"/>
  <c r="MUD33" i="6"/>
  <c r="MUC33" i="6"/>
  <c r="MUB33" i="6"/>
  <c r="MUA33" i="6"/>
  <c r="MTZ33" i="6"/>
  <c r="MTY33" i="6"/>
  <c r="MTX33" i="6"/>
  <c r="MTW33" i="6"/>
  <c r="MTV33" i="6"/>
  <c r="MTU33" i="6"/>
  <c r="MTT33" i="6"/>
  <c r="MTS33" i="6"/>
  <c r="MTR33" i="6"/>
  <c r="MTQ33" i="6"/>
  <c r="MTP33" i="6"/>
  <c r="MTO33" i="6"/>
  <c r="MTN33" i="6"/>
  <c r="MTM33" i="6"/>
  <c r="MTL33" i="6"/>
  <c r="MTK33" i="6"/>
  <c r="MTJ33" i="6"/>
  <c r="MTI33" i="6"/>
  <c r="MTH33" i="6"/>
  <c r="MTG33" i="6"/>
  <c r="MTF33" i="6"/>
  <c r="MTE33" i="6"/>
  <c r="MTD33" i="6"/>
  <c r="MTC33" i="6"/>
  <c r="MTB33" i="6"/>
  <c r="MTA33" i="6"/>
  <c r="MSZ33" i="6"/>
  <c r="MSY33" i="6"/>
  <c r="MSX33" i="6"/>
  <c r="MSW33" i="6"/>
  <c r="MSV33" i="6"/>
  <c r="MSU33" i="6"/>
  <c r="MST33" i="6"/>
  <c r="MSS33" i="6"/>
  <c r="MSR33" i="6"/>
  <c r="MSQ33" i="6"/>
  <c r="MSP33" i="6"/>
  <c r="MSO33" i="6"/>
  <c r="MSN33" i="6"/>
  <c r="MSM33" i="6"/>
  <c r="MSL33" i="6"/>
  <c r="MSK33" i="6"/>
  <c r="MSJ33" i="6"/>
  <c r="MSI33" i="6"/>
  <c r="MSH33" i="6"/>
  <c r="MSG33" i="6"/>
  <c r="MSF33" i="6"/>
  <c r="MSE33" i="6"/>
  <c r="MSD33" i="6"/>
  <c r="MSC33" i="6"/>
  <c r="MSB33" i="6"/>
  <c r="MSA33" i="6"/>
  <c r="MRZ33" i="6"/>
  <c r="MRY33" i="6"/>
  <c r="MRX33" i="6"/>
  <c r="MRW33" i="6"/>
  <c r="MRV33" i="6"/>
  <c r="MRU33" i="6"/>
  <c r="MRT33" i="6"/>
  <c r="MRS33" i="6"/>
  <c r="MRR33" i="6"/>
  <c r="MRQ33" i="6"/>
  <c r="MRP33" i="6"/>
  <c r="MRO33" i="6"/>
  <c r="MRN33" i="6"/>
  <c r="MRM33" i="6"/>
  <c r="MRL33" i="6"/>
  <c r="MRK33" i="6"/>
  <c r="MRJ33" i="6"/>
  <c r="MRI33" i="6"/>
  <c r="MRH33" i="6"/>
  <c r="MRG33" i="6"/>
  <c r="MRF33" i="6"/>
  <c r="MRE33" i="6"/>
  <c r="MRD33" i="6"/>
  <c r="MRC33" i="6"/>
  <c r="MRB33" i="6"/>
  <c r="MRA33" i="6"/>
  <c r="MQZ33" i="6"/>
  <c r="MQY33" i="6"/>
  <c r="MQX33" i="6"/>
  <c r="MQW33" i="6"/>
  <c r="MQV33" i="6"/>
  <c r="MQU33" i="6"/>
  <c r="MQT33" i="6"/>
  <c r="MQS33" i="6"/>
  <c r="MQR33" i="6"/>
  <c r="MQQ33" i="6"/>
  <c r="MQP33" i="6"/>
  <c r="MQO33" i="6"/>
  <c r="MQN33" i="6"/>
  <c r="MQM33" i="6"/>
  <c r="MQL33" i="6"/>
  <c r="MQK33" i="6"/>
  <c r="MQJ33" i="6"/>
  <c r="MQI33" i="6"/>
  <c r="MQH33" i="6"/>
  <c r="MQG33" i="6"/>
  <c r="MQF33" i="6"/>
  <c r="MQE33" i="6"/>
  <c r="MQD33" i="6"/>
  <c r="MQC33" i="6"/>
  <c r="MQB33" i="6"/>
  <c r="MQA33" i="6"/>
  <c r="MPZ33" i="6"/>
  <c r="MPY33" i="6"/>
  <c r="MPX33" i="6"/>
  <c r="MPW33" i="6"/>
  <c r="MPV33" i="6"/>
  <c r="MPU33" i="6"/>
  <c r="MPT33" i="6"/>
  <c r="MPS33" i="6"/>
  <c r="MPR33" i="6"/>
  <c r="MPQ33" i="6"/>
  <c r="MPP33" i="6"/>
  <c r="MPO33" i="6"/>
  <c r="MPN33" i="6"/>
  <c r="MPM33" i="6"/>
  <c r="MPL33" i="6"/>
  <c r="MPK33" i="6"/>
  <c r="MPJ33" i="6"/>
  <c r="MPI33" i="6"/>
  <c r="MPH33" i="6"/>
  <c r="MPG33" i="6"/>
  <c r="MPF33" i="6"/>
  <c r="MPE33" i="6"/>
  <c r="MPD33" i="6"/>
  <c r="MPC33" i="6"/>
  <c r="MPB33" i="6"/>
  <c r="MPA33" i="6"/>
  <c r="MOZ33" i="6"/>
  <c r="MOY33" i="6"/>
  <c r="MOX33" i="6"/>
  <c r="MOW33" i="6"/>
  <c r="MOV33" i="6"/>
  <c r="MOU33" i="6"/>
  <c r="MOT33" i="6"/>
  <c r="MOS33" i="6"/>
  <c r="MOR33" i="6"/>
  <c r="MOQ33" i="6"/>
  <c r="MOP33" i="6"/>
  <c r="MOO33" i="6"/>
  <c r="MON33" i="6"/>
  <c r="MOM33" i="6"/>
  <c r="MOL33" i="6"/>
  <c r="MOK33" i="6"/>
  <c r="MOJ33" i="6"/>
  <c r="MOI33" i="6"/>
  <c r="MOH33" i="6"/>
  <c r="MOG33" i="6"/>
  <c r="MOF33" i="6"/>
  <c r="MOE33" i="6"/>
  <c r="MOD33" i="6"/>
  <c r="MOC33" i="6"/>
  <c r="MOB33" i="6"/>
  <c r="MOA33" i="6"/>
  <c r="MNZ33" i="6"/>
  <c r="MNY33" i="6"/>
  <c r="MNX33" i="6"/>
  <c r="MNW33" i="6"/>
  <c r="MNV33" i="6"/>
  <c r="MNU33" i="6"/>
  <c r="MNT33" i="6"/>
  <c r="MNS33" i="6"/>
  <c r="MNR33" i="6"/>
  <c r="MNQ33" i="6"/>
  <c r="MNP33" i="6"/>
  <c r="MNO33" i="6"/>
  <c r="MNN33" i="6"/>
  <c r="MNM33" i="6"/>
  <c r="MNL33" i="6"/>
  <c r="MNK33" i="6"/>
  <c r="MNJ33" i="6"/>
  <c r="MNI33" i="6"/>
  <c r="MNH33" i="6"/>
  <c r="MNG33" i="6"/>
  <c r="MNF33" i="6"/>
  <c r="MNE33" i="6"/>
  <c r="MND33" i="6"/>
  <c r="MNC33" i="6"/>
  <c r="MNB33" i="6"/>
  <c r="MNA33" i="6"/>
  <c r="MMZ33" i="6"/>
  <c r="MMY33" i="6"/>
  <c r="MMX33" i="6"/>
  <c r="MMW33" i="6"/>
  <c r="MMV33" i="6"/>
  <c r="MMU33" i="6"/>
  <c r="MMT33" i="6"/>
  <c r="MMS33" i="6"/>
  <c r="MMR33" i="6"/>
  <c r="MMQ33" i="6"/>
  <c r="MMP33" i="6"/>
  <c r="MMO33" i="6"/>
  <c r="MMN33" i="6"/>
  <c r="MMM33" i="6"/>
  <c r="MML33" i="6"/>
  <c r="MMK33" i="6"/>
  <c r="MMJ33" i="6"/>
  <c r="MMI33" i="6"/>
  <c r="MMH33" i="6"/>
  <c r="MMG33" i="6"/>
  <c r="MMF33" i="6"/>
  <c r="MME33" i="6"/>
  <c r="MMD33" i="6"/>
  <c r="MMC33" i="6"/>
  <c r="MMB33" i="6"/>
  <c r="MMA33" i="6"/>
  <c r="MLZ33" i="6"/>
  <c r="MLY33" i="6"/>
  <c r="MLX33" i="6"/>
  <c r="MLW33" i="6"/>
  <c r="MLV33" i="6"/>
  <c r="MLU33" i="6"/>
  <c r="MLT33" i="6"/>
  <c r="MLS33" i="6"/>
  <c r="MLR33" i="6"/>
  <c r="MLQ33" i="6"/>
  <c r="MLP33" i="6"/>
  <c r="MLO33" i="6"/>
  <c r="MLN33" i="6"/>
  <c r="MLM33" i="6"/>
  <c r="MLL33" i="6"/>
  <c r="MLK33" i="6"/>
  <c r="MLJ33" i="6"/>
  <c r="MLI33" i="6"/>
  <c r="MLH33" i="6"/>
  <c r="MLG33" i="6"/>
  <c r="MLF33" i="6"/>
  <c r="MLE33" i="6"/>
  <c r="MLD33" i="6"/>
  <c r="MLC33" i="6"/>
  <c r="MLB33" i="6"/>
  <c r="MLA33" i="6"/>
  <c r="MKZ33" i="6"/>
  <c r="MKY33" i="6"/>
  <c r="MKX33" i="6"/>
  <c r="MKW33" i="6"/>
  <c r="MKV33" i="6"/>
  <c r="MKU33" i="6"/>
  <c r="MKT33" i="6"/>
  <c r="MKS33" i="6"/>
  <c r="MKR33" i="6"/>
  <c r="MKQ33" i="6"/>
  <c r="MKP33" i="6"/>
  <c r="MKO33" i="6"/>
  <c r="MKN33" i="6"/>
  <c r="MKM33" i="6"/>
  <c r="MKL33" i="6"/>
  <c r="MKK33" i="6"/>
  <c r="MKJ33" i="6"/>
  <c r="MKI33" i="6"/>
  <c r="MKH33" i="6"/>
  <c r="MKG33" i="6"/>
  <c r="MKF33" i="6"/>
  <c r="MKE33" i="6"/>
  <c r="MKD33" i="6"/>
  <c r="MKC33" i="6"/>
  <c r="MKB33" i="6"/>
  <c r="MKA33" i="6"/>
  <c r="MJZ33" i="6"/>
  <c r="MJY33" i="6"/>
  <c r="MJX33" i="6"/>
  <c r="MJW33" i="6"/>
  <c r="MJV33" i="6"/>
  <c r="MJU33" i="6"/>
  <c r="MJT33" i="6"/>
  <c r="MJS33" i="6"/>
  <c r="MJR33" i="6"/>
  <c r="MJQ33" i="6"/>
  <c r="MJP33" i="6"/>
  <c r="MJO33" i="6"/>
  <c r="MJN33" i="6"/>
  <c r="MJM33" i="6"/>
  <c r="MJL33" i="6"/>
  <c r="MJK33" i="6"/>
  <c r="MJJ33" i="6"/>
  <c r="MJI33" i="6"/>
  <c r="MJH33" i="6"/>
  <c r="MJG33" i="6"/>
  <c r="MJF33" i="6"/>
  <c r="MJE33" i="6"/>
  <c r="MJD33" i="6"/>
  <c r="MJC33" i="6"/>
  <c r="MJB33" i="6"/>
  <c r="MJA33" i="6"/>
  <c r="MIZ33" i="6"/>
  <c r="MIY33" i="6"/>
  <c r="MIX33" i="6"/>
  <c r="MIW33" i="6"/>
  <c r="MIV33" i="6"/>
  <c r="MIU33" i="6"/>
  <c r="MIT33" i="6"/>
  <c r="MIS33" i="6"/>
  <c r="MIR33" i="6"/>
  <c r="MIQ33" i="6"/>
  <c r="MIP33" i="6"/>
  <c r="MIO33" i="6"/>
  <c r="MIN33" i="6"/>
  <c r="MIM33" i="6"/>
  <c r="MIL33" i="6"/>
  <c r="MIK33" i="6"/>
  <c r="MIJ33" i="6"/>
  <c r="MII33" i="6"/>
  <c r="MIH33" i="6"/>
  <c r="MIG33" i="6"/>
  <c r="MIF33" i="6"/>
  <c r="MIE33" i="6"/>
  <c r="MID33" i="6"/>
  <c r="MIC33" i="6"/>
  <c r="MIB33" i="6"/>
  <c r="MIA33" i="6"/>
  <c r="MHZ33" i="6"/>
  <c r="MHY33" i="6"/>
  <c r="MHX33" i="6"/>
  <c r="MHW33" i="6"/>
  <c r="MHV33" i="6"/>
  <c r="MHU33" i="6"/>
  <c r="MHT33" i="6"/>
  <c r="MHS33" i="6"/>
  <c r="MHR33" i="6"/>
  <c r="MHQ33" i="6"/>
  <c r="MHP33" i="6"/>
  <c r="MHO33" i="6"/>
  <c r="MHN33" i="6"/>
  <c r="MHM33" i="6"/>
  <c r="MHL33" i="6"/>
  <c r="MHK33" i="6"/>
  <c r="MHJ33" i="6"/>
  <c r="MHI33" i="6"/>
  <c r="MHH33" i="6"/>
  <c r="MHG33" i="6"/>
  <c r="MHF33" i="6"/>
  <c r="MHE33" i="6"/>
  <c r="MHD33" i="6"/>
  <c r="MHC33" i="6"/>
  <c r="MHB33" i="6"/>
  <c r="MHA33" i="6"/>
  <c r="MGZ33" i="6"/>
  <c r="MGY33" i="6"/>
  <c r="MGX33" i="6"/>
  <c r="MGW33" i="6"/>
  <c r="MGV33" i="6"/>
  <c r="MGU33" i="6"/>
  <c r="MGT33" i="6"/>
  <c r="MGS33" i="6"/>
  <c r="MGR33" i="6"/>
  <c r="MGQ33" i="6"/>
  <c r="MGP33" i="6"/>
  <c r="MGO33" i="6"/>
  <c r="MGN33" i="6"/>
  <c r="MGM33" i="6"/>
  <c r="MGL33" i="6"/>
  <c r="MGK33" i="6"/>
  <c r="MGJ33" i="6"/>
  <c r="MGI33" i="6"/>
  <c r="MGH33" i="6"/>
  <c r="MGG33" i="6"/>
  <c r="MGF33" i="6"/>
  <c r="MGE33" i="6"/>
  <c r="MGD33" i="6"/>
  <c r="MGC33" i="6"/>
  <c r="MGB33" i="6"/>
  <c r="MGA33" i="6"/>
  <c r="MFZ33" i="6"/>
  <c r="MFY33" i="6"/>
  <c r="MFX33" i="6"/>
  <c r="MFW33" i="6"/>
  <c r="MFV33" i="6"/>
  <c r="MFU33" i="6"/>
  <c r="MFT33" i="6"/>
  <c r="MFS33" i="6"/>
  <c r="MFR33" i="6"/>
  <c r="MFQ33" i="6"/>
  <c r="MFP33" i="6"/>
  <c r="MFO33" i="6"/>
  <c r="MFN33" i="6"/>
  <c r="MFM33" i="6"/>
  <c r="MFL33" i="6"/>
  <c r="MFK33" i="6"/>
  <c r="MFJ33" i="6"/>
  <c r="MFI33" i="6"/>
  <c r="MFH33" i="6"/>
  <c r="MFG33" i="6"/>
  <c r="MFF33" i="6"/>
  <c r="MFE33" i="6"/>
  <c r="MFD33" i="6"/>
  <c r="MFC33" i="6"/>
  <c r="MFB33" i="6"/>
  <c r="MFA33" i="6"/>
  <c r="MEZ33" i="6"/>
  <c r="MEY33" i="6"/>
  <c r="MEX33" i="6"/>
  <c r="MEW33" i="6"/>
  <c r="MEV33" i="6"/>
  <c r="MEU33" i="6"/>
  <c r="MET33" i="6"/>
  <c r="MES33" i="6"/>
  <c r="MER33" i="6"/>
  <c r="MEQ33" i="6"/>
  <c r="MEP33" i="6"/>
  <c r="MEO33" i="6"/>
  <c r="MEN33" i="6"/>
  <c r="MEM33" i="6"/>
  <c r="MEL33" i="6"/>
  <c r="MEK33" i="6"/>
  <c r="MEJ33" i="6"/>
  <c r="MEI33" i="6"/>
  <c r="MEH33" i="6"/>
  <c r="MEG33" i="6"/>
  <c r="MEF33" i="6"/>
  <c r="MEE33" i="6"/>
  <c r="MED33" i="6"/>
  <c r="MEC33" i="6"/>
  <c r="MEB33" i="6"/>
  <c r="MEA33" i="6"/>
  <c r="MDZ33" i="6"/>
  <c r="MDY33" i="6"/>
  <c r="MDX33" i="6"/>
  <c r="MDW33" i="6"/>
  <c r="MDV33" i="6"/>
  <c r="MDU33" i="6"/>
  <c r="MDT33" i="6"/>
  <c r="MDS33" i="6"/>
  <c r="MDR33" i="6"/>
  <c r="MDQ33" i="6"/>
  <c r="MDP33" i="6"/>
  <c r="MDO33" i="6"/>
  <c r="MDN33" i="6"/>
  <c r="MDM33" i="6"/>
  <c r="MDL33" i="6"/>
  <c r="MDK33" i="6"/>
  <c r="MDJ33" i="6"/>
  <c r="MDI33" i="6"/>
  <c r="MDH33" i="6"/>
  <c r="MDG33" i="6"/>
  <c r="MDF33" i="6"/>
  <c r="MDE33" i="6"/>
  <c r="MDD33" i="6"/>
  <c r="MDC33" i="6"/>
  <c r="MDB33" i="6"/>
  <c r="MDA33" i="6"/>
  <c r="MCZ33" i="6"/>
  <c r="MCY33" i="6"/>
  <c r="MCX33" i="6"/>
  <c r="MCW33" i="6"/>
  <c r="MCV33" i="6"/>
  <c r="MCU33" i="6"/>
  <c r="MCT33" i="6"/>
  <c r="MCS33" i="6"/>
  <c r="MCR33" i="6"/>
  <c r="MCQ33" i="6"/>
  <c r="MCP33" i="6"/>
  <c r="MCO33" i="6"/>
  <c r="MCN33" i="6"/>
  <c r="MCM33" i="6"/>
  <c r="MCL33" i="6"/>
  <c r="MCK33" i="6"/>
  <c r="MCJ33" i="6"/>
  <c r="MCI33" i="6"/>
  <c r="MCH33" i="6"/>
  <c r="MCG33" i="6"/>
  <c r="MCF33" i="6"/>
  <c r="MCE33" i="6"/>
  <c r="MCD33" i="6"/>
  <c r="MCC33" i="6"/>
  <c r="MCB33" i="6"/>
  <c r="MCA33" i="6"/>
  <c r="MBZ33" i="6"/>
  <c r="MBY33" i="6"/>
  <c r="MBX33" i="6"/>
  <c r="MBW33" i="6"/>
  <c r="MBV33" i="6"/>
  <c r="MBU33" i="6"/>
  <c r="MBT33" i="6"/>
  <c r="MBS33" i="6"/>
  <c r="MBR33" i="6"/>
  <c r="MBQ33" i="6"/>
  <c r="MBP33" i="6"/>
  <c r="MBO33" i="6"/>
  <c r="MBN33" i="6"/>
  <c r="MBM33" i="6"/>
  <c r="MBL33" i="6"/>
  <c r="MBK33" i="6"/>
  <c r="MBJ33" i="6"/>
  <c r="MBI33" i="6"/>
  <c r="MBH33" i="6"/>
  <c r="MBG33" i="6"/>
  <c r="MBF33" i="6"/>
  <c r="MBE33" i="6"/>
  <c r="MBD33" i="6"/>
  <c r="MBC33" i="6"/>
  <c r="MBB33" i="6"/>
  <c r="MBA33" i="6"/>
  <c r="MAZ33" i="6"/>
  <c r="MAY33" i="6"/>
  <c r="MAX33" i="6"/>
  <c r="MAW33" i="6"/>
  <c r="MAV33" i="6"/>
  <c r="MAU33" i="6"/>
  <c r="MAT33" i="6"/>
  <c r="MAS33" i="6"/>
  <c r="MAR33" i="6"/>
  <c r="MAQ33" i="6"/>
  <c r="MAP33" i="6"/>
  <c r="MAO33" i="6"/>
  <c r="MAN33" i="6"/>
  <c r="MAM33" i="6"/>
  <c r="MAL33" i="6"/>
  <c r="MAK33" i="6"/>
  <c r="MAJ33" i="6"/>
  <c r="MAI33" i="6"/>
  <c r="MAH33" i="6"/>
  <c r="MAG33" i="6"/>
  <c r="MAF33" i="6"/>
  <c r="MAE33" i="6"/>
  <c r="MAD33" i="6"/>
  <c r="MAC33" i="6"/>
  <c r="MAB33" i="6"/>
  <c r="MAA33" i="6"/>
  <c r="LZZ33" i="6"/>
  <c r="LZY33" i="6"/>
  <c r="LZX33" i="6"/>
  <c r="LZW33" i="6"/>
  <c r="LZV33" i="6"/>
  <c r="LZU33" i="6"/>
  <c r="LZT33" i="6"/>
  <c r="LZS33" i="6"/>
  <c r="LZR33" i="6"/>
  <c r="LZQ33" i="6"/>
  <c r="LZP33" i="6"/>
  <c r="LZO33" i="6"/>
  <c r="LZN33" i="6"/>
  <c r="LZM33" i="6"/>
  <c r="LZL33" i="6"/>
  <c r="LZK33" i="6"/>
  <c r="LZJ33" i="6"/>
  <c r="LZI33" i="6"/>
  <c r="LZH33" i="6"/>
  <c r="LZG33" i="6"/>
  <c r="LZF33" i="6"/>
  <c r="LZE33" i="6"/>
  <c r="LZD33" i="6"/>
  <c r="LZC33" i="6"/>
  <c r="LZB33" i="6"/>
  <c r="LZA33" i="6"/>
  <c r="LYZ33" i="6"/>
  <c r="LYY33" i="6"/>
  <c r="LYX33" i="6"/>
  <c r="LYW33" i="6"/>
  <c r="LYV33" i="6"/>
  <c r="LYU33" i="6"/>
  <c r="LYT33" i="6"/>
  <c r="LYS33" i="6"/>
  <c r="LYR33" i="6"/>
  <c r="LYQ33" i="6"/>
  <c r="LYP33" i="6"/>
  <c r="LYO33" i="6"/>
  <c r="LYN33" i="6"/>
  <c r="LYM33" i="6"/>
  <c r="LYL33" i="6"/>
  <c r="LYK33" i="6"/>
  <c r="LYJ33" i="6"/>
  <c r="LYI33" i="6"/>
  <c r="LYH33" i="6"/>
  <c r="LYG33" i="6"/>
  <c r="LYF33" i="6"/>
  <c r="LYE33" i="6"/>
  <c r="LYD33" i="6"/>
  <c r="LYC33" i="6"/>
  <c r="LYB33" i="6"/>
  <c r="LYA33" i="6"/>
  <c r="LXZ33" i="6"/>
  <c r="LXY33" i="6"/>
  <c r="LXX33" i="6"/>
  <c r="LXW33" i="6"/>
  <c r="LXV33" i="6"/>
  <c r="LXU33" i="6"/>
  <c r="LXT33" i="6"/>
  <c r="LXS33" i="6"/>
  <c r="LXR33" i="6"/>
  <c r="LXQ33" i="6"/>
  <c r="LXP33" i="6"/>
  <c r="LXO33" i="6"/>
  <c r="LXN33" i="6"/>
  <c r="LXM33" i="6"/>
  <c r="LXL33" i="6"/>
  <c r="LXK33" i="6"/>
  <c r="LXJ33" i="6"/>
  <c r="LXI33" i="6"/>
  <c r="LXH33" i="6"/>
  <c r="LXG33" i="6"/>
  <c r="LXF33" i="6"/>
  <c r="LXE33" i="6"/>
  <c r="LXD33" i="6"/>
  <c r="LXC33" i="6"/>
  <c r="LXB33" i="6"/>
  <c r="LXA33" i="6"/>
  <c r="LWZ33" i="6"/>
  <c r="LWY33" i="6"/>
  <c r="LWX33" i="6"/>
  <c r="LWW33" i="6"/>
  <c r="LWV33" i="6"/>
  <c r="LWU33" i="6"/>
  <c r="LWT33" i="6"/>
  <c r="LWS33" i="6"/>
  <c r="LWR33" i="6"/>
  <c r="LWQ33" i="6"/>
  <c r="LWP33" i="6"/>
  <c r="LWO33" i="6"/>
  <c r="LWN33" i="6"/>
  <c r="LWM33" i="6"/>
  <c r="LWL33" i="6"/>
  <c r="LWK33" i="6"/>
  <c r="LWJ33" i="6"/>
  <c r="LWI33" i="6"/>
  <c r="LWH33" i="6"/>
  <c r="LWG33" i="6"/>
  <c r="LWF33" i="6"/>
  <c r="LWE33" i="6"/>
  <c r="LWD33" i="6"/>
  <c r="LWC33" i="6"/>
  <c r="LWB33" i="6"/>
  <c r="LWA33" i="6"/>
  <c r="LVZ33" i="6"/>
  <c r="LVY33" i="6"/>
  <c r="LVX33" i="6"/>
  <c r="LVW33" i="6"/>
  <c r="LVV33" i="6"/>
  <c r="LVU33" i="6"/>
  <c r="LVT33" i="6"/>
  <c r="LVS33" i="6"/>
  <c r="LVR33" i="6"/>
  <c r="LVQ33" i="6"/>
  <c r="LVP33" i="6"/>
  <c r="LVO33" i="6"/>
  <c r="LVN33" i="6"/>
  <c r="LVM33" i="6"/>
  <c r="LVL33" i="6"/>
  <c r="LVK33" i="6"/>
  <c r="LVJ33" i="6"/>
  <c r="LVI33" i="6"/>
  <c r="LVH33" i="6"/>
  <c r="LVG33" i="6"/>
  <c r="LVF33" i="6"/>
  <c r="LVE33" i="6"/>
  <c r="LVD33" i="6"/>
  <c r="LVC33" i="6"/>
  <c r="LVB33" i="6"/>
  <c r="LVA33" i="6"/>
  <c r="LUZ33" i="6"/>
  <c r="LUY33" i="6"/>
  <c r="LUX33" i="6"/>
  <c r="LUW33" i="6"/>
  <c r="LUV33" i="6"/>
  <c r="LUU33" i="6"/>
  <c r="LUT33" i="6"/>
  <c r="LUS33" i="6"/>
  <c r="LUR33" i="6"/>
  <c r="LUQ33" i="6"/>
  <c r="LUP33" i="6"/>
  <c r="LUO33" i="6"/>
  <c r="LUN33" i="6"/>
  <c r="LUM33" i="6"/>
  <c r="LUL33" i="6"/>
  <c r="LUK33" i="6"/>
  <c r="LUJ33" i="6"/>
  <c r="LUI33" i="6"/>
  <c r="LUH33" i="6"/>
  <c r="LUG33" i="6"/>
  <c r="LUF33" i="6"/>
  <c r="LUE33" i="6"/>
  <c r="LUD33" i="6"/>
  <c r="LUC33" i="6"/>
  <c r="LUB33" i="6"/>
  <c r="LUA33" i="6"/>
  <c r="LTZ33" i="6"/>
  <c r="LTY33" i="6"/>
  <c r="LTX33" i="6"/>
  <c r="LTW33" i="6"/>
  <c r="LTV33" i="6"/>
  <c r="LTU33" i="6"/>
  <c r="LTT33" i="6"/>
  <c r="LTS33" i="6"/>
  <c r="LTR33" i="6"/>
  <c r="LTQ33" i="6"/>
  <c r="LTP33" i="6"/>
  <c r="LTO33" i="6"/>
  <c r="LTN33" i="6"/>
  <c r="LTM33" i="6"/>
  <c r="LTL33" i="6"/>
  <c r="LTK33" i="6"/>
  <c r="LTJ33" i="6"/>
  <c r="LTI33" i="6"/>
  <c r="LTH33" i="6"/>
  <c r="LTG33" i="6"/>
  <c r="LTF33" i="6"/>
  <c r="LTE33" i="6"/>
  <c r="LTD33" i="6"/>
  <c r="LTC33" i="6"/>
  <c r="LTB33" i="6"/>
  <c r="LTA33" i="6"/>
  <c r="LSZ33" i="6"/>
  <c r="LSY33" i="6"/>
  <c r="LSX33" i="6"/>
  <c r="LSW33" i="6"/>
  <c r="LSV33" i="6"/>
  <c r="LSU33" i="6"/>
  <c r="LST33" i="6"/>
  <c r="LSS33" i="6"/>
  <c r="LSR33" i="6"/>
  <c r="LSQ33" i="6"/>
  <c r="LSP33" i="6"/>
  <c r="LSO33" i="6"/>
  <c r="LSN33" i="6"/>
  <c r="LSM33" i="6"/>
  <c r="LSL33" i="6"/>
  <c r="LSK33" i="6"/>
  <c r="LSJ33" i="6"/>
  <c r="LSI33" i="6"/>
  <c r="LSH33" i="6"/>
  <c r="LSG33" i="6"/>
  <c r="LSF33" i="6"/>
  <c r="LSE33" i="6"/>
  <c r="LSD33" i="6"/>
  <c r="LSC33" i="6"/>
  <c r="LSB33" i="6"/>
  <c r="LSA33" i="6"/>
  <c r="LRZ33" i="6"/>
  <c r="LRY33" i="6"/>
  <c r="LRX33" i="6"/>
  <c r="LRW33" i="6"/>
  <c r="LRV33" i="6"/>
  <c r="LRU33" i="6"/>
  <c r="LRT33" i="6"/>
  <c r="LRS33" i="6"/>
  <c r="LRR33" i="6"/>
  <c r="LRQ33" i="6"/>
  <c r="LRP33" i="6"/>
  <c r="LRO33" i="6"/>
  <c r="LRN33" i="6"/>
  <c r="LRM33" i="6"/>
  <c r="LRL33" i="6"/>
  <c r="LRK33" i="6"/>
  <c r="LRJ33" i="6"/>
  <c r="LRI33" i="6"/>
  <c r="LRH33" i="6"/>
  <c r="LRG33" i="6"/>
  <c r="LRF33" i="6"/>
  <c r="LRE33" i="6"/>
  <c r="LRD33" i="6"/>
  <c r="LRC33" i="6"/>
  <c r="LRB33" i="6"/>
  <c r="LRA33" i="6"/>
  <c r="LQZ33" i="6"/>
  <c r="LQY33" i="6"/>
  <c r="LQX33" i="6"/>
  <c r="LQW33" i="6"/>
  <c r="LQV33" i="6"/>
  <c r="LQU33" i="6"/>
  <c r="LQT33" i="6"/>
  <c r="LQS33" i="6"/>
  <c r="LQR33" i="6"/>
  <c r="LQQ33" i="6"/>
  <c r="LQP33" i="6"/>
  <c r="LQO33" i="6"/>
  <c r="LQN33" i="6"/>
  <c r="LQM33" i="6"/>
  <c r="LQL33" i="6"/>
  <c r="LQK33" i="6"/>
  <c r="LQJ33" i="6"/>
  <c r="LQI33" i="6"/>
  <c r="LQH33" i="6"/>
  <c r="LQG33" i="6"/>
  <c r="LQF33" i="6"/>
  <c r="LQE33" i="6"/>
  <c r="LQD33" i="6"/>
  <c r="LQC33" i="6"/>
  <c r="LQB33" i="6"/>
  <c r="LQA33" i="6"/>
  <c r="LPZ33" i="6"/>
  <c r="LPY33" i="6"/>
  <c r="LPX33" i="6"/>
  <c r="LPW33" i="6"/>
  <c r="LPV33" i="6"/>
  <c r="LPU33" i="6"/>
  <c r="LPT33" i="6"/>
  <c r="LPS33" i="6"/>
  <c r="LPR33" i="6"/>
  <c r="LPQ33" i="6"/>
  <c r="LPP33" i="6"/>
  <c r="LPO33" i="6"/>
  <c r="LPN33" i="6"/>
  <c r="LPM33" i="6"/>
  <c r="LPL33" i="6"/>
  <c r="LPK33" i="6"/>
  <c r="LPJ33" i="6"/>
  <c r="LPI33" i="6"/>
  <c r="LPH33" i="6"/>
  <c r="LPG33" i="6"/>
  <c r="LPF33" i="6"/>
  <c r="LPE33" i="6"/>
  <c r="LPD33" i="6"/>
  <c r="LPC33" i="6"/>
  <c r="LPB33" i="6"/>
  <c r="LPA33" i="6"/>
  <c r="LOZ33" i="6"/>
  <c r="LOY33" i="6"/>
  <c r="LOX33" i="6"/>
  <c r="LOW33" i="6"/>
  <c r="LOV33" i="6"/>
  <c r="LOU33" i="6"/>
  <c r="LOT33" i="6"/>
  <c r="LOS33" i="6"/>
  <c r="LOR33" i="6"/>
  <c r="LOQ33" i="6"/>
  <c r="LOP33" i="6"/>
  <c r="LOO33" i="6"/>
  <c r="LON33" i="6"/>
  <c r="LOM33" i="6"/>
  <c r="LOL33" i="6"/>
  <c r="LOK33" i="6"/>
  <c r="LOJ33" i="6"/>
  <c r="LOI33" i="6"/>
  <c r="LOH33" i="6"/>
  <c r="LOG33" i="6"/>
  <c r="LOF33" i="6"/>
  <c r="LOE33" i="6"/>
  <c r="LOD33" i="6"/>
  <c r="LOC33" i="6"/>
  <c r="LOB33" i="6"/>
  <c r="LOA33" i="6"/>
  <c r="LNZ33" i="6"/>
  <c r="LNY33" i="6"/>
  <c r="LNX33" i="6"/>
  <c r="LNW33" i="6"/>
  <c r="LNV33" i="6"/>
  <c r="LNU33" i="6"/>
  <c r="LNT33" i="6"/>
  <c r="LNS33" i="6"/>
  <c r="LNR33" i="6"/>
  <c r="LNQ33" i="6"/>
  <c r="LNP33" i="6"/>
  <c r="LNO33" i="6"/>
  <c r="LNN33" i="6"/>
  <c r="LNM33" i="6"/>
  <c r="LNL33" i="6"/>
  <c r="LNK33" i="6"/>
  <c r="LNJ33" i="6"/>
  <c r="LNI33" i="6"/>
  <c r="LNH33" i="6"/>
  <c r="LNG33" i="6"/>
  <c r="LNF33" i="6"/>
  <c r="LNE33" i="6"/>
  <c r="LND33" i="6"/>
  <c r="LNC33" i="6"/>
  <c r="LNB33" i="6"/>
  <c r="LNA33" i="6"/>
  <c r="LMZ33" i="6"/>
  <c r="LMY33" i="6"/>
  <c r="LMX33" i="6"/>
  <c r="LMW33" i="6"/>
  <c r="LMV33" i="6"/>
  <c r="LMU33" i="6"/>
  <c r="LMT33" i="6"/>
  <c r="LMS33" i="6"/>
  <c r="LMR33" i="6"/>
  <c r="LMQ33" i="6"/>
  <c r="LMP33" i="6"/>
  <c r="LMO33" i="6"/>
  <c r="LMN33" i="6"/>
  <c r="LMM33" i="6"/>
  <c r="LML33" i="6"/>
  <c r="LMK33" i="6"/>
  <c r="LMJ33" i="6"/>
  <c r="LMI33" i="6"/>
  <c r="LMH33" i="6"/>
  <c r="LMG33" i="6"/>
  <c r="LMF33" i="6"/>
  <c r="LME33" i="6"/>
  <c r="LMD33" i="6"/>
  <c r="LMC33" i="6"/>
  <c r="LMB33" i="6"/>
  <c r="LMA33" i="6"/>
  <c r="LLZ33" i="6"/>
  <c r="LLY33" i="6"/>
  <c r="LLX33" i="6"/>
  <c r="LLW33" i="6"/>
  <c r="LLV33" i="6"/>
  <c r="LLU33" i="6"/>
  <c r="LLT33" i="6"/>
  <c r="LLS33" i="6"/>
  <c r="LLR33" i="6"/>
  <c r="LLQ33" i="6"/>
  <c r="LLP33" i="6"/>
  <c r="LLO33" i="6"/>
  <c r="LLN33" i="6"/>
  <c r="LLM33" i="6"/>
  <c r="LLL33" i="6"/>
  <c r="LLK33" i="6"/>
  <c r="LLJ33" i="6"/>
  <c r="LLI33" i="6"/>
  <c r="LLH33" i="6"/>
  <c r="LLG33" i="6"/>
  <c r="LLF33" i="6"/>
  <c r="LLE33" i="6"/>
  <c r="LLD33" i="6"/>
  <c r="LLC33" i="6"/>
  <c r="LLB33" i="6"/>
  <c r="LLA33" i="6"/>
  <c r="LKZ33" i="6"/>
  <c r="LKY33" i="6"/>
  <c r="LKX33" i="6"/>
  <c r="LKW33" i="6"/>
  <c r="LKV33" i="6"/>
  <c r="LKU33" i="6"/>
  <c r="LKT33" i="6"/>
  <c r="LKS33" i="6"/>
  <c r="LKR33" i="6"/>
  <c r="LKQ33" i="6"/>
  <c r="LKP33" i="6"/>
  <c r="LKO33" i="6"/>
  <c r="LKN33" i="6"/>
  <c r="LKM33" i="6"/>
  <c r="LKL33" i="6"/>
  <c r="LKK33" i="6"/>
  <c r="LKJ33" i="6"/>
  <c r="LKI33" i="6"/>
  <c r="LKH33" i="6"/>
  <c r="LKG33" i="6"/>
  <c r="LKF33" i="6"/>
  <c r="LKE33" i="6"/>
  <c r="LKD33" i="6"/>
  <c r="LKC33" i="6"/>
  <c r="LKB33" i="6"/>
  <c r="LKA33" i="6"/>
  <c r="LJZ33" i="6"/>
  <c r="LJY33" i="6"/>
  <c r="LJX33" i="6"/>
  <c r="LJW33" i="6"/>
  <c r="LJV33" i="6"/>
  <c r="LJU33" i="6"/>
  <c r="LJT33" i="6"/>
  <c r="LJS33" i="6"/>
  <c r="LJR33" i="6"/>
  <c r="LJQ33" i="6"/>
  <c r="LJP33" i="6"/>
  <c r="LJO33" i="6"/>
  <c r="LJN33" i="6"/>
  <c r="LJM33" i="6"/>
  <c r="LJL33" i="6"/>
  <c r="LJK33" i="6"/>
  <c r="LJJ33" i="6"/>
  <c r="LJI33" i="6"/>
  <c r="LJH33" i="6"/>
  <c r="LJG33" i="6"/>
  <c r="LJF33" i="6"/>
  <c r="LJE33" i="6"/>
  <c r="LJD33" i="6"/>
  <c r="LJC33" i="6"/>
  <c r="LJB33" i="6"/>
  <c r="LJA33" i="6"/>
  <c r="LIZ33" i="6"/>
  <c r="LIY33" i="6"/>
  <c r="LIX33" i="6"/>
  <c r="LIW33" i="6"/>
  <c r="LIV33" i="6"/>
  <c r="LIU33" i="6"/>
  <c r="LIT33" i="6"/>
  <c r="LIS33" i="6"/>
  <c r="LIR33" i="6"/>
  <c r="LIQ33" i="6"/>
  <c r="LIP33" i="6"/>
  <c r="LIO33" i="6"/>
  <c r="LIN33" i="6"/>
  <c r="LIM33" i="6"/>
  <c r="LIL33" i="6"/>
  <c r="LIK33" i="6"/>
  <c r="LIJ33" i="6"/>
  <c r="LII33" i="6"/>
  <c r="LIH33" i="6"/>
  <c r="LIG33" i="6"/>
  <c r="LIF33" i="6"/>
  <c r="LIE33" i="6"/>
  <c r="LID33" i="6"/>
  <c r="LIC33" i="6"/>
  <c r="LIB33" i="6"/>
  <c r="LIA33" i="6"/>
  <c r="LHZ33" i="6"/>
  <c r="LHY33" i="6"/>
  <c r="LHX33" i="6"/>
  <c r="LHW33" i="6"/>
  <c r="LHV33" i="6"/>
  <c r="LHU33" i="6"/>
  <c r="LHT33" i="6"/>
  <c r="LHS33" i="6"/>
  <c r="LHR33" i="6"/>
  <c r="LHQ33" i="6"/>
  <c r="LHP33" i="6"/>
  <c r="LHO33" i="6"/>
  <c r="LHN33" i="6"/>
  <c r="LHM33" i="6"/>
  <c r="LHL33" i="6"/>
  <c r="LHK33" i="6"/>
  <c r="LHJ33" i="6"/>
  <c r="LHI33" i="6"/>
  <c r="LHH33" i="6"/>
  <c r="LHG33" i="6"/>
  <c r="LHF33" i="6"/>
  <c r="LHE33" i="6"/>
  <c r="LHD33" i="6"/>
  <c r="LHC33" i="6"/>
  <c r="LHB33" i="6"/>
  <c r="LHA33" i="6"/>
  <c r="LGZ33" i="6"/>
  <c r="LGY33" i="6"/>
  <c r="LGX33" i="6"/>
  <c r="LGW33" i="6"/>
  <c r="LGV33" i="6"/>
  <c r="LGU33" i="6"/>
  <c r="LGT33" i="6"/>
  <c r="LGS33" i="6"/>
  <c r="LGR33" i="6"/>
  <c r="LGQ33" i="6"/>
  <c r="LGP33" i="6"/>
  <c r="LGO33" i="6"/>
  <c r="LGN33" i="6"/>
  <c r="LGM33" i="6"/>
  <c r="LGL33" i="6"/>
  <c r="LGK33" i="6"/>
  <c r="LGJ33" i="6"/>
  <c r="LGI33" i="6"/>
  <c r="LGH33" i="6"/>
  <c r="LGG33" i="6"/>
  <c r="LGF33" i="6"/>
  <c r="LGE33" i="6"/>
  <c r="LGD33" i="6"/>
  <c r="LGC33" i="6"/>
  <c r="LGB33" i="6"/>
  <c r="LGA33" i="6"/>
  <c r="LFZ33" i="6"/>
  <c r="LFY33" i="6"/>
  <c r="LFX33" i="6"/>
  <c r="LFW33" i="6"/>
  <c r="LFV33" i="6"/>
  <c r="LFU33" i="6"/>
  <c r="LFT33" i="6"/>
  <c r="LFS33" i="6"/>
  <c r="LFR33" i="6"/>
  <c r="LFQ33" i="6"/>
  <c r="LFP33" i="6"/>
  <c r="LFO33" i="6"/>
  <c r="LFN33" i="6"/>
  <c r="LFM33" i="6"/>
  <c r="LFL33" i="6"/>
  <c r="LFK33" i="6"/>
  <c r="LFJ33" i="6"/>
  <c r="LFI33" i="6"/>
  <c r="LFH33" i="6"/>
  <c r="LFG33" i="6"/>
  <c r="LFF33" i="6"/>
  <c r="LFE33" i="6"/>
  <c r="LFD33" i="6"/>
  <c r="LFC33" i="6"/>
  <c r="LFB33" i="6"/>
  <c r="LFA33" i="6"/>
  <c r="LEZ33" i="6"/>
  <c r="LEY33" i="6"/>
  <c r="LEX33" i="6"/>
  <c r="LEW33" i="6"/>
  <c r="LEV33" i="6"/>
  <c r="LEU33" i="6"/>
  <c r="LET33" i="6"/>
  <c r="LES33" i="6"/>
  <c r="LER33" i="6"/>
  <c r="LEQ33" i="6"/>
  <c r="LEP33" i="6"/>
  <c r="LEO33" i="6"/>
  <c r="LEN33" i="6"/>
  <c r="LEM33" i="6"/>
  <c r="LEL33" i="6"/>
  <c r="LEK33" i="6"/>
  <c r="LEJ33" i="6"/>
  <c r="LEI33" i="6"/>
  <c r="LEH33" i="6"/>
  <c r="LEG33" i="6"/>
  <c r="LEF33" i="6"/>
  <c r="LEE33" i="6"/>
  <c r="LED33" i="6"/>
  <c r="LEC33" i="6"/>
  <c r="LEB33" i="6"/>
  <c r="LEA33" i="6"/>
  <c r="LDZ33" i="6"/>
  <c r="LDY33" i="6"/>
  <c r="LDX33" i="6"/>
  <c r="LDW33" i="6"/>
  <c r="LDV33" i="6"/>
  <c r="LDU33" i="6"/>
  <c r="LDT33" i="6"/>
  <c r="LDS33" i="6"/>
  <c r="LDR33" i="6"/>
  <c r="LDQ33" i="6"/>
  <c r="LDP33" i="6"/>
  <c r="LDO33" i="6"/>
  <c r="LDN33" i="6"/>
  <c r="LDM33" i="6"/>
  <c r="LDL33" i="6"/>
  <c r="LDK33" i="6"/>
  <c r="LDJ33" i="6"/>
  <c r="LDI33" i="6"/>
  <c r="LDH33" i="6"/>
  <c r="LDG33" i="6"/>
  <c r="LDF33" i="6"/>
  <c r="LDE33" i="6"/>
  <c r="LDD33" i="6"/>
  <c r="LDC33" i="6"/>
  <c r="LDB33" i="6"/>
  <c r="LDA33" i="6"/>
  <c r="LCZ33" i="6"/>
  <c r="LCY33" i="6"/>
  <c r="LCX33" i="6"/>
  <c r="LCW33" i="6"/>
  <c r="LCV33" i="6"/>
  <c r="LCU33" i="6"/>
  <c r="LCT33" i="6"/>
  <c r="LCS33" i="6"/>
  <c r="LCR33" i="6"/>
  <c r="LCQ33" i="6"/>
  <c r="LCP33" i="6"/>
  <c r="LCO33" i="6"/>
  <c r="LCN33" i="6"/>
  <c r="LCM33" i="6"/>
  <c r="LCL33" i="6"/>
  <c r="LCK33" i="6"/>
  <c r="LCJ33" i="6"/>
  <c r="LCI33" i="6"/>
  <c r="LCH33" i="6"/>
  <c r="LCG33" i="6"/>
  <c r="LCF33" i="6"/>
  <c r="LCE33" i="6"/>
  <c r="LCD33" i="6"/>
  <c r="LCC33" i="6"/>
  <c r="LCB33" i="6"/>
  <c r="LCA33" i="6"/>
  <c r="LBZ33" i="6"/>
  <c r="LBY33" i="6"/>
  <c r="LBX33" i="6"/>
  <c r="LBW33" i="6"/>
  <c r="LBV33" i="6"/>
  <c r="LBU33" i="6"/>
  <c r="LBT33" i="6"/>
  <c r="LBS33" i="6"/>
  <c r="LBR33" i="6"/>
  <c r="LBQ33" i="6"/>
  <c r="LBP33" i="6"/>
  <c r="LBO33" i="6"/>
  <c r="LBN33" i="6"/>
  <c r="LBM33" i="6"/>
  <c r="LBL33" i="6"/>
  <c r="LBK33" i="6"/>
  <c r="LBJ33" i="6"/>
  <c r="LBI33" i="6"/>
  <c r="LBH33" i="6"/>
  <c r="LBG33" i="6"/>
  <c r="LBF33" i="6"/>
  <c r="LBE33" i="6"/>
  <c r="LBD33" i="6"/>
  <c r="LBC33" i="6"/>
  <c r="LBB33" i="6"/>
  <c r="LBA33" i="6"/>
  <c r="LAZ33" i="6"/>
  <c r="LAY33" i="6"/>
  <c r="LAX33" i="6"/>
  <c r="LAW33" i="6"/>
  <c r="LAV33" i="6"/>
  <c r="LAU33" i="6"/>
  <c r="LAT33" i="6"/>
  <c r="LAS33" i="6"/>
  <c r="LAR33" i="6"/>
  <c r="LAQ33" i="6"/>
  <c r="LAP33" i="6"/>
  <c r="LAO33" i="6"/>
  <c r="LAN33" i="6"/>
  <c r="LAM33" i="6"/>
  <c r="LAL33" i="6"/>
  <c r="LAK33" i="6"/>
  <c r="LAJ33" i="6"/>
  <c r="LAI33" i="6"/>
  <c r="LAH33" i="6"/>
  <c r="LAG33" i="6"/>
  <c r="LAF33" i="6"/>
  <c r="LAE33" i="6"/>
  <c r="LAD33" i="6"/>
  <c r="LAC33" i="6"/>
  <c r="LAB33" i="6"/>
  <c r="LAA33" i="6"/>
  <c r="KZZ33" i="6"/>
  <c r="KZY33" i="6"/>
  <c r="KZX33" i="6"/>
  <c r="KZW33" i="6"/>
  <c r="KZV33" i="6"/>
  <c r="KZU33" i="6"/>
  <c r="KZT33" i="6"/>
  <c r="KZS33" i="6"/>
  <c r="KZR33" i="6"/>
  <c r="KZQ33" i="6"/>
  <c r="KZP33" i="6"/>
  <c r="KZO33" i="6"/>
  <c r="KZN33" i="6"/>
  <c r="KZM33" i="6"/>
  <c r="KZL33" i="6"/>
  <c r="KZK33" i="6"/>
  <c r="KZJ33" i="6"/>
  <c r="KZI33" i="6"/>
  <c r="KZH33" i="6"/>
  <c r="KZG33" i="6"/>
  <c r="KZF33" i="6"/>
  <c r="KZE33" i="6"/>
  <c r="KZD33" i="6"/>
  <c r="KZC33" i="6"/>
  <c r="KZB33" i="6"/>
  <c r="KZA33" i="6"/>
  <c r="KYZ33" i="6"/>
  <c r="KYY33" i="6"/>
  <c r="KYX33" i="6"/>
  <c r="KYW33" i="6"/>
  <c r="KYV33" i="6"/>
  <c r="KYU33" i="6"/>
  <c r="KYT33" i="6"/>
  <c r="KYS33" i="6"/>
  <c r="KYR33" i="6"/>
  <c r="KYQ33" i="6"/>
  <c r="KYP33" i="6"/>
  <c r="KYO33" i="6"/>
  <c r="KYN33" i="6"/>
  <c r="KYM33" i="6"/>
  <c r="KYL33" i="6"/>
  <c r="KYK33" i="6"/>
  <c r="KYJ33" i="6"/>
  <c r="KYI33" i="6"/>
  <c r="KYH33" i="6"/>
  <c r="KYG33" i="6"/>
  <c r="KYF33" i="6"/>
  <c r="KYE33" i="6"/>
  <c r="KYD33" i="6"/>
  <c r="KYC33" i="6"/>
  <c r="KYB33" i="6"/>
  <c r="KYA33" i="6"/>
  <c r="KXZ33" i="6"/>
  <c r="KXY33" i="6"/>
  <c r="KXX33" i="6"/>
  <c r="KXW33" i="6"/>
  <c r="KXV33" i="6"/>
  <c r="KXU33" i="6"/>
  <c r="KXT33" i="6"/>
  <c r="KXS33" i="6"/>
  <c r="KXR33" i="6"/>
  <c r="KXQ33" i="6"/>
  <c r="KXP33" i="6"/>
  <c r="KXO33" i="6"/>
  <c r="KXN33" i="6"/>
  <c r="KXM33" i="6"/>
  <c r="KXL33" i="6"/>
  <c r="KXK33" i="6"/>
  <c r="KXJ33" i="6"/>
  <c r="KXI33" i="6"/>
  <c r="KXH33" i="6"/>
  <c r="KXG33" i="6"/>
  <c r="KXF33" i="6"/>
  <c r="KXE33" i="6"/>
  <c r="KXD33" i="6"/>
  <c r="KXC33" i="6"/>
  <c r="KXB33" i="6"/>
  <c r="KXA33" i="6"/>
  <c r="KWZ33" i="6"/>
  <c r="KWY33" i="6"/>
  <c r="KWX33" i="6"/>
  <c r="KWW33" i="6"/>
  <c r="KWV33" i="6"/>
  <c r="KWU33" i="6"/>
  <c r="KWT33" i="6"/>
  <c r="KWS33" i="6"/>
  <c r="KWR33" i="6"/>
  <c r="KWQ33" i="6"/>
  <c r="KWP33" i="6"/>
  <c r="KWO33" i="6"/>
  <c r="KWN33" i="6"/>
  <c r="KWM33" i="6"/>
  <c r="KWL33" i="6"/>
  <c r="KWK33" i="6"/>
  <c r="KWJ33" i="6"/>
  <c r="KWI33" i="6"/>
  <c r="KWH33" i="6"/>
  <c r="KWG33" i="6"/>
  <c r="KWF33" i="6"/>
  <c r="KWE33" i="6"/>
  <c r="KWD33" i="6"/>
  <c r="KWC33" i="6"/>
  <c r="KWB33" i="6"/>
  <c r="KWA33" i="6"/>
  <c r="KVZ33" i="6"/>
  <c r="KVY33" i="6"/>
  <c r="KVX33" i="6"/>
  <c r="KVW33" i="6"/>
  <c r="KVV33" i="6"/>
  <c r="KVU33" i="6"/>
  <c r="KVT33" i="6"/>
  <c r="KVS33" i="6"/>
  <c r="KVR33" i="6"/>
  <c r="KVQ33" i="6"/>
  <c r="KVP33" i="6"/>
  <c r="KVO33" i="6"/>
  <c r="KVN33" i="6"/>
  <c r="KVM33" i="6"/>
  <c r="KVL33" i="6"/>
  <c r="KVK33" i="6"/>
  <c r="KVJ33" i="6"/>
  <c r="KVI33" i="6"/>
  <c r="KVH33" i="6"/>
  <c r="KVG33" i="6"/>
  <c r="KVF33" i="6"/>
  <c r="KVE33" i="6"/>
  <c r="KVD33" i="6"/>
  <c r="KVC33" i="6"/>
  <c r="KVB33" i="6"/>
  <c r="KVA33" i="6"/>
  <c r="KUZ33" i="6"/>
  <c r="KUY33" i="6"/>
  <c r="KUX33" i="6"/>
  <c r="KUW33" i="6"/>
  <c r="KUV33" i="6"/>
  <c r="KUU33" i="6"/>
  <c r="KUT33" i="6"/>
  <c r="KUS33" i="6"/>
  <c r="KUR33" i="6"/>
  <c r="KUQ33" i="6"/>
  <c r="KUP33" i="6"/>
  <c r="KUO33" i="6"/>
  <c r="KUN33" i="6"/>
  <c r="KUM33" i="6"/>
  <c r="KUL33" i="6"/>
  <c r="KUK33" i="6"/>
  <c r="KUJ33" i="6"/>
  <c r="KUI33" i="6"/>
  <c r="KUH33" i="6"/>
  <c r="KUG33" i="6"/>
  <c r="KUF33" i="6"/>
  <c r="KUE33" i="6"/>
  <c r="KUD33" i="6"/>
  <c r="KUC33" i="6"/>
  <c r="KUB33" i="6"/>
  <c r="KUA33" i="6"/>
  <c r="KTZ33" i="6"/>
  <c r="KTY33" i="6"/>
  <c r="KTX33" i="6"/>
  <c r="KTW33" i="6"/>
  <c r="KTV33" i="6"/>
  <c r="KTU33" i="6"/>
  <c r="KTT33" i="6"/>
  <c r="KTS33" i="6"/>
  <c r="KTR33" i="6"/>
  <c r="KTQ33" i="6"/>
  <c r="KTP33" i="6"/>
  <c r="KTO33" i="6"/>
  <c r="KTN33" i="6"/>
  <c r="KTM33" i="6"/>
  <c r="KTL33" i="6"/>
  <c r="KTK33" i="6"/>
  <c r="KTJ33" i="6"/>
  <c r="KTI33" i="6"/>
  <c r="KTH33" i="6"/>
  <c r="KTG33" i="6"/>
  <c r="KTF33" i="6"/>
  <c r="KTE33" i="6"/>
  <c r="KTD33" i="6"/>
  <c r="KTC33" i="6"/>
  <c r="KTB33" i="6"/>
  <c r="KTA33" i="6"/>
  <c r="KSZ33" i="6"/>
  <c r="KSY33" i="6"/>
  <c r="KSX33" i="6"/>
  <c r="KSW33" i="6"/>
  <c r="KSV33" i="6"/>
  <c r="KSU33" i="6"/>
  <c r="KST33" i="6"/>
  <c r="KSS33" i="6"/>
  <c r="KSR33" i="6"/>
  <c r="KSQ33" i="6"/>
  <c r="KSP33" i="6"/>
  <c r="KSO33" i="6"/>
  <c r="KSN33" i="6"/>
  <c r="KSM33" i="6"/>
  <c r="KSL33" i="6"/>
  <c r="KSK33" i="6"/>
  <c r="KSJ33" i="6"/>
  <c r="KSI33" i="6"/>
  <c r="KSH33" i="6"/>
  <c r="KSG33" i="6"/>
  <c r="KSF33" i="6"/>
  <c r="KSE33" i="6"/>
  <c r="KSD33" i="6"/>
  <c r="KSC33" i="6"/>
  <c r="KSB33" i="6"/>
  <c r="KSA33" i="6"/>
  <c r="KRZ33" i="6"/>
  <c r="KRY33" i="6"/>
  <c r="KRX33" i="6"/>
  <c r="KRW33" i="6"/>
  <c r="KRV33" i="6"/>
  <c r="KRU33" i="6"/>
  <c r="KRT33" i="6"/>
  <c r="KRS33" i="6"/>
  <c r="KRR33" i="6"/>
  <c r="KRQ33" i="6"/>
  <c r="KRP33" i="6"/>
  <c r="KRO33" i="6"/>
  <c r="KRN33" i="6"/>
  <c r="KRM33" i="6"/>
  <c r="KRL33" i="6"/>
  <c r="KRK33" i="6"/>
  <c r="KRJ33" i="6"/>
  <c r="KRI33" i="6"/>
  <c r="KRH33" i="6"/>
  <c r="KRG33" i="6"/>
  <c r="KRF33" i="6"/>
  <c r="KRE33" i="6"/>
  <c r="KRD33" i="6"/>
  <c r="KRC33" i="6"/>
  <c r="KRB33" i="6"/>
  <c r="KRA33" i="6"/>
  <c r="KQZ33" i="6"/>
  <c r="KQY33" i="6"/>
  <c r="KQX33" i="6"/>
  <c r="KQW33" i="6"/>
  <c r="KQV33" i="6"/>
  <c r="KQU33" i="6"/>
  <c r="KQT33" i="6"/>
  <c r="KQS33" i="6"/>
  <c r="KQR33" i="6"/>
  <c r="KQQ33" i="6"/>
  <c r="KQP33" i="6"/>
  <c r="KQO33" i="6"/>
  <c r="KQN33" i="6"/>
  <c r="KQM33" i="6"/>
  <c r="KQL33" i="6"/>
  <c r="KQK33" i="6"/>
  <c r="KQJ33" i="6"/>
  <c r="KQI33" i="6"/>
  <c r="KQH33" i="6"/>
  <c r="KQG33" i="6"/>
  <c r="KQF33" i="6"/>
  <c r="KQE33" i="6"/>
  <c r="KQD33" i="6"/>
  <c r="KQC33" i="6"/>
  <c r="KQB33" i="6"/>
  <c r="KQA33" i="6"/>
  <c r="KPZ33" i="6"/>
  <c r="KPY33" i="6"/>
  <c r="KPX33" i="6"/>
  <c r="KPW33" i="6"/>
  <c r="KPV33" i="6"/>
  <c r="KPU33" i="6"/>
  <c r="KPT33" i="6"/>
  <c r="KPS33" i="6"/>
  <c r="KPR33" i="6"/>
  <c r="KPQ33" i="6"/>
  <c r="KPP33" i="6"/>
  <c r="KPO33" i="6"/>
  <c r="KPN33" i="6"/>
  <c r="KPM33" i="6"/>
  <c r="KPL33" i="6"/>
  <c r="KPK33" i="6"/>
  <c r="KPJ33" i="6"/>
  <c r="KPI33" i="6"/>
  <c r="KPH33" i="6"/>
  <c r="KPG33" i="6"/>
  <c r="KPF33" i="6"/>
  <c r="KPE33" i="6"/>
  <c r="KPD33" i="6"/>
  <c r="KPC33" i="6"/>
  <c r="KPB33" i="6"/>
  <c r="KPA33" i="6"/>
  <c r="KOZ33" i="6"/>
  <c r="KOY33" i="6"/>
  <c r="KOX33" i="6"/>
  <c r="KOW33" i="6"/>
  <c r="KOV33" i="6"/>
  <c r="KOU33" i="6"/>
  <c r="KOT33" i="6"/>
  <c r="KOS33" i="6"/>
  <c r="KOR33" i="6"/>
  <c r="KOQ33" i="6"/>
  <c r="KOP33" i="6"/>
  <c r="KOO33" i="6"/>
  <c r="KON33" i="6"/>
  <c r="KOM33" i="6"/>
  <c r="KOL33" i="6"/>
  <c r="KOK33" i="6"/>
  <c r="KOJ33" i="6"/>
  <c r="KOI33" i="6"/>
  <c r="KOH33" i="6"/>
  <c r="KOG33" i="6"/>
  <c r="KOF33" i="6"/>
  <c r="KOE33" i="6"/>
  <c r="KOD33" i="6"/>
  <c r="KOC33" i="6"/>
  <c r="KOB33" i="6"/>
  <c r="KOA33" i="6"/>
  <c r="KNZ33" i="6"/>
  <c r="KNY33" i="6"/>
  <c r="KNX33" i="6"/>
  <c r="KNW33" i="6"/>
  <c r="KNV33" i="6"/>
  <c r="KNU33" i="6"/>
  <c r="KNT33" i="6"/>
  <c r="KNS33" i="6"/>
  <c r="KNR33" i="6"/>
  <c r="KNQ33" i="6"/>
  <c r="KNP33" i="6"/>
  <c r="KNO33" i="6"/>
  <c r="KNN33" i="6"/>
  <c r="KNM33" i="6"/>
  <c r="KNL33" i="6"/>
  <c r="KNK33" i="6"/>
  <c r="KNJ33" i="6"/>
  <c r="KNI33" i="6"/>
  <c r="KNH33" i="6"/>
  <c r="KNG33" i="6"/>
  <c r="KNF33" i="6"/>
  <c r="KNE33" i="6"/>
  <c r="KND33" i="6"/>
  <c r="KNC33" i="6"/>
  <c r="KNB33" i="6"/>
  <c r="KNA33" i="6"/>
  <c r="KMZ33" i="6"/>
  <c r="KMY33" i="6"/>
  <c r="KMX33" i="6"/>
  <c r="KMW33" i="6"/>
  <c r="KMV33" i="6"/>
  <c r="KMU33" i="6"/>
  <c r="KMT33" i="6"/>
  <c r="KMS33" i="6"/>
  <c r="KMR33" i="6"/>
  <c r="KMQ33" i="6"/>
  <c r="KMP33" i="6"/>
  <c r="KMO33" i="6"/>
  <c r="KMN33" i="6"/>
  <c r="KMM33" i="6"/>
  <c r="KML33" i="6"/>
  <c r="KMK33" i="6"/>
  <c r="KMJ33" i="6"/>
  <c r="KMI33" i="6"/>
  <c r="KMH33" i="6"/>
  <c r="KMG33" i="6"/>
  <c r="KMF33" i="6"/>
  <c r="KME33" i="6"/>
  <c r="KMD33" i="6"/>
  <c r="KMC33" i="6"/>
  <c r="KMB33" i="6"/>
  <c r="KMA33" i="6"/>
  <c r="KLZ33" i="6"/>
  <c r="KLY33" i="6"/>
  <c r="KLX33" i="6"/>
  <c r="KLW33" i="6"/>
  <c r="KLV33" i="6"/>
  <c r="KLU33" i="6"/>
  <c r="KLT33" i="6"/>
  <c r="KLS33" i="6"/>
  <c r="KLR33" i="6"/>
  <c r="KLQ33" i="6"/>
  <c r="KLP33" i="6"/>
  <c r="KLO33" i="6"/>
  <c r="KLN33" i="6"/>
  <c r="KLM33" i="6"/>
  <c r="KLL33" i="6"/>
  <c r="KLK33" i="6"/>
  <c r="KLJ33" i="6"/>
  <c r="KLI33" i="6"/>
  <c r="KLH33" i="6"/>
  <c r="KLG33" i="6"/>
  <c r="KLF33" i="6"/>
  <c r="KLE33" i="6"/>
  <c r="KLD33" i="6"/>
  <c r="KLC33" i="6"/>
  <c r="KLB33" i="6"/>
  <c r="KLA33" i="6"/>
  <c r="KKZ33" i="6"/>
  <c r="KKY33" i="6"/>
  <c r="KKX33" i="6"/>
  <c r="KKW33" i="6"/>
  <c r="KKV33" i="6"/>
  <c r="KKU33" i="6"/>
  <c r="KKT33" i="6"/>
  <c r="KKS33" i="6"/>
  <c r="KKR33" i="6"/>
  <c r="KKQ33" i="6"/>
  <c r="KKP33" i="6"/>
  <c r="KKO33" i="6"/>
  <c r="KKN33" i="6"/>
  <c r="KKM33" i="6"/>
  <c r="KKL33" i="6"/>
  <c r="KKK33" i="6"/>
  <c r="KKJ33" i="6"/>
  <c r="KKI33" i="6"/>
  <c r="KKH33" i="6"/>
  <c r="KKG33" i="6"/>
  <c r="KKF33" i="6"/>
  <c r="KKE33" i="6"/>
  <c r="KKD33" i="6"/>
  <c r="KKC33" i="6"/>
  <c r="KKB33" i="6"/>
  <c r="KKA33" i="6"/>
  <c r="KJZ33" i="6"/>
  <c r="KJY33" i="6"/>
  <c r="KJX33" i="6"/>
  <c r="KJW33" i="6"/>
  <c r="KJV33" i="6"/>
  <c r="KJU33" i="6"/>
  <c r="KJT33" i="6"/>
  <c r="KJS33" i="6"/>
  <c r="KJR33" i="6"/>
  <c r="KJQ33" i="6"/>
  <c r="KJP33" i="6"/>
  <c r="KJO33" i="6"/>
  <c r="KJN33" i="6"/>
  <c r="KJM33" i="6"/>
  <c r="KJL33" i="6"/>
  <c r="KJK33" i="6"/>
  <c r="KJJ33" i="6"/>
  <c r="KJI33" i="6"/>
  <c r="KJH33" i="6"/>
  <c r="KJG33" i="6"/>
  <c r="KJF33" i="6"/>
  <c r="KJE33" i="6"/>
  <c r="KJD33" i="6"/>
  <c r="KJC33" i="6"/>
  <c r="KJB33" i="6"/>
  <c r="KJA33" i="6"/>
  <c r="KIZ33" i="6"/>
  <c r="KIY33" i="6"/>
  <c r="KIX33" i="6"/>
  <c r="KIW33" i="6"/>
  <c r="KIV33" i="6"/>
  <c r="KIU33" i="6"/>
  <c r="KIT33" i="6"/>
  <c r="KIS33" i="6"/>
  <c r="KIR33" i="6"/>
  <c r="KIQ33" i="6"/>
  <c r="KIP33" i="6"/>
  <c r="KIO33" i="6"/>
  <c r="KIN33" i="6"/>
  <c r="KIM33" i="6"/>
  <c r="KIL33" i="6"/>
  <c r="KIK33" i="6"/>
  <c r="KIJ33" i="6"/>
  <c r="KII33" i="6"/>
  <c r="KIH33" i="6"/>
  <c r="KIG33" i="6"/>
  <c r="KIF33" i="6"/>
  <c r="KIE33" i="6"/>
  <c r="KID33" i="6"/>
  <c r="KIC33" i="6"/>
  <c r="KIB33" i="6"/>
  <c r="KIA33" i="6"/>
  <c r="KHZ33" i="6"/>
  <c r="KHY33" i="6"/>
  <c r="KHX33" i="6"/>
  <c r="KHW33" i="6"/>
  <c r="KHV33" i="6"/>
  <c r="KHU33" i="6"/>
  <c r="KHT33" i="6"/>
  <c r="KHS33" i="6"/>
  <c r="KHR33" i="6"/>
  <c r="KHQ33" i="6"/>
  <c r="KHP33" i="6"/>
  <c r="KHO33" i="6"/>
  <c r="KHN33" i="6"/>
  <c r="KHM33" i="6"/>
  <c r="KHL33" i="6"/>
  <c r="KHK33" i="6"/>
  <c r="KHJ33" i="6"/>
  <c r="KHI33" i="6"/>
  <c r="KHH33" i="6"/>
  <c r="KHG33" i="6"/>
  <c r="KHF33" i="6"/>
  <c r="KHE33" i="6"/>
  <c r="KHD33" i="6"/>
  <c r="KHC33" i="6"/>
  <c r="KHB33" i="6"/>
  <c r="KHA33" i="6"/>
  <c r="KGZ33" i="6"/>
  <c r="KGY33" i="6"/>
  <c r="KGX33" i="6"/>
  <c r="KGW33" i="6"/>
  <c r="KGV33" i="6"/>
  <c r="KGU33" i="6"/>
  <c r="KGT33" i="6"/>
  <c r="KGS33" i="6"/>
  <c r="KGR33" i="6"/>
  <c r="KGQ33" i="6"/>
  <c r="KGP33" i="6"/>
  <c r="KGO33" i="6"/>
  <c r="KGN33" i="6"/>
  <c r="KGM33" i="6"/>
  <c r="KGL33" i="6"/>
  <c r="KGK33" i="6"/>
  <c r="KGJ33" i="6"/>
  <c r="KGI33" i="6"/>
  <c r="KGH33" i="6"/>
  <c r="KGG33" i="6"/>
  <c r="KGF33" i="6"/>
  <c r="KGE33" i="6"/>
  <c r="KGD33" i="6"/>
  <c r="KGC33" i="6"/>
  <c r="KGB33" i="6"/>
  <c r="KGA33" i="6"/>
  <c r="KFZ33" i="6"/>
  <c r="KFY33" i="6"/>
  <c r="KFX33" i="6"/>
  <c r="KFW33" i="6"/>
  <c r="KFV33" i="6"/>
  <c r="KFU33" i="6"/>
  <c r="KFT33" i="6"/>
  <c r="KFS33" i="6"/>
  <c r="KFR33" i="6"/>
  <c r="KFQ33" i="6"/>
  <c r="KFP33" i="6"/>
  <c r="KFO33" i="6"/>
  <c r="KFN33" i="6"/>
  <c r="KFM33" i="6"/>
  <c r="KFL33" i="6"/>
  <c r="KFK33" i="6"/>
  <c r="KFJ33" i="6"/>
  <c r="KFI33" i="6"/>
  <c r="KFH33" i="6"/>
  <c r="KFG33" i="6"/>
  <c r="KFF33" i="6"/>
  <c r="KFE33" i="6"/>
  <c r="KFD33" i="6"/>
  <c r="KFC33" i="6"/>
  <c r="KFB33" i="6"/>
  <c r="KFA33" i="6"/>
  <c r="KEZ33" i="6"/>
  <c r="KEY33" i="6"/>
  <c r="KEX33" i="6"/>
  <c r="KEW33" i="6"/>
  <c r="KEV33" i="6"/>
  <c r="KEU33" i="6"/>
  <c r="KET33" i="6"/>
  <c r="KES33" i="6"/>
  <c r="KER33" i="6"/>
  <c r="KEQ33" i="6"/>
  <c r="KEP33" i="6"/>
  <c r="KEO33" i="6"/>
  <c r="KEN33" i="6"/>
  <c r="KEM33" i="6"/>
  <c r="KEL33" i="6"/>
  <c r="KEK33" i="6"/>
  <c r="KEJ33" i="6"/>
  <c r="KEI33" i="6"/>
  <c r="KEH33" i="6"/>
  <c r="KEG33" i="6"/>
  <c r="KEF33" i="6"/>
  <c r="KEE33" i="6"/>
  <c r="KED33" i="6"/>
  <c r="KEC33" i="6"/>
  <c r="KEB33" i="6"/>
  <c r="KEA33" i="6"/>
  <c r="KDZ33" i="6"/>
  <c r="KDY33" i="6"/>
  <c r="KDX33" i="6"/>
  <c r="KDW33" i="6"/>
  <c r="KDV33" i="6"/>
  <c r="KDU33" i="6"/>
  <c r="KDT33" i="6"/>
  <c r="KDS33" i="6"/>
  <c r="KDR33" i="6"/>
  <c r="KDQ33" i="6"/>
  <c r="KDP33" i="6"/>
  <c r="KDO33" i="6"/>
  <c r="KDN33" i="6"/>
  <c r="KDM33" i="6"/>
  <c r="KDL33" i="6"/>
  <c r="KDK33" i="6"/>
  <c r="KDJ33" i="6"/>
  <c r="KDI33" i="6"/>
  <c r="KDH33" i="6"/>
  <c r="KDG33" i="6"/>
  <c r="KDF33" i="6"/>
  <c r="KDE33" i="6"/>
  <c r="KDD33" i="6"/>
  <c r="KDC33" i="6"/>
  <c r="KDB33" i="6"/>
  <c r="KDA33" i="6"/>
  <c r="KCZ33" i="6"/>
  <c r="KCY33" i="6"/>
  <c r="KCX33" i="6"/>
  <c r="KCW33" i="6"/>
  <c r="KCV33" i="6"/>
  <c r="KCU33" i="6"/>
  <c r="KCT33" i="6"/>
  <c r="KCS33" i="6"/>
  <c r="KCR33" i="6"/>
  <c r="KCQ33" i="6"/>
  <c r="KCP33" i="6"/>
  <c r="KCO33" i="6"/>
  <c r="KCN33" i="6"/>
  <c r="KCM33" i="6"/>
  <c r="KCL33" i="6"/>
  <c r="KCK33" i="6"/>
  <c r="KCJ33" i="6"/>
  <c r="KCI33" i="6"/>
  <c r="KCH33" i="6"/>
  <c r="KCG33" i="6"/>
  <c r="KCF33" i="6"/>
  <c r="KCE33" i="6"/>
  <c r="KCD33" i="6"/>
  <c r="KCC33" i="6"/>
  <c r="KCB33" i="6"/>
  <c r="KCA33" i="6"/>
  <c r="KBZ33" i="6"/>
  <c r="KBY33" i="6"/>
  <c r="KBX33" i="6"/>
  <c r="KBW33" i="6"/>
  <c r="KBV33" i="6"/>
  <c r="KBU33" i="6"/>
  <c r="KBT33" i="6"/>
  <c r="KBS33" i="6"/>
  <c r="KBR33" i="6"/>
  <c r="KBQ33" i="6"/>
  <c r="KBP33" i="6"/>
  <c r="KBO33" i="6"/>
  <c r="KBN33" i="6"/>
  <c r="KBM33" i="6"/>
  <c r="KBL33" i="6"/>
  <c r="KBK33" i="6"/>
  <c r="KBJ33" i="6"/>
  <c r="KBI33" i="6"/>
  <c r="KBH33" i="6"/>
  <c r="KBG33" i="6"/>
  <c r="KBF33" i="6"/>
  <c r="KBE33" i="6"/>
  <c r="KBD33" i="6"/>
  <c r="KBC33" i="6"/>
  <c r="KBB33" i="6"/>
  <c r="KBA33" i="6"/>
  <c r="KAZ33" i="6"/>
  <c r="KAY33" i="6"/>
  <c r="KAX33" i="6"/>
  <c r="KAW33" i="6"/>
  <c r="KAV33" i="6"/>
  <c r="KAU33" i="6"/>
  <c r="KAT33" i="6"/>
  <c r="KAS33" i="6"/>
  <c r="KAR33" i="6"/>
  <c r="KAQ33" i="6"/>
  <c r="KAP33" i="6"/>
  <c r="KAO33" i="6"/>
  <c r="KAN33" i="6"/>
  <c r="KAM33" i="6"/>
  <c r="KAL33" i="6"/>
  <c r="KAK33" i="6"/>
  <c r="KAJ33" i="6"/>
  <c r="KAI33" i="6"/>
  <c r="KAH33" i="6"/>
  <c r="KAG33" i="6"/>
  <c r="KAF33" i="6"/>
  <c r="KAE33" i="6"/>
  <c r="KAD33" i="6"/>
  <c r="KAC33" i="6"/>
  <c r="KAB33" i="6"/>
  <c r="KAA33" i="6"/>
  <c r="JZZ33" i="6"/>
  <c r="JZY33" i="6"/>
  <c r="JZX33" i="6"/>
  <c r="JZW33" i="6"/>
  <c r="JZV33" i="6"/>
  <c r="JZU33" i="6"/>
  <c r="JZT33" i="6"/>
  <c r="JZS33" i="6"/>
  <c r="JZR33" i="6"/>
  <c r="JZQ33" i="6"/>
  <c r="JZP33" i="6"/>
  <c r="JZO33" i="6"/>
  <c r="JZN33" i="6"/>
  <c r="JZM33" i="6"/>
  <c r="JZL33" i="6"/>
  <c r="JZK33" i="6"/>
  <c r="JZJ33" i="6"/>
  <c r="JZI33" i="6"/>
  <c r="JZH33" i="6"/>
  <c r="JZG33" i="6"/>
  <c r="JZF33" i="6"/>
  <c r="JZE33" i="6"/>
  <c r="JZD33" i="6"/>
  <c r="JZC33" i="6"/>
  <c r="JZB33" i="6"/>
  <c r="JZA33" i="6"/>
  <c r="JYZ33" i="6"/>
  <c r="JYY33" i="6"/>
  <c r="JYX33" i="6"/>
  <c r="JYW33" i="6"/>
  <c r="JYV33" i="6"/>
  <c r="JYU33" i="6"/>
  <c r="JYT33" i="6"/>
  <c r="JYS33" i="6"/>
  <c r="JYR33" i="6"/>
  <c r="JYQ33" i="6"/>
  <c r="JYP33" i="6"/>
  <c r="JYO33" i="6"/>
  <c r="JYN33" i="6"/>
  <c r="JYM33" i="6"/>
  <c r="JYL33" i="6"/>
  <c r="JYK33" i="6"/>
  <c r="JYJ33" i="6"/>
  <c r="JYI33" i="6"/>
  <c r="JYH33" i="6"/>
  <c r="JYG33" i="6"/>
  <c r="JYF33" i="6"/>
  <c r="JYE33" i="6"/>
  <c r="JYD33" i="6"/>
  <c r="JYC33" i="6"/>
  <c r="JYB33" i="6"/>
  <c r="JYA33" i="6"/>
  <c r="JXZ33" i="6"/>
  <c r="JXY33" i="6"/>
  <c r="JXX33" i="6"/>
  <c r="JXW33" i="6"/>
  <c r="JXV33" i="6"/>
  <c r="JXU33" i="6"/>
  <c r="JXT33" i="6"/>
  <c r="JXS33" i="6"/>
  <c r="JXR33" i="6"/>
  <c r="JXQ33" i="6"/>
  <c r="JXP33" i="6"/>
  <c r="JXO33" i="6"/>
  <c r="JXN33" i="6"/>
  <c r="JXM33" i="6"/>
  <c r="JXL33" i="6"/>
  <c r="JXK33" i="6"/>
  <c r="JXJ33" i="6"/>
  <c r="JXI33" i="6"/>
  <c r="JXH33" i="6"/>
  <c r="JXG33" i="6"/>
  <c r="JXF33" i="6"/>
  <c r="JXE33" i="6"/>
  <c r="JXD33" i="6"/>
  <c r="JXC33" i="6"/>
  <c r="JXB33" i="6"/>
  <c r="JXA33" i="6"/>
  <c r="JWZ33" i="6"/>
  <c r="JWY33" i="6"/>
  <c r="JWX33" i="6"/>
  <c r="JWW33" i="6"/>
  <c r="JWV33" i="6"/>
  <c r="JWU33" i="6"/>
  <c r="JWT33" i="6"/>
  <c r="JWS33" i="6"/>
  <c r="JWR33" i="6"/>
  <c r="JWQ33" i="6"/>
  <c r="JWP33" i="6"/>
  <c r="JWO33" i="6"/>
  <c r="JWN33" i="6"/>
  <c r="JWM33" i="6"/>
  <c r="JWL33" i="6"/>
  <c r="JWK33" i="6"/>
  <c r="JWJ33" i="6"/>
  <c r="JWI33" i="6"/>
  <c r="JWH33" i="6"/>
  <c r="JWG33" i="6"/>
  <c r="JWF33" i="6"/>
  <c r="JWE33" i="6"/>
  <c r="JWD33" i="6"/>
  <c r="JWC33" i="6"/>
  <c r="JWB33" i="6"/>
  <c r="JWA33" i="6"/>
  <c r="JVZ33" i="6"/>
  <c r="JVY33" i="6"/>
  <c r="JVX33" i="6"/>
  <c r="JVW33" i="6"/>
  <c r="JVV33" i="6"/>
  <c r="JVU33" i="6"/>
  <c r="JVT33" i="6"/>
  <c r="JVS33" i="6"/>
  <c r="JVR33" i="6"/>
  <c r="JVQ33" i="6"/>
  <c r="JVP33" i="6"/>
  <c r="JVO33" i="6"/>
  <c r="JVN33" i="6"/>
  <c r="JVM33" i="6"/>
  <c r="JVL33" i="6"/>
  <c r="JVK33" i="6"/>
  <c r="JVJ33" i="6"/>
  <c r="JVI33" i="6"/>
  <c r="JVH33" i="6"/>
  <c r="JVG33" i="6"/>
  <c r="JVF33" i="6"/>
  <c r="JVE33" i="6"/>
  <c r="JVD33" i="6"/>
  <c r="JVC33" i="6"/>
  <c r="JVB33" i="6"/>
  <c r="JVA33" i="6"/>
  <c r="JUZ33" i="6"/>
  <c r="JUY33" i="6"/>
  <c r="JUX33" i="6"/>
  <c r="JUW33" i="6"/>
  <c r="JUV33" i="6"/>
  <c r="JUU33" i="6"/>
  <c r="JUT33" i="6"/>
  <c r="JUS33" i="6"/>
  <c r="JUR33" i="6"/>
  <c r="JUQ33" i="6"/>
  <c r="JUP33" i="6"/>
  <c r="JUO33" i="6"/>
  <c r="JUN33" i="6"/>
  <c r="JUM33" i="6"/>
  <c r="JUL33" i="6"/>
  <c r="JUK33" i="6"/>
  <c r="JUJ33" i="6"/>
  <c r="JUI33" i="6"/>
  <c r="JUH33" i="6"/>
  <c r="JUG33" i="6"/>
  <c r="JUF33" i="6"/>
  <c r="JUE33" i="6"/>
  <c r="JUD33" i="6"/>
  <c r="JUC33" i="6"/>
  <c r="JUB33" i="6"/>
  <c r="JUA33" i="6"/>
  <c r="JTZ33" i="6"/>
  <c r="JTY33" i="6"/>
  <c r="JTX33" i="6"/>
  <c r="JTW33" i="6"/>
  <c r="JTV33" i="6"/>
  <c r="JTU33" i="6"/>
  <c r="JTT33" i="6"/>
  <c r="JTS33" i="6"/>
  <c r="JTR33" i="6"/>
  <c r="JTQ33" i="6"/>
  <c r="JTP33" i="6"/>
  <c r="JTO33" i="6"/>
  <c r="JTN33" i="6"/>
  <c r="JTM33" i="6"/>
  <c r="JTL33" i="6"/>
  <c r="JTK33" i="6"/>
  <c r="JTJ33" i="6"/>
  <c r="JTI33" i="6"/>
  <c r="JTH33" i="6"/>
  <c r="JTG33" i="6"/>
  <c r="JTF33" i="6"/>
  <c r="JTE33" i="6"/>
  <c r="JTD33" i="6"/>
  <c r="JTC33" i="6"/>
  <c r="JTB33" i="6"/>
  <c r="JTA33" i="6"/>
  <c r="JSZ33" i="6"/>
  <c r="JSY33" i="6"/>
  <c r="JSX33" i="6"/>
  <c r="JSW33" i="6"/>
  <c r="JSV33" i="6"/>
  <c r="JSU33" i="6"/>
  <c r="JST33" i="6"/>
  <c r="JSS33" i="6"/>
  <c r="JSR33" i="6"/>
  <c r="JSQ33" i="6"/>
  <c r="JSP33" i="6"/>
  <c r="JSO33" i="6"/>
  <c r="JSN33" i="6"/>
  <c r="JSM33" i="6"/>
  <c r="JSL33" i="6"/>
  <c r="JSK33" i="6"/>
  <c r="JSJ33" i="6"/>
  <c r="JSI33" i="6"/>
  <c r="JSH33" i="6"/>
  <c r="JSG33" i="6"/>
  <c r="JSF33" i="6"/>
  <c r="JSE33" i="6"/>
  <c r="JSD33" i="6"/>
  <c r="JSC33" i="6"/>
  <c r="JSB33" i="6"/>
  <c r="JSA33" i="6"/>
  <c r="JRZ33" i="6"/>
  <c r="JRY33" i="6"/>
  <c r="JRX33" i="6"/>
  <c r="JRW33" i="6"/>
  <c r="JRV33" i="6"/>
  <c r="JRU33" i="6"/>
  <c r="JRT33" i="6"/>
  <c r="JRS33" i="6"/>
  <c r="JRR33" i="6"/>
  <c r="JRQ33" i="6"/>
  <c r="JRP33" i="6"/>
  <c r="JRO33" i="6"/>
  <c r="JRN33" i="6"/>
  <c r="JRM33" i="6"/>
  <c r="JRL33" i="6"/>
  <c r="JRK33" i="6"/>
  <c r="JRJ33" i="6"/>
  <c r="JRI33" i="6"/>
  <c r="JRH33" i="6"/>
  <c r="JRG33" i="6"/>
  <c r="JRF33" i="6"/>
  <c r="JRE33" i="6"/>
  <c r="JRD33" i="6"/>
  <c r="JRC33" i="6"/>
  <c r="JRB33" i="6"/>
  <c r="JRA33" i="6"/>
  <c r="JQZ33" i="6"/>
  <c r="JQY33" i="6"/>
  <c r="JQX33" i="6"/>
  <c r="JQW33" i="6"/>
  <c r="JQV33" i="6"/>
  <c r="JQU33" i="6"/>
  <c r="JQT33" i="6"/>
  <c r="JQS33" i="6"/>
  <c r="JQR33" i="6"/>
  <c r="JQQ33" i="6"/>
  <c r="JQP33" i="6"/>
  <c r="JQO33" i="6"/>
  <c r="JQN33" i="6"/>
  <c r="JQM33" i="6"/>
  <c r="JQL33" i="6"/>
  <c r="JQK33" i="6"/>
  <c r="JQJ33" i="6"/>
  <c r="JQI33" i="6"/>
  <c r="JQH33" i="6"/>
  <c r="JQG33" i="6"/>
  <c r="JQF33" i="6"/>
  <c r="JQE33" i="6"/>
  <c r="JQD33" i="6"/>
  <c r="JQC33" i="6"/>
  <c r="JQB33" i="6"/>
  <c r="JQA33" i="6"/>
  <c r="JPZ33" i="6"/>
  <c r="JPY33" i="6"/>
  <c r="JPX33" i="6"/>
  <c r="JPW33" i="6"/>
  <c r="JPV33" i="6"/>
  <c r="JPU33" i="6"/>
  <c r="JPT33" i="6"/>
  <c r="JPS33" i="6"/>
  <c r="JPR33" i="6"/>
  <c r="JPQ33" i="6"/>
  <c r="JPP33" i="6"/>
  <c r="JPO33" i="6"/>
  <c r="JPN33" i="6"/>
  <c r="JPM33" i="6"/>
  <c r="JPL33" i="6"/>
  <c r="JPK33" i="6"/>
  <c r="JPJ33" i="6"/>
  <c r="JPI33" i="6"/>
  <c r="JPH33" i="6"/>
  <c r="JPG33" i="6"/>
  <c r="JPF33" i="6"/>
  <c r="JPE33" i="6"/>
  <c r="JPD33" i="6"/>
  <c r="JPC33" i="6"/>
  <c r="JPB33" i="6"/>
  <c r="JPA33" i="6"/>
  <c r="JOZ33" i="6"/>
  <c r="JOY33" i="6"/>
  <c r="JOX33" i="6"/>
  <c r="JOW33" i="6"/>
  <c r="JOV33" i="6"/>
  <c r="JOU33" i="6"/>
  <c r="JOT33" i="6"/>
  <c r="JOS33" i="6"/>
  <c r="JOR33" i="6"/>
  <c r="JOQ33" i="6"/>
  <c r="JOP33" i="6"/>
  <c r="JOO33" i="6"/>
  <c r="JON33" i="6"/>
  <c r="JOM33" i="6"/>
  <c r="JOL33" i="6"/>
  <c r="JOK33" i="6"/>
  <c r="JOJ33" i="6"/>
  <c r="JOI33" i="6"/>
  <c r="JOH33" i="6"/>
  <c r="JOG33" i="6"/>
  <c r="JOF33" i="6"/>
  <c r="JOE33" i="6"/>
  <c r="JOD33" i="6"/>
  <c r="JOC33" i="6"/>
  <c r="JOB33" i="6"/>
  <c r="JOA33" i="6"/>
  <c r="JNZ33" i="6"/>
  <c r="JNY33" i="6"/>
  <c r="JNX33" i="6"/>
  <c r="JNW33" i="6"/>
  <c r="JNV33" i="6"/>
  <c r="JNU33" i="6"/>
  <c r="JNT33" i="6"/>
  <c r="JNS33" i="6"/>
  <c r="JNR33" i="6"/>
  <c r="JNQ33" i="6"/>
  <c r="JNP33" i="6"/>
  <c r="JNO33" i="6"/>
  <c r="JNN33" i="6"/>
  <c r="JNM33" i="6"/>
  <c r="JNL33" i="6"/>
  <c r="JNK33" i="6"/>
  <c r="JNJ33" i="6"/>
  <c r="JNI33" i="6"/>
  <c r="JNH33" i="6"/>
  <c r="JNG33" i="6"/>
  <c r="JNF33" i="6"/>
  <c r="JNE33" i="6"/>
  <c r="JND33" i="6"/>
  <c r="JNC33" i="6"/>
  <c r="JNB33" i="6"/>
  <c r="JNA33" i="6"/>
  <c r="JMZ33" i="6"/>
  <c r="JMY33" i="6"/>
  <c r="JMX33" i="6"/>
  <c r="JMW33" i="6"/>
  <c r="JMV33" i="6"/>
  <c r="JMU33" i="6"/>
  <c r="JMT33" i="6"/>
  <c r="JMS33" i="6"/>
  <c r="JMR33" i="6"/>
  <c r="JMQ33" i="6"/>
  <c r="JMP33" i="6"/>
  <c r="JMO33" i="6"/>
  <c r="JMN33" i="6"/>
  <c r="JMM33" i="6"/>
  <c r="JML33" i="6"/>
  <c r="JMK33" i="6"/>
  <c r="JMJ33" i="6"/>
  <c r="JMI33" i="6"/>
  <c r="JMH33" i="6"/>
  <c r="JMG33" i="6"/>
  <c r="JMF33" i="6"/>
  <c r="JME33" i="6"/>
  <c r="JMD33" i="6"/>
  <c r="JMC33" i="6"/>
  <c r="JMB33" i="6"/>
  <c r="JMA33" i="6"/>
  <c r="JLZ33" i="6"/>
  <c r="JLY33" i="6"/>
  <c r="JLX33" i="6"/>
  <c r="JLW33" i="6"/>
  <c r="JLV33" i="6"/>
  <c r="JLU33" i="6"/>
  <c r="JLT33" i="6"/>
  <c r="JLS33" i="6"/>
  <c r="JLR33" i="6"/>
  <c r="JLQ33" i="6"/>
  <c r="JLP33" i="6"/>
  <c r="JLO33" i="6"/>
  <c r="JLN33" i="6"/>
  <c r="JLM33" i="6"/>
  <c r="JLL33" i="6"/>
  <c r="JLK33" i="6"/>
  <c r="JLJ33" i="6"/>
  <c r="JLI33" i="6"/>
  <c r="JLH33" i="6"/>
  <c r="JLG33" i="6"/>
  <c r="JLF33" i="6"/>
  <c r="JLE33" i="6"/>
  <c r="JLD33" i="6"/>
  <c r="JLC33" i="6"/>
  <c r="JLB33" i="6"/>
  <c r="JLA33" i="6"/>
  <c r="JKZ33" i="6"/>
  <c r="JKY33" i="6"/>
  <c r="JKX33" i="6"/>
  <c r="JKW33" i="6"/>
  <c r="JKV33" i="6"/>
  <c r="JKU33" i="6"/>
  <c r="JKT33" i="6"/>
  <c r="JKS33" i="6"/>
  <c r="JKR33" i="6"/>
  <c r="JKQ33" i="6"/>
  <c r="JKP33" i="6"/>
  <c r="JKO33" i="6"/>
  <c r="JKN33" i="6"/>
  <c r="JKM33" i="6"/>
  <c r="JKL33" i="6"/>
  <c r="JKK33" i="6"/>
  <c r="JKJ33" i="6"/>
  <c r="JKI33" i="6"/>
  <c r="JKH33" i="6"/>
  <c r="JKG33" i="6"/>
  <c r="JKF33" i="6"/>
  <c r="JKE33" i="6"/>
  <c r="JKD33" i="6"/>
  <c r="JKC33" i="6"/>
  <c r="JKB33" i="6"/>
  <c r="JKA33" i="6"/>
  <c r="JJZ33" i="6"/>
  <c r="JJY33" i="6"/>
  <c r="JJX33" i="6"/>
  <c r="JJW33" i="6"/>
  <c r="JJV33" i="6"/>
  <c r="JJU33" i="6"/>
  <c r="JJT33" i="6"/>
  <c r="JJS33" i="6"/>
  <c r="JJR33" i="6"/>
  <c r="JJQ33" i="6"/>
  <c r="JJP33" i="6"/>
  <c r="JJO33" i="6"/>
  <c r="JJN33" i="6"/>
  <c r="JJM33" i="6"/>
  <c r="JJL33" i="6"/>
  <c r="JJK33" i="6"/>
  <c r="JJJ33" i="6"/>
  <c r="JJI33" i="6"/>
  <c r="JJH33" i="6"/>
  <c r="JJG33" i="6"/>
  <c r="JJF33" i="6"/>
  <c r="JJE33" i="6"/>
  <c r="JJD33" i="6"/>
  <c r="JJC33" i="6"/>
  <c r="JJB33" i="6"/>
  <c r="JJA33" i="6"/>
  <c r="JIZ33" i="6"/>
  <c r="JIY33" i="6"/>
  <c r="JIX33" i="6"/>
  <c r="JIW33" i="6"/>
  <c r="JIV33" i="6"/>
  <c r="JIU33" i="6"/>
  <c r="JIT33" i="6"/>
  <c r="JIS33" i="6"/>
  <c r="JIR33" i="6"/>
  <c r="JIQ33" i="6"/>
  <c r="JIP33" i="6"/>
  <c r="JIO33" i="6"/>
  <c r="JIN33" i="6"/>
  <c r="JIM33" i="6"/>
  <c r="JIL33" i="6"/>
  <c r="JIK33" i="6"/>
  <c r="JIJ33" i="6"/>
  <c r="JII33" i="6"/>
  <c r="JIH33" i="6"/>
  <c r="JIG33" i="6"/>
  <c r="JIF33" i="6"/>
  <c r="JIE33" i="6"/>
  <c r="JID33" i="6"/>
  <c r="JIC33" i="6"/>
  <c r="JIB33" i="6"/>
  <c r="JIA33" i="6"/>
  <c r="JHZ33" i="6"/>
  <c r="JHY33" i="6"/>
  <c r="JHX33" i="6"/>
  <c r="JHW33" i="6"/>
  <c r="JHV33" i="6"/>
  <c r="JHU33" i="6"/>
  <c r="JHT33" i="6"/>
  <c r="JHS33" i="6"/>
  <c r="JHR33" i="6"/>
  <c r="JHQ33" i="6"/>
  <c r="JHP33" i="6"/>
  <c r="JHO33" i="6"/>
  <c r="JHN33" i="6"/>
  <c r="JHM33" i="6"/>
  <c r="JHL33" i="6"/>
  <c r="JHK33" i="6"/>
  <c r="JHJ33" i="6"/>
  <c r="JHI33" i="6"/>
  <c r="JHH33" i="6"/>
  <c r="JHG33" i="6"/>
  <c r="JHF33" i="6"/>
  <c r="JHE33" i="6"/>
  <c r="JHD33" i="6"/>
  <c r="JHC33" i="6"/>
  <c r="JHB33" i="6"/>
  <c r="JHA33" i="6"/>
  <c r="JGZ33" i="6"/>
  <c r="JGY33" i="6"/>
  <c r="JGX33" i="6"/>
  <c r="JGW33" i="6"/>
  <c r="JGV33" i="6"/>
  <c r="JGU33" i="6"/>
  <c r="JGT33" i="6"/>
  <c r="JGS33" i="6"/>
  <c r="JGR33" i="6"/>
  <c r="JGQ33" i="6"/>
  <c r="JGP33" i="6"/>
  <c r="JGO33" i="6"/>
  <c r="JGN33" i="6"/>
  <c r="JGM33" i="6"/>
  <c r="JGL33" i="6"/>
  <c r="JGK33" i="6"/>
  <c r="JGJ33" i="6"/>
  <c r="JGI33" i="6"/>
  <c r="JGH33" i="6"/>
  <c r="JGG33" i="6"/>
  <c r="JGF33" i="6"/>
  <c r="JGE33" i="6"/>
  <c r="JGD33" i="6"/>
  <c r="JGC33" i="6"/>
  <c r="JGB33" i="6"/>
  <c r="JGA33" i="6"/>
  <c r="JFZ33" i="6"/>
  <c r="JFY33" i="6"/>
  <c r="JFX33" i="6"/>
  <c r="JFW33" i="6"/>
  <c r="JFV33" i="6"/>
  <c r="JFU33" i="6"/>
  <c r="JFT33" i="6"/>
  <c r="JFS33" i="6"/>
  <c r="JFR33" i="6"/>
  <c r="JFQ33" i="6"/>
  <c r="JFP33" i="6"/>
  <c r="JFO33" i="6"/>
  <c r="JFN33" i="6"/>
  <c r="JFM33" i="6"/>
  <c r="JFL33" i="6"/>
  <c r="JFK33" i="6"/>
  <c r="JFJ33" i="6"/>
  <c r="JFI33" i="6"/>
  <c r="JFH33" i="6"/>
  <c r="JFG33" i="6"/>
  <c r="JFF33" i="6"/>
  <c r="JFE33" i="6"/>
  <c r="JFD33" i="6"/>
  <c r="JFC33" i="6"/>
  <c r="JFB33" i="6"/>
  <c r="JFA33" i="6"/>
  <c r="JEZ33" i="6"/>
  <c r="JEY33" i="6"/>
  <c r="JEX33" i="6"/>
  <c r="JEW33" i="6"/>
  <c r="JEV33" i="6"/>
  <c r="JEU33" i="6"/>
  <c r="JET33" i="6"/>
  <c r="JES33" i="6"/>
  <c r="JER33" i="6"/>
  <c r="JEQ33" i="6"/>
  <c r="JEP33" i="6"/>
  <c r="JEO33" i="6"/>
  <c r="JEN33" i="6"/>
  <c r="JEM33" i="6"/>
  <c r="JEL33" i="6"/>
  <c r="JEK33" i="6"/>
  <c r="JEJ33" i="6"/>
  <c r="JEI33" i="6"/>
  <c r="JEH33" i="6"/>
  <c r="JEG33" i="6"/>
  <c r="JEF33" i="6"/>
  <c r="JEE33" i="6"/>
  <c r="JED33" i="6"/>
  <c r="JEC33" i="6"/>
  <c r="JEB33" i="6"/>
  <c r="JEA33" i="6"/>
  <c r="JDZ33" i="6"/>
  <c r="JDY33" i="6"/>
  <c r="JDX33" i="6"/>
  <c r="JDW33" i="6"/>
  <c r="JDV33" i="6"/>
  <c r="JDU33" i="6"/>
  <c r="JDT33" i="6"/>
  <c r="JDS33" i="6"/>
  <c r="JDR33" i="6"/>
  <c r="JDQ33" i="6"/>
  <c r="JDP33" i="6"/>
  <c r="JDO33" i="6"/>
  <c r="JDN33" i="6"/>
  <c r="JDM33" i="6"/>
  <c r="JDL33" i="6"/>
  <c r="JDK33" i="6"/>
  <c r="JDJ33" i="6"/>
  <c r="JDI33" i="6"/>
  <c r="JDH33" i="6"/>
  <c r="JDG33" i="6"/>
  <c r="JDF33" i="6"/>
  <c r="JDE33" i="6"/>
  <c r="JDD33" i="6"/>
  <c r="JDC33" i="6"/>
  <c r="JDB33" i="6"/>
  <c r="JDA33" i="6"/>
  <c r="JCZ33" i="6"/>
  <c r="JCY33" i="6"/>
  <c r="JCX33" i="6"/>
  <c r="JCW33" i="6"/>
  <c r="JCV33" i="6"/>
  <c r="JCU33" i="6"/>
  <c r="JCT33" i="6"/>
  <c r="JCS33" i="6"/>
  <c r="JCR33" i="6"/>
  <c r="JCQ33" i="6"/>
  <c r="JCP33" i="6"/>
  <c r="JCO33" i="6"/>
  <c r="JCN33" i="6"/>
  <c r="JCM33" i="6"/>
  <c r="JCL33" i="6"/>
  <c r="JCK33" i="6"/>
  <c r="JCJ33" i="6"/>
  <c r="JCI33" i="6"/>
  <c r="JCH33" i="6"/>
  <c r="JCG33" i="6"/>
  <c r="JCF33" i="6"/>
  <c r="JCE33" i="6"/>
  <c r="JCD33" i="6"/>
  <c r="JCC33" i="6"/>
  <c r="JCB33" i="6"/>
  <c r="JCA33" i="6"/>
  <c r="JBZ33" i="6"/>
  <c r="JBY33" i="6"/>
  <c r="JBX33" i="6"/>
  <c r="JBW33" i="6"/>
  <c r="JBV33" i="6"/>
  <c r="JBU33" i="6"/>
  <c r="JBT33" i="6"/>
  <c r="JBS33" i="6"/>
  <c r="JBR33" i="6"/>
  <c r="JBQ33" i="6"/>
  <c r="JBP33" i="6"/>
  <c r="JBO33" i="6"/>
  <c r="JBN33" i="6"/>
  <c r="JBM33" i="6"/>
  <c r="JBL33" i="6"/>
  <c r="JBK33" i="6"/>
  <c r="JBJ33" i="6"/>
  <c r="JBI33" i="6"/>
  <c r="JBH33" i="6"/>
  <c r="JBG33" i="6"/>
  <c r="JBF33" i="6"/>
  <c r="JBE33" i="6"/>
  <c r="JBD33" i="6"/>
  <c r="JBC33" i="6"/>
  <c r="JBB33" i="6"/>
  <c r="JBA33" i="6"/>
  <c r="JAZ33" i="6"/>
  <c r="JAY33" i="6"/>
  <c r="JAX33" i="6"/>
  <c r="JAW33" i="6"/>
  <c r="JAV33" i="6"/>
  <c r="JAU33" i="6"/>
  <c r="JAT33" i="6"/>
  <c r="JAS33" i="6"/>
  <c r="JAR33" i="6"/>
  <c r="JAQ33" i="6"/>
  <c r="JAP33" i="6"/>
  <c r="JAO33" i="6"/>
  <c r="JAN33" i="6"/>
  <c r="JAM33" i="6"/>
  <c r="JAL33" i="6"/>
  <c r="JAK33" i="6"/>
  <c r="JAJ33" i="6"/>
  <c r="JAI33" i="6"/>
  <c r="JAH33" i="6"/>
  <c r="JAG33" i="6"/>
  <c r="JAF33" i="6"/>
  <c r="JAE33" i="6"/>
  <c r="JAD33" i="6"/>
  <c r="JAC33" i="6"/>
  <c r="JAB33" i="6"/>
  <c r="JAA33" i="6"/>
  <c r="IZZ33" i="6"/>
  <c r="IZY33" i="6"/>
  <c r="IZX33" i="6"/>
  <c r="IZW33" i="6"/>
  <c r="IZV33" i="6"/>
  <c r="IZU33" i="6"/>
  <c r="IZT33" i="6"/>
  <c r="IZS33" i="6"/>
  <c r="IZR33" i="6"/>
  <c r="IZQ33" i="6"/>
  <c r="IZP33" i="6"/>
  <c r="IZO33" i="6"/>
  <c r="IZN33" i="6"/>
  <c r="IZM33" i="6"/>
  <c r="IZL33" i="6"/>
  <c r="IZK33" i="6"/>
  <c r="IZJ33" i="6"/>
  <c r="IZI33" i="6"/>
  <c r="IZH33" i="6"/>
  <c r="IZG33" i="6"/>
  <c r="IZF33" i="6"/>
  <c r="IZE33" i="6"/>
  <c r="IZD33" i="6"/>
  <c r="IZC33" i="6"/>
  <c r="IZB33" i="6"/>
  <c r="IZA33" i="6"/>
  <c r="IYZ33" i="6"/>
  <c r="IYY33" i="6"/>
  <c r="IYX33" i="6"/>
  <c r="IYW33" i="6"/>
  <c r="IYV33" i="6"/>
  <c r="IYU33" i="6"/>
  <c r="IYT33" i="6"/>
  <c r="IYS33" i="6"/>
  <c r="IYR33" i="6"/>
  <c r="IYQ33" i="6"/>
  <c r="IYP33" i="6"/>
  <c r="IYO33" i="6"/>
  <c r="IYN33" i="6"/>
  <c r="IYM33" i="6"/>
  <c r="IYL33" i="6"/>
  <c r="IYK33" i="6"/>
  <c r="IYJ33" i="6"/>
  <c r="IYI33" i="6"/>
  <c r="IYH33" i="6"/>
  <c r="IYG33" i="6"/>
  <c r="IYF33" i="6"/>
  <c r="IYE33" i="6"/>
  <c r="IYD33" i="6"/>
  <c r="IYC33" i="6"/>
  <c r="IYB33" i="6"/>
  <c r="IYA33" i="6"/>
  <c r="IXZ33" i="6"/>
  <c r="IXY33" i="6"/>
  <c r="IXX33" i="6"/>
  <c r="IXW33" i="6"/>
  <c r="IXV33" i="6"/>
  <c r="IXU33" i="6"/>
  <c r="IXT33" i="6"/>
  <c r="IXS33" i="6"/>
  <c r="IXR33" i="6"/>
  <c r="IXQ33" i="6"/>
  <c r="IXP33" i="6"/>
  <c r="IXO33" i="6"/>
  <c r="IXN33" i="6"/>
  <c r="IXM33" i="6"/>
  <c r="IXL33" i="6"/>
  <c r="IXK33" i="6"/>
  <c r="IXJ33" i="6"/>
  <c r="IXI33" i="6"/>
  <c r="IXH33" i="6"/>
  <c r="IXG33" i="6"/>
  <c r="IXF33" i="6"/>
  <c r="IXE33" i="6"/>
  <c r="IXD33" i="6"/>
  <c r="IXC33" i="6"/>
  <c r="IXB33" i="6"/>
  <c r="IXA33" i="6"/>
  <c r="IWZ33" i="6"/>
  <c r="IWY33" i="6"/>
  <c r="IWX33" i="6"/>
  <c r="IWW33" i="6"/>
  <c r="IWV33" i="6"/>
  <c r="IWU33" i="6"/>
  <c r="IWT33" i="6"/>
  <c r="IWS33" i="6"/>
  <c r="IWR33" i="6"/>
  <c r="IWQ33" i="6"/>
  <c r="IWP33" i="6"/>
  <c r="IWO33" i="6"/>
  <c r="IWN33" i="6"/>
  <c r="IWM33" i="6"/>
  <c r="IWL33" i="6"/>
  <c r="IWK33" i="6"/>
  <c r="IWJ33" i="6"/>
  <c r="IWI33" i="6"/>
  <c r="IWH33" i="6"/>
  <c r="IWG33" i="6"/>
  <c r="IWF33" i="6"/>
  <c r="IWE33" i="6"/>
  <c r="IWD33" i="6"/>
  <c r="IWC33" i="6"/>
  <c r="IWB33" i="6"/>
  <c r="IWA33" i="6"/>
  <c r="IVZ33" i="6"/>
  <c r="IVY33" i="6"/>
  <c r="IVX33" i="6"/>
  <c r="IVW33" i="6"/>
  <c r="IVV33" i="6"/>
  <c r="IVU33" i="6"/>
  <c r="IVT33" i="6"/>
  <c r="IVS33" i="6"/>
  <c r="IVR33" i="6"/>
  <c r="IVQ33" i="6"/>
  <c r="IVP33" i="6"/>
  <c r="IVO33" i="6"/>
  <c r="IVN33" i="6"/>
  <c r="IVM33" i="6"/>
  <c r="IVL33" i="6"/>
  <c r="IVK33" i="6"/>
  <c r="IVJ33" i="6"/>
  <c r="IVI33" i="6"/>
  <c r="IVH33" i="6"/>
  <c r="IVG33" i="6"/>
  <c r="IVF33" i="6"/>
  <c r="IVE33" i="6"/>
  <c r="IVD33" i="6"/>
  <c r="IVC33" i="6"/>
  <c r="IVB33" i="6"/>
  <c r="IVA33" i="6"/>
  <c r="IUZ33" i="6"/>
  <c r="IUY33" i="6"/>
  <c r="IUX33" i="6"/>
  <c r="IUW33" i="6"/>
  <c r="IUV33" i="6"/>
  <c r="IUU33" i="6"/>
  <c r="IUT33" i="6"/>
  <c r="IUS33" i="6"/>
  <c r="IUR33" i="6"/>
  <c r="IUQ33" i="6"/>
  <c r="IUP33" i="6"/>
  <c r="IUO33" i="6"/>
  <c r="IUN33" i="6"/>
  <c r="IUM33" i="6"/>
  <c r="IUL33" i="6"/>
  <c r="IUK33" i="6"/>
  <c r="IUJ33" i="6"/>
  <c r="IUI33" i="6"/>
  <c r="IUH33" i="6"/>
  <c r="IUG33" i="6"/>
  <c r="IUF33" i="6"/>
  <c r="IUE33" i="6"/>
  <c r="IUD33" i="6"/>
  <c r="IUC33" i="6"/>
  <c r="IUB33" i="6"/>
  <c r="IUA33" i="6"/>
  <c r="ITZ33" i="6"/>
  <c r="ITY33" i="6"/>
  <c r="ITX33" i="6"/>
  <c r="ITW33" i="6"/>
  <c r="ITV33" i="6"/>
  <c r="ITU33" i="6"/>
  <c r="ITT33" i="6"/>
  <c r="ITS33" i="6"/>
  <c r="ITR33" i="6"/>
  <c r="ITQ33" i="6"/>
  <c r="ITP33" i="6"/>
  <c r="ITO33" i="6"/>
  <c r="ITN33" i="6"/>
  <c r="ITM33" i="6"/>
  <c r="ITL33" i="6"/>
  <c r="ITK33" i="6"/>
  <c r="ITJ33" i="6"/>
  <c r="ITI33" i="6"/>
  <c r="ITH33" i="6"/>
  <c r="ITG33" i="6"/>
  <c r="ITF33" i="6"/>
  <c r="ITE33" i="6"/>
  <c r="ITD33" i="6"/>
  <c r="ITC33" i="6"/>
  <c r="ITB33" i="6"/>
  <c r="ITA33" i="6"/>
  <c r="ISZ33" i="6"/>
  <c r="ISY33" i="6"/>
  <c r="ISX33" i="6"/>
  <c r="ISW33" i="6"/>
  <c r="ISV33" i="6"/>
  <c r="ISU33" i="6"/>
  <c r="IST33" i="6"/>
  <c r="ISS33" i="6"/>
  <c r="ISR33" i="6"/>
  <c r="ISQ33" i="6"/>
  <c r="ISP33" i="6"/>
  <c r="ISO33" i="6"/>
  <c r="ISN33" i="6"/>
  <c r="ISM33" i="6"/>
  <c r="ISL33" i="6"/>
  <c r="ISK33" i="6"/>
  <c r="ISJ33" i="6"/>
  <c r="ISI33" i="6"/>
  <c r="ISH33" i="6"/>
  <c r="ISG33" i="6"/>
  <c r="ISF33" i="6"/>
  <c r="ISE33" i="6"/>
  <c r="ISD33" i="6"/>
  <c r="ISC33" i="6"/>
  <c r="ISB33" i="6"/>
  <c r="ISA33" i="6"/>
  <c r="IRZ33" i="6"/>
  <c r="IRY33" i="6"/>
  <c r="IRX33" i="6"/>
  <c r="IRW33" i="6"/>
  <c r="IRV33" i="6"/>
  <c r="IRU33" i="6"/>
  <c r="IRT33" i="6"/>
  <c r="IRS33" i="6"/>
  <c r="IRR33" i="6"/>
  <c r="IRQ33" i="6"/>
  <c r="IRP33" i="6"/>
  <c r="IRO33" i="6"/>
  <c r="IRN33" i="6"/>
  <c r="IRM33" i="6"/>
  <c r="IRL33" i="6"/>
  <c r="IRK33" i="6"/>
  <c r="IRJ33" i="6"/>
  <c r="IRI33" i="6"/>
  <c r="IRH33" i="6"/>
  <c r="IRG33" i="6"/>
  <c r="IRF33" i="6"/>
  <c r="IRE33" i="6"/>
  <c r="IRD33" i="6"/>
  <c r="IRC33" i="6"/>
  <c r="IRB33" i="6"/>
  <c r="IRA33" i="6"/>
  <c r="IQZ33" i="6"/>
  <c r="IQY33" i="6"/>
  <c r="IQX33" i="6"/>
  <c r="IQW33" i="6"/>
  <c r="IQV33" i="6"/>
  <c r="IQU33" i="6"/>
  <c r="IQT33" i="6"/>
  <c r="IQS33" i="6"/>
  <c r="IQR33" i="6"/>
  <c r="IQQ33" i="6"/>
  <c r="IQP33" i="6"/>
  <c r="IQO33" i="6"/>
  <c r="IQN33" i="6"/>
  <c r="IQM33" i="6"/>
  <c r="IQL33" i="6"/>
  <c r="IQK33" i="6"/>
  <c r="IQJ33" i="6"/>
  <c r="IQI33" i="6"/>
  <c r="IQH33" i="6"/>
  <c r="IQG33" i="6"/>
  <c r="IQF33" i="6"/>
  <c r="IQE33" i="6"/>
  <c r="IQD33" i="6"/>
  <c r="IQC33" i="6"/>
  <c r="IQB33" i="6"/>
  <c r="IQA33" i="6"/>
  <c r="IPZ33" i="6"/>
  <c r="IPY33" i="6"/>
  <c r="IPX33" i="6"/>
  <c r="IPW33" i="6"/>
  <c r="IPV33" i="6"/>
  <c r="IPU33" i="6"/>
  <c r="IPT33" i="6"/>
  <c r="IPS33" i="6"/>
  <c r="IPR33" i="6"/>
  <c r="IPQ33" i="6"/>
  <c r="IPP33" i="6"/>
  <c r="IPO33" i="6"/>
  <c r="IPN33" i="6"/>
  <c r="IPM33" i="6"/>
  <c r="IPL33" i="6"/>
  <c r="IPK33" i="6"/>
  <c r="IPJ33" i="6"/>
  <c r="IPI33" i="6"/>
  <c r="IPH33" i="6"/>
  <c r="IPG33" i="6"/>
  <c r="IPF33" i="6"/>
  <c r="IPE33" i="6"/>
  <c r="IPD33" i="6"/>
  <c r="IPC33" i="6"/>
  <c r="IPB33" i="6"/>
  <c r="IPA33" i="6"/>
  <c r="IOZ33" i="6"/>
  <c r="IOY33" i="6"/>
  <c r="IOX33" i="6"/>
  <c r="IOW33" i="6"/>
  <c r="IOV33" i="6"/>
  <c r="IOU33" i="6"/>
  <c r="IOT33" i="6"/>
  <c r="IOS33" i="6"/>
  <c r="IOR33" i="6"/>
  <c r="IOQ33" i="6"/>
  <c r="IOP33" i="6"/>
  <c r="IOO33" i="6"/>
  <c r="ION33" i="6"/>
  <c r="IOM33" i="6"/>
  <c r="IOL33" i="6"/>
  <c r="IOK33" i="6"/>
  <c r="IOJ33" i="6"/>
  <c r="IOI33" i="6"/>
  <c r="IOH33" i="6"/>
  <c r="IOG33" i="6"/>
  <c r="IOF33" i="6"/>
  <c r="IOE33" i="6"/>
  <c r="IOD33" i="6"/>
  <c r="IOC33" i="6"/>
  <c r="IOB33" i="6"/>
  <c r="IOA33" i="6"/>
  <c r="INZ33" i="6"/>
  <c r="INY33" i="6"/>
  <c r="INX33" i="6"/>
  <c r="INW33" i="6"/>
  <c r="INV33" i="6"/>
  <c r="INU33" i="6"/>
  <c r="INT33" i="6"/>
  <c r="INS33" i="6"/>
  <c r="INR33" i="6"/>
  <c r="INQ33" i="6"/>
  <c r="INP33" i="6"/>
  <c r="INO33" i="6"/>
  <c r="INN33" i="6"/>
  <c r="INM33" i="6"/>
  <c r="INL33" i="6"/>
  <c r="INK33" i="6"/>
  <c r="INJ33" i="6"/>
  <c r="INI33" i="6"/>
  <c r="INH33" i="6"/>
  <c r="ING33" i="6"/>
  <c r="INF33" i="6"/>
  <c r="INE33" i="6"/>
  <c r="IND33" i="6"/>
  <c r="INC33" i="6"/>
  <c r="INB33" i="6"/>
  <c r="INA33" i="6"/>
  <c r="IMZ33" i="6"/>
  <c r="IMY33" i="6"/>
  <c r="IMX33" i="6"/>
  <c r="IMW33" i="6"/>
  <c r="IMV33" i="6"/>
  <c r="IMU33" i="6"/>
  <c r="IMT33" i="6"/>
  <c r="IMS33" i="6"/>
  <c r="IMR33" i="6"/>
  <c r="IMQ33" i="6"/>
  <c r="IMP33" i="6"/>
  <c r="IMO33" i="6"/>
  <c r="IMN33" i="6"/>
  <c r="IMM33" i="6"/>
  <c r="IML33" i="6"/>
  <c r="IMK33" i="6"/>
  <c r="IMJ33" i="6"/>
  <c r="IMI33" i="6"/>
  <c r="IMH33" i="6"/>
  <c r="IMG33" i="6"/>
  <c r="IMF33" i="6"/>
  <c r="IME33" i="6"/>
  <c r="IMD33" i="6"/>
  <c r="IMC33" i="6"/>
  <c r="IMB33" i="6"/>
  <c r="IMA33" i="6"/>
  <c r="ILZ33" i="6"/>
  <c r="ILY33" i="6"/>
  <c r="ILX33" i="6"/>
  <c r="ILW33" i="6"/>
  <c r="ILV33" i="6"/>
  <c r="ILU33" i="6"/>
  <c r="ILT33" i="6"/>
  <c r="ILS33" i="6"/>
  <c r="ILR33" i="6"/>
  <c r="ILQ33" i="6"/>
  <c r="ILP33" i="6"/>
  <c r="ILO33" i="6"/>
  <c r="ILN33" i="6"/>
  <c r="ILM33" i="6"/>
  <c r="ILL33" i="6"/>
  <c r="ILK33" i="6"/>
  <c r="ILJ33" i="6"/>
  <c r="ILI33" i="6"/>
  <c r="ILH33" i="6"/>
  <c r="ILG33" i="6"/>
  <c r="ILF33" i="6"/>
  <c r="ILE33" i="6"/>
  <c r="ILD33" i="6"/>
  <c r="ILC33" i="6"/>
  <c r="ILB33" i="6"/>
  <c r="ILA33" i="6"/>
  <c r="IKZ33" i="6"/>
  <c r="IKY33" i="6"/>
  <c r="IKX33" i="6"/>
  <c r="IKW33" i="6"/>
  <c r="IKV33" i="6"/>
  <c r="IKU33" i="6"/>
  <c r="IKT33" i="6"/>
  <c r="IKS33" i="6"/>
  <c r="IKR33" i="6"/>
  <c r="IKQ33" i="6"/>
  <c r="IKP33" i="6"/>
  <c r="IKO33" i="6"/>
  <c r="IKN33" i="6"/>
  <c r="IKM33" i="6"/>
  <c r="IKL33" i="6"/>
  <c r="IKK33" i="6"/>
  <c r="IKJ33" i="6"/>
  <c r="IKI33" i="6"/>
  <c r="IKH33" i="6"/>
  <c r="IKG33" i="6"/>
  <c r="IKF33" i="6"/>
  <c r="IKE33" i="6"/>
  <c r="IKD33" i="6"/>
  <c r="IKC33" i="6"/>
  <c r="IKB33" i="6"/>
  <c r="IKA33" i="6"/>
  <c r="IJZ33" i="6"/>
  <c r="IJY33" i="6"/>
  <c r="IJX33" i="6"/>
  <c r="IJW33" i="6"/>
  <c r="IJV33" i="6"/>
  <c r="IJU33" i="6"/>
  <c r="IJT33" i="6"/>
  <c r="IJS33" i="6"/>
  <c r="IJR33" i="6"/>
  <c r="IJQ33" i="6"/>
  <c r="IJP33" i="6"/>
  <c r="IJO33" i="6"/>
  <c r="IJN33" i="6"/>
  <c r="IJM33" i="6"/>
  <c r="IJL33" i="6"/>
  <c r="IJK33" i="6"/>
  <c r="IJJ33" i="6"/>
  <c r="IJI33" i="6"/>
  <c r="IJH33" i="6"/>
  <c r="IJG33" i="6"/>
  <c r="IJF33" i="6"/>
  <c r="IJE33" i="6"/>
  <c r="IJD33" i="6"/>
  <c r="IJC33" i="6"/>
  <c r="IJB33" i="6"/>
  <c r="IJA33" i="6"/>
  <c r="IIZ33" i="6"/>
  <c r="IIY33" i="6"/>
  <c r="IIX33" i="6"/>
  <c r="IIW33" i="6"/>
  <c r="IIV33" i="6"/>
  <c r="IIU33" i="6"/>
  <c r="IIT33" i="6"/>
  <c r="IIS33" i="6"/>
  <c r="IIR33" i="6"/>
  <c r="IIQ33" i="6"/>
  <c r="IIP33" i="6"/>
  <c r="IIO33" i="6"/>
  <c r="IIN33" i="6"/>
  <c r="IIM33" i="6"/>
  <c r="IIL33" i="6"/>
  <c r="IIK33" i="6"/>
  <c r="IIJ33" i="6"/>
  <c r="III33" i="6"/>
  <c r="IIH33" i="6"/>
  <c r="IIG33" i="6"/>
  <c r="IIF33" i="6"/>
  <c r="IIE33" i="6"/>
  <c r="IID33" i="6"/>
  <c r="IIC33" i="6"/>
  <c r="IIB33" i="6"/>
  <c r="IIA33" i="6"/>
  <c r="IHZ33" i="6"/>
  <c r="IHY33" i="6"/>
  <c r="IHX33" i="6"/>
  <c r="IHW33" i="6"/>
  <c r="IHV33" i="6"/>
  <c r="IHU33" i="6"/>
  <c r="IHT33" i="6"/>
  <c r="IHS33" i="6"/>
  <c r="IHR33" i="6"/>
  <c r="IHQ33" i="6"/>
  <c r="IHP33" i="6"/>
  <c r="IHO33" i="6"/>
  <c r="IHN33" i="6"/>
  <c r="IHM33" i="6"/>
  <c r="IHL33" i="6"/>
  <c r="IHK33" i="6"/>
  <c r="IHJ33" i="6"/>
  <c r="IHI33" i="6"/>
  <c r="IHH33" i="6"/>
  <c r="IHG33" i="6"/>
  <c r="IHF33" i="6"/>
  <c r="IHE33" i="6"/>
  <c r="IHD33" i="6"/>
  <c r="IHC33" i="6"/>
  <c r="IHB33" i="6"/>
  <c r="IHA33" i="6"/>
  <c r="IGZ33" i="6"/>
  <c r="IGY33" i="6"/>
  <c r="IGX33" i="6"/>
  <c r="IGW33" i="6"/>
  <c r="IGV33" i="6"/>
  <c r="IGU33" i="6"/>
  <c r="IGT33" i="6"/>
  <c r="IGS33" i="6"/>
  <c r="IGR33" i="6"/>
  <c r="IGQ33" i="6"/>
  <c r="IGP33" i="6"/>
  <c r="IGO33" i="6"/>
  <c r="IGN33" i="6"/>
  <c r="IGM33" i="6"/>
  <c r="IGL33" i="6"/>
  <c r="IGK33" i="6"/>
  <c r="IGJ33" i="6"/>
  <c r="IGI33" i="6"/>
  <c r="IGH33" i="6"/>
  <c r="IGG33" i="6"/>
  <c r="IGF33" i="6"/>
  <c r="IGE33" i="6"/>
  <c r="IGD33" i="6"/>
  <c r="IGC33" i="6"/>
  <c r="IGB33" i="6"/>
  <c r="IGA33" i="6"/>
  <c r="IFZ33" i="6"/>
  <c r="IFY33" i="6"/>
  <c r="IFX33" i="6"/>
  <c r="IFW33" i="6"/>
  <c r="IFV33" i="6"/>
  <c r="IFU33" i="6"/>
  <c r="IFT33" i="6"/>
  <c r="IFS33" i="6"/>
  <c r="IFR33" i="6"/>
  <c r="IFQ33" i="6"/>
  <c r="IFP33" i="6"/>
  <c r="IFO33" i="6"/>
  <c r="IFN33" i="6"/>
  <c r="IFM33" i="6"/>
  <c r="IFL33" i="6"/>
  <c r="IFK33" i="6"/>
  <c r="IFJ33" i="6"/>
  <c r="IFI33" i="6"/>
  <c r="IFH33" i="6"/>
  <c r="IFG33" i="6"/>
  <c r="IFF33" i="6"/>
  <c r="IFE33" i="6"/>
  <c r="IFD33" i="6"/>
  <c r="IFC33" i="6"/>
  <c r="IFB33" i="6"/>
  <c r="IFA33" i="6"/>
  <c r="IEZ33" i="6"/>
  <c r="IEY33" i="6"/>
  <c r="IEX33" i="6"/>
  <c r="IEW33" i="6"/>
  <c r="IEV33" i="6"/>
  <c r="IEU33" i="6"/>
  <c r="IET33" i="6"/>
  <c r="IES33" i="6"/>
  <c r="IER33" i="6"/>
  <c r="IEQ33" i="6"/>
  <c r="IEP33" i="6"/>
  <c r="IEO33" i="6"/>
  <c r="IEN33" i="6"/>
  <c r="IEM33" i="6"/>
  <c r="IEL33" i="6"/>
  <c r="IEK33" i="6"/>
  <c r="IEJ33" i="6"/>
  <c r="IEI33" i="6"/>
  <c r="IEH33" i="6"/>
  <c r="IEG33" i="6"/>
  <c r="IEF33" i="6"/>
  <c r="IEE33" i="6"/>
  <c r="IED33" i="6"/>
  <c r="IEC33" i="6"/>
  <c r="IEB33" i="6"/>
  <c r="IEA33" i="6"/>
  <c r="IDZ33" i="6"/>
  <c r="IDY33" i="6"/>
  <c r="IDX33" i="6"/>
  <c r="IDW33" i="6"/>
  <c r="IDV33" i="6"/>
  <c r="IDU33" i="6"/>
  <c r="IDT33" i="6"/>
  <c r="IDS33" i="6"/>
  <c r="IDR33" i="6"/>
  <c r="IDQ33" i="6"/>
  <c r="IDP33" i="6"/>
  <c r="IDO33" i="6"/>
  <c r="IDN33" i="6"/>
  <c r="IDM33" i="6"/>
  <c r="IDL33" i="6"/>
  <c r="IDK33" i="6"/>
  <c r="IDJ33" i="6"/>
  <c r="IDI33" i="6"/>
  <c r="IDH33" i="6"/>
  <c r="IDG33" i="6"/>
  <c r="IDF33" i="6"/>
  <c r="IDE33" i="6"/>
  <c r="IDD33" i="6"/>
  <c r="IDC33" i="6"/>
  <c r="IDB33" i="6"/>
  <c r="IDA33" i="6"/>
  <c r="ICZ33" i="6"/>
  <c r="ICY33" i="6"/>
  <c r="ICX33" i="6"/>
  <c r="ICW33" i="6"/>
  <c r="ICV33" i="6"/>
  <c r="ICU33" i="6"/>
  <c r="ICT33" i="6"/>
  <c r="ICS33" i="6"/>
  <c r="ICR33" i="6"/>
  <c r="ICQ33" i="6"/>
  <c r="ICP33" i="6"/>
  <c r="ICO33" i="6"/>
  <c r="ICN33" i="6"/>
  <c r="ICM33" i="6"/>
  <c r="ICL33" i="6"/>
  <c r="ICK33" i="6"/>
  <c r="ICJ33" i="6"/>
  <c r="ICI33" i="6"/>
  <c r="ICH33" i="6"/>
  <c r="ICG33" i="6"/>
  <c r="ICF33" i="6"/>
  <c r="ICE33" i="6"/>
  <c r="ICD33" i="6"/>
  <c r="ICC33" i="6"/>
  <c r="ICB33" i="6"/>
  <c r="ICA33" i="6"/>
  <c r="IBZ33" i="6"/>
  <c r="IBY33" i="6"/>
  <c r="IBX33" i="6"/>
  <c r="IBW33" i="6"/>
  <c r="IBV33" i="6"/>
  <c r="IBU33" i="6"/>
  <c r="IBT33" i="6"/>
  <c r="IBS33" i="6"/>
  <c r="IBR33" i="6"/>
  <c r="IBQ33" i="6"/>
  <c r="IBP33" i="6"/>
  <c r="IBO33" i="6"/>
  <c r="IBN33" i="6"/>
  <c r="IBM33" i="6"/>
  <c r="IBL33" i="6"/>
  <c r="IBK33" i="6"/>
  <c r="IBJ33" i="6"/>
  <c r="IBI33" i="6"/>
  <c r="IBH33" i="6"/>
  <c r="IBG33" i="6"/>
  <c r="IBF33" i="6"/>
  <c r="IBE33" i="6"/>
  <c r="IBD33" i="6"/>
  <c r="IBC33" i="6"/>
  <c r="IBB33" i="6"/>
  <c r="IBA33" i="6"/>
  <c r="IAZ33" i="6"/>
  <c r="IAY33" i="6"/>
  <c r="IAX33" i="6"/>
  <c r="IAW33" i="6"/>
  <c r="IAV33" i="6"/>
  <c r="IAU33" i="6"/>
  <c r="IAT33" i="6"/>
  <c r="IAS33" i="6"/>
  <c r="IAR33" i="6"/>
  <c r="IAQ33" i="6"/>
  <c r="IAP33" i="6"/>
  <c r="IAO33" i="6"/>
  <c r="IAN33" i="6"/>
  <c r="IAM33" i="6"/>
  <c r="IAL33" i="6"/>
  <c r="IAK33" i="6"/>
  <c r="IAJ33" i="6"/>
  <c r="IAI33" i="6"/>
  <c r="IAH33" i="6"/>
  <c r="IAG33" i="6"/>
  <c r="IAF33" i="6"/>
  <c r="IAE33" i="6"/>
  <c r="IAD33" i="6"/>
  <c r="IAC33" i="6"/>
  <c r="IAB33" i="6"/>
  <c r="IAA33" i="6"/>
  <c r="HZZ33" i="6"/>
  <c r="HZY33" i="6"/>
  <c r="HZX33" i="6"/>
  <c r="HZW33" i="6"/>
  <c r="HZV33" i="6"/>
  <c r="HZU33" i="6"/>
  <c r="HZT33" i="6"/>
  <c r="HZS33" i="6"/>
  <c r="HZR33" i="6"/>
  <c r="HZQ33" i="6"/>
  <c r="HZP33" i="6"/>
  <c r="HZO33" i="6"/>
  <c r="HZN33" i="6"/>
  <c r="HZM33" i="6"/>
  <c r="HZL33" i="6"/>
  <c r="HZK33" i="6"/>
  <c r="HZJ33" i="6"/>
  <c r="HZI33" i="6"/>
  <c r="HZH33" i="6"/>
  <c r="HZG33" i="6"/>
  <c r="HZF33" i="6"/>
  <c r="HZE33" i="6"/>
  <c r="HZD33" i="6"/>
  <c r="HZC33" i="6"/>
  <c r="HZB33" i="6"/>
  <c r="HZA33" i="6"/>
  <c r="HYZ33" i="6"/>
  <c r="HYY33" i="6"/>
  <c r="HYX33" i="6"/>
  <c r="HYW33" i="6"/>
  <c r="HYV33" i="6"/>
  <c r="HYU33" i="6"/>
  <c r="HYT33" i="6"/>
  <c r="HYS33" i="6"/>
  <c r="HYR33" i="6"/>
  <c r="HYQ33" i="6"/>
  <c r="HYP33" i="6"/>
  <c r="HYO33" i="6"/>
  <c r="HYN33" i="6"/>
  <c r="HYM33" i="6"/>
  <c r="HYL33" i="6"/>
  <c r="HYK33" i="6"/>
  <c r="HYJ33" i="6"/>
  <c r="HYI33" i="6"/>
  <c r="HYH33" i="6"/>
  <c r="HYG33" i="6"/>
  <c r="HYF33" i="6"/>
  <c r="HYE33" i="6"/>
  <c r="HYD33" i="6"/>
  <c r="HYC33" i="6"/>
  <c r="HYB33" i="6"/>
  <c r="HYA33" i="6"/>
  <c r="HXZ33" i="6"/>
  <c r="HXY33" i="6"/>
  <c r="HXX33" i="6"/>
  <c r="HXW33" i="6"/>
  <c r="HXV33" i="6"/>
  <c r="HXU33" i="6"/>
  <c r="HXT33" i="6"/>
  <c r="HXS33" i="6"/>
  <c r="HXR33" i="6"/>
  <c r="HXQ33" i="6"/>
  <c r="HXP33" i="6"/>
  <c r="HXO33" i="6"/>
  <c r="HXN33" i="6"/>
  <c r="HXM33" i="6"/>
  <c r="HXL33" i="6"/>
  <c r="HXK33" i="6"/>
  <c r="HXJ33" i="6"/>
  <c r="HXI33" i="6"/>
  <c r="HXH33" i="6"/>
  <c r="HXG33" i="6"/>
  <c r="HXF33" i="6"/>
  <c r="HXE33" i="6"/>
  <c r="HXD33" i="6"/>
  <c r="HXC33" i="6"/>
  <c r="HXB33" i="6"/>
  <c r="HXA33" i="6"/>
  <c r="HWZ33" i="6"/>
  <c r="HWY33" i="6"/>
  <c r="HWX33" i="6"/>
  <c r="HWW33" i="6"/>
  <c r="HWV33" i="6"/>
  <c r="HWU33" i="6"/>
  <c r="HWT33" i="6"/>
  <c r="HWS33" i="6"/>
  <c r="HWR33" i="6"/>
  <c r="HWQ33" i="6"/>
  <c r="HWP33" i="6"/>
  <c r="HWO33" i="6"/>
  <c r="HWN33" i="6"/>
  <c r="HWM33" i="6"/>
  <c r="HWL33" i="6"/>
  <c r="HWK33" i="6"/>
  <c r="HWJ33" i="6"/>
  <c r="HWI33" i="6"/>
  <c r="HWH33" i="6"/>
  <c r="HWG33" i="6"/>
  <c r="HWF33" i="6"/>
  <c r="HWE33" i="6"/>
  <c r="HWD33" i="6"/>
  <c r="HWC33" i="6"/>
  <c r="HWB33" i="6"/>
  <c r="HWA33" i="6"/>
  <c r="HVZ33" i="6"/>
  <c r="HVY33" i="6"/>
  <c r="HVX33" i="6"/>
  <c r="HVW33" i="6"/>
  <c r="HVV33" i="6"/>
  <c r="HVU33" i="6"/>
  <c r="HVT33" i="6"/>
  <c r="HVS33" i="6"/>
  <c r="HVR33" i="6"/>
  <c r="HVQ33" i="6"/>
  <c r="HVP33" i="6"/>
  <c r="HVO33" i="6"/>
  <c r="HVN33" i="6"/>
  <c r="HVM33" i="6"/>
  <c r="HVL33" i="6"/>
  <c r="HVK33" i="6"/>
  <c r="HVJ33" i="6"/>
  <c r="HVI33" i="6"/>
  <c r="HVH33" i="6"/>
  <c r="HVG33" i="6"/>
  <c r="HVF33" i="6"/>
  <c r="HVE33" i="6"/>
  <c r="HVD33" i="6"/>
  <c r="HVC33" i="6"/>
  <c r="HVB33" i="6"/>
  <c r="HVA33" i="6"/>
  <c r="HUZ33" i="6"/>
  <c r="HUY33" i="6"/>
  <c r="HUX33" i="6"/>
  <c r="HUW33" i="6"/>
  <c r="HUV33" i="6"/>
  <c r="HUU33" i="6"/>
  <c r="HUT33" i="6"/>
  <c r="HUS33" i="6"/>
  <c r="HUR33" i="6"/>
  <c r="HUQ33" i="6"/>
  <c r="HUP33" i="6"/>
  <c r="HUO33" i="6"/>
  <c r="HUN33" i="6"/>
  <c r="HUM33" i="6"/>
  <c r="HUL33" i="6"/>
  <c r="HUK33" i="6"/>
  <c r="HUJ33" i="6"/>
  <c r="HUI33" i="6"/>
  <c r="HUH33" i="6"/>
  <c r="HUG33" i="6"/>
  <c r="HUF33" i="6"/>
  <c r="HUE33" i="6"/>
  <c r="HUD33" i="6"/>
  <c r="HUC33" i="6"/>
  <c r="HUB33" i="6"/>
  <c r="HUA33" i="6"/>
  <c r="HTZ33" i="6"/>
  <c r="HTY33" i="6"/>
  <c r="HTX33" i="6"/>
  <c r="HTW33" i="6"/>
  <c r="HTV33" i="6"/>
  <c r="HTU33" i="6"/>
  <c r="HTT33" i="6"/>
  <c r="HTS33" i="6"/>
  <c r="HTR33" i="6"/>
  <c r="HTQ33" i="6"/>
  <c r="HTP33" i="6"/>
  <c r="HTO33" i="6"/>
  <c r="HTN33" i="6"/>
  <c r="HTM33" i="6"/>
  <c r="HTL33" i="6"/>
  <c r="HTK33" i="6"/>
  <c r="HTJ33" i="6"/>
  <c r="HTI33" i="6"/>
  <c r="HTH33" i="6"/>
  <c r="HTG33" i="6"/>
  <c r="HTF33" i="6"/>
  <c r="HTE33" i="6"/>
  <c r="HTD33" i="6"/>
  <c r="HTC33" i="6"/>
  <c r="HTB33" i="6"/>
  <c r="HTA33" i="6"/>
  <c r="HSZ33" i="6"/>
  <c r="HSY33" i="6"/>
  <c r="HSX33" i="6"/>
  <c r="HSW33" i="6"/>
  <c r="HSV33" i="6"/>
  <c r="HSU33" i="6"/>
  <c r="HST33" i="6"/>
  <c r="HSS33" i="6"/>
  <c r="HSR33" i="6"/>
  <c r="HSQ33" i="6"/>
  <c r="HSP33" i="6"/>
  <c r="HSO33" i="6"/>
  <c r="HSN33" i="6"/>
  <c r="HSM33" i="6"/>
  <c r="HSL33" i="6"/>
  <c r="HSK33" i="6"/>
  <c r="HSJ33" i="6"/>
  <c r="HSI33" i="6"/>
  <c r="HSH33" i="6"/>
  <c r="HSG33" i="6"/>
  <c r="HSF33" i="6"/>
  <c r="HSE33" i="6"/>
  <c r="HSD33" i="6"/>
  <c r="HSC33" i="6"/>
  <c r="HSB33" i="6"/>
  <c r="HSA33" i="6"/>
  <c r="HRZ33" i="6"/>
  <c r="HRY33" i="6"/>
  <c r="HRX33" i="6"/>
  <c r="HRW33" i="6"/>
  <c r="HRV33" i="6"/>
  <c r="HRU33" i="6"/>
  <c r="HRT33" i="6"/>
  <c r="HRS33" i="6"/>
  <c r="HRR33" i="6"/>
  <c r="HRQ33" i="6"/>
  <c r="HRP33" i="6"/>
  <c r="HRO33" i="6"/>
  <c r="HRN33" i="6"/>
  <c r="HRM33" i="6"/>
  <c r="HRL33" i="6"/>
  <c r="HRK33" i="6"/>
  <c r="HRJ33" i="6"/>
  <c r="HRI33" i="6"/>
  <c r="HRH33" i="6"/>
  <c r="HRG33" i="6"/>
  <c r="HRF33" i="6"/>
  <c r="HRE33" i="6"/>
  <c r="HRD33" i="6"/>
  <c r="HRC33" i="6"/>
  <c r="HRB33" i="6"/>
  <c r="HRA33" i="6"/>
  <c r="HQZ33" i="6"/>
  <c r="HQY33" i="6"/>
  <c r="HQX33" i="6"/>
  <c r="HQW33" i="6"/>
  <c r="HQV33" i="6"/>
  <c r="HQU33" i="6"/>
  <c r="HQT33" i="6"/>
  <c r="HQS33" i="6"/>
  <c r="HQR33" i="6"/>
  <c r="HQQ33" i="6"/>
  <c r="HQP33" i="6"/>
  <c r="HQO33" i="6"/>
  <c r="HQN33" i="6"/>
  <c r="HQM33" i="6"/>
  <c r="HQL33" i="6"/>
  <c r="HQK33" i="6"/>
  <c r="HQJ33" i="6"/>
  <c r="HQI33" i="6"/>
  <c r="HQH33" i="6"/>
  <c r="HQG33" i="6"/>
  <c r="HQF33" i="6"/>
  <c r="HQE33" i="6"/>
  <c r="HQD33" i="6"/>
  <c r="HQC33" i="6"/>
  <c r="HQB33" i="6"/>
  <c r="HQA33" i="6"/>
  <c r="HPZ33" i="6"/>
  <c r="HPY33" i="6"/>
  <c r="HPX33" i="6"/>
  <c r="HPW33" i="6"/>
  <c r="HPV33" i="6"/>
  <c r="HPU33" i="6"/>
  <c r="HPT33" i="6"/>
  <c r="HPS33" i="6"/>
  <c r="HPR33" i="6"/>
  <c r="HPQ33" i="6"/>
  <c r="HPP33" i="6"/>
  <c r="HPO33" i="6"/>
  <c r="HPN33" i="6"/>
  <c r="HPM33" i="6"/>
  <c r="HPL33" i="6"/>
  <c r="HPK33" i="6"/>
  <c r="HPJ33" i="6"/>
  <c r="HPI33" i="6"/>
  <c r="HPH33" i="6"/>
  <c r="HPG33" i="6"/>
  <c r="HPF33" i="6"/>
  <c r="HPE33" i="6"/>
  <c r="HPD33" i="6"/>
  <c r="HPC33" i="6"/>
  <c r="HPB33" i="6"/>
  <c r="HPA33" i="6"/>
  <c r="HOZ33" i="6"/>
  <c r="HOY33" i="6"/>
  <c r="HOX33" i="6"/>
  <c r="HOW33" i="6"/>
  <c r="HOV33" i="6"/>
  <c r="HOU33" i="6"/>
  <c r="HOT33" i="6"/>
  <c r="HOS33" i="6"/>
  <c r="HOR33" i="6"/>
  <c r="HOQ33" i="6"/>
  <c r="HOP33" i="6"/>
  <c r="HOO33" i="6"/>
  <c r="HON33" i="6"/>
  <c r="HOM33" i="6"/>
  <c r="HOL33" i="6"/>
  <c r="HOK33" i="6"/>
  <c r="HOJ33" i="6"/>
  <c r="HOI33" i="6"/>
  <c r="HOH33" i="6"/>
  <c r="HOG33" i="6"/>
  <c r="HOF33" i="6"/>
  <c r="HOE33" i="6"/>
  <c r="HOD33" i="6"/>
  <c r="HOC33" i="6"/>
  <c r="HOB33" i="6"/>
  <c r="HOA33" i="6"/>
  <c r="HNZ33" i="6"/>
  <c r="HNY33" i="6"/>
  <c r="HNX33" i="6"/>
  <c r="HNW33" i="6"/>
  <c r="HNV33" i="6"/>
  <c r="HNU33" i="6"/>
  <c r="HNT33" i="6"/>
  <c r="HNS33" i="6"/>
  <c r="HNR33" i="6"/>
  <c r="HNQ33" i="6"/>
  <c r="HNP33" i="6"/>
  <c r="HNO33" i="6"/>
  <c r="HNN33" i="6"/>
  <c r="HNM33" i="6"/>
  <c r="HNL33" i="6"/>
  <c r="HNK33" i="6"/>
  <c r="HNJ33" i="6"/>
  <c r="HNI33" i="6"/>
  <c r="HNH33" i="6"/>
  <c r="HNG33" i="6"/>
  <c r="HNF33" i="6"/>
  <c r="HNE33" i="6"/>
  <c r="HND33" i="6"/>
  <c r="HNC33" i="6"/>
  <c r="HNB33" i="6"/>
  <c r="HNA33" i="6"/>
  <c r="HMZ33" i="6"/>
  <c r="HMY33" i="6"/>
  <c r="HMX33" i="6"/>
  <c r="HMW33" i="6"/>
  <c r="HMV33" i="6"/>
  <c r="HMU33" i="6"/>
  <c r="HMT33" i="6"/>
  <c r="HMS33" i="6"/>
  <c r="HMR33" i="6"/>
  <c r="HMQ33" i="6"/>
  <c r="HMP33" i="6"/>
  <c r="HMO33" i="6"/>
  <c r="HMN33" i="6"/>
  <c r="HMM33" i="6"/>
  <c r="HML33" i="6"/>
  <c r="HMK33" i="6"/>
  <c r="HMJ33" i="6"/>
  <c r="HMI33" i="6"/>
  <c r="HMH33" i="6"/>
  <c r="HMG33" i="6"/>
  <c r="HMF33" i="6"/>
  <c r="HME33" i="6"/>
  <c r="HMD33" i="6"/>
  <c r="HMC33" i="6"/>
  <c r="HMB33" i="6"/>
  <c r="HMA33" i="6"/>
  <c r="HLZ33" i="6"/>
  <c r="HLY33" i="6"/>
  <c r="HLX33" i="6"/>
  <c r="HLW33" i="6"/>
  <c r="HLV33" i="6"/>
  <c r="HLU33" i="6"/>
  <c r="HLT33" i="6"/>
  <c r="HLS33" i="6"/>
  <c r="HLR33" i="6"/>
  <c r="HLQ33" i="6"/>
  <c r="HLP33" i="6"/>
  <c r="HLO33" i="6"/>
  <c r="HLN33" i="6"/>
  <c r="HLM33" i="6"/>
  <c r="HLL33" i="6"/>
  <c r="HLK33" i="6"/>
  <c r="HLJ33" i="6"/>
  <c r="HLI33" i="6"/>
  <c r="HLH33" i="6"/>
  <c r="HLG33" i="6"/>
  <c r="HLF33" i="6"/>
  <c r="HLE33" i="6"/>
  <c r="HLD33" i="6"/>
  <c r="HLC33" i="6"/>
  <c r="HLB33" i="6"/>
  <c r="HLA33" i="6"/>
  <c r="HKZ33" i="6"/>
  <c r="HKY33" i="6"/>
  <c r="HKX33" i="6"/>
  <c r="HKW33" i="6"/>
  <c r="HKV33" i="6"/>
  <c r="HKU33" i="6"/>
  <c r="HKT33" i="6"/>
  <c r="HKS33" i="6"/>
  <c r="HKR33" i="6"/>
  <c r="HKQ33" i="6"/>
  <c r="HKP33" i="6"/>
  <c r="HKO33" i="6"/>
  <c r="HKN33" i="6"/>
  <c r="HKM33" i="6"/>
  <c r="HKL33" i="6"/>
  <c r="HKK33" i="6"/>
  <c r="HKJ33" i="6"/>
  <c r="HKI33" i="6"/>
  <c r="HKH33" i="6"/>
  <c r="HKG33" i="6"/>
  <c r="HKF33" i="6"/>
  <c r="HKE33" i="6"/>
  <c r="HKD33" i="6"/>
  <c r="HKC33" i="6"/>
  <c r="HKB33" i="6"/>
  <c r="HKA33" i="6"/>
  <c r="HJZ33" i="6"/>
  <c r="HJY33" i="6"/>
  <c r="HJX33" i="6"/>
  <c r="HJW33" i="6"/>
  <c r="HJV33" i="6"/>
  <c r="HJU33" i="6"/>
  <c r="HJT33" i="6"/>
  <c r="HJS33" i="6"/>
  <c r="HJR33" i="6"/>
  <c r="HJQ33" i="6"/>
  <c r="HJP33" i="6"/>
  <c r="HJO33" i="6"/>
  <c r="HJN33" i="6"/>
  <c r="HJM33" i="6"/>
  <c r="HJL33" i="6"/>
  <c r="HJK33" i="6"/>
  <c r="HJJ33" i="6"/>
  <c r="HJI33" i="6"/>
  <c r="HJH33" i="6"/>
  <c r="HJG33" i="6"/>
  <c r="HJF33" i="6"/>
  <c r="HJE33" i="6"/>
  <c r="HJD33" i="6"/>
  <c r="HJC33" i="6"/>
  <c r="HJB33" i="6"/>
  <c r="HJA33" i="6"/>
  <c r="HIZ33" i="6"/>
  <c r="HIY33" i="6"/>
  <c r="HIX33" i="6"/>
  <c r="HIW33" i="6"/>
  <c r="HIV33" i="6"/>
  <c r="HIU33" i="6"/>
  <c r="HIT33" i="6"/>
  <c r="HIS33" i="6"/>
  <c r="HIR33" i="6"/>
  <c r="HIQ33" i="6"/>
  <c r="HIP33" i="6"/>
  <c r="HIO33" i="6"/>
  <c r="HIN33" i="6"/>
  <c r="HIM33" i="6"/>
  <c r="HIL33" i="6"/>
  <c r="HIK33" i="6"/>
  <c r="HIJ33" i="6"/>
  <c r="HII33" i="6"/>
  <c r="HIH33" i="6"/>
  <c r="HIG33" i="6"/>
  <c r="HIF33" i="6"/>
  <c r="HIE33" i="6"/>
  <c r="HID33" i="6"/>
  <c r="HIC33" i="6"/>
  <c r="HIB33" i="6"/>
  <c r="HIA33" i="6"/>
  <c r="HHZ33" i="6"/>
  <c r="HHY33" i="6"/>
  <c r="HHX33" i="6"/>
  <c r="HHW33" i="6"/>
  <c r="HHV33" i="6"/>
  <c r="HHU33" i="6"/>
  <c r="HHT33" i="6"/>
  <c r="HHS33" i="6"/>
  <c r="HHR33" i="6"/>
  <c r="HHQ33" i="6"/>
  <c r="HHP33" i="6"/>
  <c r="HHO33" i="6"/>
  <c r="HHN33" i="6"/>
  <c r="HHM33" i="6"/>
  <c r="HHL33" i="6"/>
  <c r="HHK33" i="6"/>
  <c r="HHJ33" i="6"/>
  <c r="HHI33" i="6"/>
  <c r="HHH33" i="6"/>
  <c r="HHG33" i="6"/>
  <c r="HHF33" i="6"/>
  <c r="HHE33" i="6"/>
  <c r="HHD33" i="6"/>
  <c r="HHC33" i="6"/>
  <c r="HHB33" i="6"/>
  <c r="HHA33" i="6"/>
  <c r="HGZ33" i="6"/>
  <c r="HGY33" i="6"/>
  <c r="HGX33" i="6"/>
  <c r="HGW33" i="6"/>
  <c r="HGV33" i="6"/>
  <c r="HGU33" i="6"/>
  <c r="HGT33" i="6"/>
  <c r="HGS33" i="6"/>
  <c r="HGR33" i="6"/>
  <c r="HGQ33" i="6"/>
  <c r="HGP33" i="6"/>
  <c r="HGO33" i="6"/>
  <c r="HGN33" i="6"/>
  <c r="HGM33" i="6"/>
  <c r="HGL33" i="6"/>
  <c r="HGK33" i="6"/>
  <c r="HGJ33" i="6"/>
  <c r="HGI33" i="6"/>
  <c r="HGH33" i="6"/>
  <c r="HGG33" i="6"/>
  <c r="HGF33" i="6"/>
  <c r="HGE33" i="6"/>
  <c r="HGD33" i="6"/>
  <c r="HGC33" i="6"/>
  <c r="HGB33" i="6"/>
  <c r="HGA33" i="6"/>
  <c r="HFZ33" i="6"/>
  <c r="HFY33" i="6"/>
  <c r="HFX33" i="6"/>
  <c r="HFW33" i="6"/>
  <c r="HFV33" i="6"/>
  <c r="HFU33" i="6"/>
  <c r="HFT33" i="6"/>
  <c r="HFS33" i="6"/>
  <c r="HFR33" i="6"/>
  <c r="HFQ33" i="6"/>
  <c r="HFP33" i="6"/>
  <c r="HFO33" i="6"/>
  <c r="HFN33" i="6"/>
  <c r="HFM33" i="6"/>
  <c r="HFL33" i="6"/>
  <c r="HFK33" i="6"/>
  <c r="HFJ33" i="6"/>
  <c r="HFI33" i="6"/>
  <c r="HFH33" i="6"/>
  <c r="HFG33" i="6"/>
  <c r="HFF33" i="6"/>
  <c r="HFE33" i="6"/>
  <c r="HFD33" i="6"/>
  <c r="HFC33" i="6"/>
  <c r="HFB33" i="6"/>
  <c r="HFA33" i="6"/>
  <c r="HEZ33" i="6"/>
  <c r="HEY33" i="6"/>
  <c r="HEX33" i="6"/>
  <c r="HEW33" i="6"/>
  <c r="HEV33" i="6"/>
  <c r="HEU33" i="6"/>
  <c r="HET33" i="6"/>
  <c r="HES33" i="6"/>
  <c r="HER33" i="6"/>
  <c r="HEQ33" i="6"/>
  <c r="HEP33" i="6"/>
  <c r="HEO33" i="6"/>
  <c r="HEN33" i="6"/>
  <c r="HEM33" i="6"/>
  <c r="HEL33" i="6"/>
  <c r="HEK33" i="6"/>
  <c r="HEJ33" i="6"/>
  <c r="HEI33" i="6"/>
  <c r="HEH33" i="6"/>
  <c r="HEG33" i="6"/>
  <c r="HEF33" i="6"/>
  <c r="HEE33" i="6"/>
  <c r="HED33" i="6"/>
  <c r="HEC33" i="6"/>
  <c r="HEB33" i="6"/>
  <c r="HEA33" i="6"/>
  <c r="HDZ33" i="6"/>
  <c r="HDY33" i="6"/>
  <c r="HDX33" i="6"/>
  <c r="HDW33" i="6"/>
  <c r="HDV33" i="6"/>
  <c r="HDU33" i="6"/>
  <c r="HDT33" i="6"/>
  <c r="HDS33" i="6"/>
  <c r="HDR33" i="6"/>
  <c r="HDQ33" i="6"/>
  <c r="HDP33" i="6"/>
  <c r="HDO33" i="6"/>
  <c r="HDN33" i="6"/>
  <c r="HDM33" i="6"/>
  <c r="HDL33" i="6"/>
  <c r="HDK33" i="6"/>
  <c r="HDJ33" i="6"/>
  <c r="HDI33" i="6"/>
  <c r="HDH33" i="6"/>
  <c r="HDG33" i="6"/>
  <c r="HDF33" i="6"/>
  <c r="HDE33" i="6"/>
  <c r="HDD33" i="6"/>
  <c r="HDC33" i="6"/>
  <c r="HDB33" i="6"/>
  <c r="HDA33" i="6"/>
  <c r="HCZ33" i="6"/>
  <c r="HCY33" i="6"/>
  <c r="HCX33" i="6"/>
  <c r="HCW33" i="6"/>
  <c r="HCV33" i="6"/>
  <c r="HCU33" i="6"/>
  <c r="HCT33" i="6"/>
  <c r="HCS33" i="6"/>
  <c r="HCR33" i="6"/>
  <c r="HCQ33" i="6"/>
  <c r="HCP33" i="6"/>
  <c r="HCO33" i="6"/>
  <c r="HCN33" i="6"/>
  <c r="HCM33" i="6"/>
  <c r="HCL33" i="6"/>
  <c r="HCK33" i="6"/>
  <c r="HCJ33" i="6"/>
  <c r="HCI33" i="6"/>
  <c r="HCH33" i="6"/>
  <c r="HCG33" i="6"/>
  <c r="HCF33" i="6"/>
  <c r="HCE33" i="6"/>
  <c r="HCD33" i="6"/>
  <c r="HCC33" i="6"/>
  <c r="HCB33" i="6"/>
  <c r="HCA33" i="6"/>
  <c r="HBZ33" i="6"/>
  <c r="HBY33" i="6"/>
  <c r="HBX33" i="6"/>
  <c r="HBW33" i="6"/>
  <c r="HBV33" i="6"/>
  <c r="HBU33" i="6"/>
  <c r="HBT33" i="6"/>
  <c r="HBS33" i="6"/>
  <c r="HBR33" i="6"/>
  <c r="HBQ33" i="6"/>
  <c r="HBP33" i="6"/>
  <c r="HBO33" i="6"/>
  <c r="HBN33" i="6"/>
  <c r="HBM33" i="6"/>
  <c r="HBL33" i="6"/>
  <c r="HBK33" i="6"/>
  <c r="HBJ33" i="6"/>
  <c r="HBI33" i="6"/>
  <c r="HBH33" i="6"/>
  <c r="HBG33" i="6"/>
  <c r="HBF33" i="6"/>
  <c r="HBE33" i="6"/>
  <c r="HBD33" i="6"/>
  <c r="HBC33" i="6"/>
  <c r="HBB33" i="6"/>
  <c r="HBA33" i="6"/>
  <c r="HAZ33" i="6"/>
  <c r="HAY33" i="6"/>
  <c r="HAX33" i="6"/>
  <c r="HAW33" i="6"/>
  <c r="HAV33" i="6"/>
  <c r="HAU33" i="6"/>
  <c r="HAT33" i="6"/>
  <c r="HAS33" i="6"/>
  <c r="HAR33" i="6"/>
  <c r="HAQ33" i="6"/>
  <c r="HAP33" i="6"/>
  <c r="HAO33" i="6"/>
  <c r="HAN33" i="6"/>
  <c r="HAM33" i="6"/>
  <c r="HAL33" i="6"/>
  <c r="HAK33" i="6"/>
  <c r="HAJ33" i="6"/>
  <c r="HAI33" i="6"/>
  <c r="HAH33" i="6"/>
  <c r="HAG33" i="6"/>
  <c r="HAF33" i="6"/>
  <c r="HAE33" i="6"/>
  <c r="HAD33" i="6"/>
  <c r="HAC33" i="6"/>
  <c r="HAB33" i="6"/>
  <c r="HAA33" i="6"/>
  <c r="GZZ33" i="6"/>
  <c r="GZY33" i="6"/>
  <c r="GZX33" i="6"/>
  <c r="GZW33" i="6"/>
  <c r="GZV33" i="6"/>
  <c r="GZU33" i="6"/>
  <c r="GZT33" i="6"/>
  <c r="GZS33" i="6"/>
  <c r="GZR33" i="6"/>
  <c r="GZQ33" i="6"/>
  <c r="GZP33" i="6"/>
  <c r="GZO33" i="6"/>
  <c r="GZN33" i="6"/>
  <c r="GZM33" i="6"/>
  <c r="GZL33" i="6"/>
  <c r="GZK33" i="6"/>
  <c r="GZJ33" i="6"/>
  <c r="GZI33" i="6"/>
  <c r="GZH33" i="6"/>
  <c r="GZG33" i="6"/>
  <c r="GZF33" i="6"/>
  <c r="GZE33" i="6"/>
  <c r="GZD33" i="6"/>
  <c r="GZC33" i="6"/>
  <c r="GZB33" i="6"/>
  <c r="GZA33" i="6"/>
  <c r="GYZ33" i="6"/>
  <c r="GYY33" i="6"/>
  <c r="GYX33" i="6"/>
  <c r="GYW33" i="6"/>
  <c r="GYV33" i="6"/>
  <c r="GYU33" i="6"/>
  <c r="GYT33" i="6"/>
  <c r="GYS33" i="6"/>
  <c r="GYR33" i="6"/>
  <c r="GYQ33" i="6"/>
  <c r="GYP33" i="6"/>
  <c r="GYO33" i="6"/>
  <c r="GYN33" i="6"/>
  <c r="GYM33" i="6"/>
  <c r="GYL33" i="6"/>
  <c r="GYK33" i="6"/>
  <c r="GYJ33" i="6"/>
  <c r="GYI33" i="6"/>
  <c r="GYH33" i="6"/>
  <c r="GYG33" i="6"/>
  <c r="GYF33" i="6"/>
  <c r="GYE33" i="6"/>
  <c r="GYD33" i="6"/>
  <c r="GYC33" i="6"/>
  <c r="GYB33" i="6"/>
  <c r="GYA33" i="6"/>
  <c r="GXZ33" i="6"/>
  <c r="GXY33" i="6"/>
  <c r="GXX33" i="6"/>
  <c r="GXW33" i="6"/>
  <c r="GXV33" i="6"/>
  <c r="GXU33" i="6"/>
  <c r="GXT33" i="6"/>
  <c r="GXS33" i="6"/>
  <c r="GXR33" i="6"/>
  <c r="GXQ33" i="6"/>
  <c r="GXP33" i="6"/>
  <c r="GXO33" i="6"/>
  <c r="GXN33" i="6"/>
  <c r="GXM33" i="6"/>
  <c r="GXL33" i="6"/>
  <c r="GXK33" i="6"/>
  <c r="GXJ33" i="6"/>
  <c r="GXI33" i="6"/>
  <c r="GXH33" i="6"/>
  <c r="GXG33" i="6"/>
  <c r="GXF33" i="6"/>
  <c r="GXE33" i="6"/>
  <c r="GXD33" i="6"/>
  <c r="GXC33" i="6"/>
  <c r="GXB33" i="6"/>
  <c r="GXA33" i="6"/>
  <c r="GWZ33" i="6"/>
  <c r="GWY33" i="6"/>
  <c r="GWX33" i="6"/>
  <c r="GWW33" i="6"/>
  <c r="GWV33" i="6"/>
  <c r="GWU33" i="6"/>
  <c r="GWT33" i="6"/>
  <c r="GWS33" i="6"/>
  <c r="GWR33" i="6"/>
  <c r="GWQ33" i="6"/>
  <c r="GWP33" i="6"/>
  <c r="GWO33" i="6"/>
  <c r="GWN33" i="6"/>
  <c r="GWM33" i="6"/>
  <c r="GWL33" i="6"/>
  <c r="GWK33" i="6"/>
  <c r="GWJ33" i="6"/>
  <c r="GWI33" i="6"/>
  <c r="GWH33" i="6"/>
  <c r="GWG33" i="6"/>
  <c r="GWF33" i="6"/>
  <c r="GWE33" i="6"/>
  <c r="GWD33" i="6"/>
  <c r="GWC33" i="6"/>
  <c r="GWB33" i="6"/>
  <c r="GWA33" i="6"/>
  <c r="GVZ33" i="6"/>
  <c r="GVY33" i="6"/>
  <c r="GVX33" i="6"/>
  <c r="GVW33" i="6"/>
  <c r="GVV33" i="6"/>
  <c r="GVU33" i="6"/>
  <c r="GVT33" i="6"/>
  <c r="GVS33" i="6"/>
  <c r="GVR33" i="6"/>
  <c r="GVQ33" i="6"/>
  <c r="GVP33" i="6"/>
  <c r="GVO33" i="6"/>
  <c r="GVN33" i="6"/>
  <c r="GVM33" i="6"/>
  <c r="GVL33" i="6"/>
  <c r="GVK33" i="6"/>
  <c r="GVJ33" i="6"/>
  <c r="GVI33" i="6"/>
  <c r="GVH33" i="6"/>
  <c r="GVG33" i="6"/>
  <c r="GVF33" i="6"/>
  <c r="GVE33" i="6"/>
  <c r="GVD33" i="6"/>
  <c r="GVC33" i="6"/>
  <c r="GVB33" i="6"/>
  <c r="GVA33" i="6"/>
  <c r="GUZ33" i="6"/>
  <c r="GUY33" i="6"/>
  <c r="GUX33" i="6"/>
  <c r="GUW33" i="6"/>
  <c r="GUV33" i="6"/>
  <c r="GUU33" i="6"/>
  <c r="GUT33" i="6"/>
  <c r="GUS33" i="6"/>
  <c r="GUR33" i="6"/>
  <c r="GUQ33" i="6"/>
  <c r="GUP33" i="6"/>
  <c r="GUO33" i="6"/>
  <c r="GUN33" i="6"/>
  <c r="GUM33" i="6"/>
  <c r="GUL33" i="6"/>
  <c r="GUK33" i="6"/>
  <c r="GUJ33" i="6"/>
  <c r="GUI33" i="6"/>
  <c r="GUH33" i="6"/>
  <c r="GUG33" i="6"/>
  <c r="GUF33" i="6"/>
  <c r="GUE33" i="6"/>
  <c r="GUD33" i="6"/>
  <c r="GUC33" i="6"/>
  <c r="GUB33" i="6"/>
  <c r="GUA33" i="6"/>
  <c r="GTZ33" i="6"/>
  <c r="GTY33" i="6"/>
  <c r="GTX33" i="6"/>
  <c r="GTW33" i="6"/>
  <c r="GTV33" i="6"/>
  <c r="GTU33" i="6"/>
  <c r="GTT33" i="6"/>
  <c r="GTS33" i="6"/>
  <c r="GTR33" i="6"/>
  <c r="GTQ33" i="6"/>
  <c r="GTP33" i="6"/>
  <c r="GTO33" i="6"/>
  <c r="GTN33" i="6"/>
  <c r="GTM33" i="6"/>
  <c r="GTL33" i="6"/>
  <c r="GTK33" i="6"/>
  <c r="GTJ33" i="6"/>
  <c r="GTI33" i="6"/>
  <c r="GTH33" i="6"/>
  <c r="GTG33" i="6"/>
  <c r="GTF33" i="6"/>
  <c r="GTE33" i="6"/>
  <c r="GTD33" i="6"/>
  <c r="GTC33" i="6"/>
  <c r="GTB33" i="6"/>
  <c r="GTA33" i="6"/>
  <c r="GSZ33" i="6"/>
  <c r="GSY33" i="6"/>
  <c r="GSX33" i="6"/>
  <c r="GSW33" i="6"/>
  <c r="GSV33" i="6"/>
  <c r="GSU33" i="6"/>
  <c r="GST33" i="6"/>
  <c r="GSS33" i="6"/>
  <c r="GSR33" i="6"/>
  <c r="GSQ33" i="6"/>
  <c r="GSP33" i="6"/>
  <c r="GSO33" i="6"/>
  <c r="GSN33" i="6"/>
  <c r="GSM33" i="6"/>
  <c r="GSL33" i="6"/>
  <c r="GSK33" i="6"/>
  <c r="GSJ33" i="6"/>
  <c r="GSI33" i="6"/>
  <c r="GSH33" i="6"/>
  <c r="GSG33" i="6"/>
  <c r="GSF33" i="6"/>
  <c r="GSE33" i="6"/>
  <c r="GSD33" i="6"/>
  <c r="GSC33" i="6"/>
  <c r="GSB33" i="6"/>
  <c r="GSA33" i="6"/>
  <c r="GRZ33" i="6"/>
  <c r="GRY33" i="6"/>
  <c r="GRX33" i="6"/>
  <c r="GRW33" i="6"/>
  <c r="GRV33" i="6"/>
  <c r="GRU33" i="6"/>
  <c r="GRT33" i="6"/>
  <c r="GRS33" i="6"/>
  <c r="GRR33" i="6"/>
  <c r="GRQ33" i="6"/>
  <c r="GRP33" i="6"/>
  <c r="GRO33" i="6"/>
  <c r="GRN33" i="6"/>
  <c r="GRM33" i="6"/>
  <c r="GRL33" i="6"/>
  <c r="GRK33" i="6"/>
  <c r="GRJ33" i="6"/>
  <c r="GRI33" i="6"/>
  <c r="GRH33" i="6"/>
  <c r="GRG33" i="6"/>
  <c r="GRF33" i="6"/>
  <c r="GRE33" i="6"/>
  <c r="GRD33" i="6"/>
  <c r="GRC33" i="6"/>
  <c r="GRB33" i="6"/>
  <c r="GRA33" i="6"/>
  <c r="GQZ33" i="6"/>
  <c r="GQY33" i="6"/>
  <c r="GQX33" i="6"/>
  <c r="GQW33" i="6"/>
  <c r="GQV33" i="6"/>
  <c r="GQU33" i="6"/>
  <c r="GQT33" i="6"/>
  <c r="GQS33" i="6"/>
  <c r="GQR33" i="6"/>
  <c r="GQQ33" i="6"/>
  <c r="GQP33" i="6"/>
  <c r="GQO33" i="6"/>
  <c r="GQN33" i="6"/>
  <c r="GQM33" i="6"/>
  <c r="GQL33" i="6"/>
  <c r="GQK33" i="6"/>
  <c r="GQJ33" i="6"/>
  <c r="GQI33" i="6"/>
  <c r="GQH33" i="6"/>
  <c r="GQG33" i="6"/>
  <c r="GQF33" i="6"/>
  <c r="GQE33" i="6"/>
  <c r="GQD33" i="6"/>
  <c r="GQC33" i="6"/>
  <c r="GQB33" i="6"/>
  <c r="GQA33" i="6"/>
  <c r="GPZ33" i="6"/>
  <c r="GPY33" i="6"/>
  <c r="GPX33" i="6"/>
  <c r="GPW33" i="6"/>
  <c r="GPV33" i="6"/>
  <c r="GPU33" i="6"/>
  <c r="GPT33" i="6"/>
  <c r="GPS33" i="6"/>
  <c r="GPR33" i="6"/>
  <c r="GPQ33" i="6"/>
  <c r="GPP33" i="6"/>
  <c r="GPO33" i="6"/>
  <c r="GPN33" i="6"/>
  <c r="GPM33" i="6"/>
  <c r="GPL33" i="6"/>
  <c r="GPK33" i="6"/>
  <c r="GPJ33" i="6"/>
  <c r="GPI33" i="6"/>
  <c r="GPH33" i="6"/>
  <c r="GPG33" i="6"/>
  <c r="GPF33" i="6"/>
  <c r="GPE33" i="6"/>
  <c r="GPD33" i="6"/>
  <c r="GPC33" i="6"/>
  <c r="GPB33" i="6"/>
  <c r="GPA33" i="6"/>
  <c r="GOZ33" i="6"/>
  <c r="GOY33" i="6"/>
  <c r="GOX33" i="6"/>
  <c r="GOW33" i="6"/>
  <c r="GOV33" i="6"/>
  <c r="GOU33" i="6"/>
  <c r="GOT33" i="6"/>
  <c r="GOS33" i="6"/>
  <c r="GOR33" i="6"/>
  <c r="GOQ33" i="6"/>
  <c r="GOP33" i="6"/>
  <c r="GOO33" i="6"/>
  <c r="GON33" i="6"/>
  <c r="GOM33" i="6"/>
  <c r="GOL33" i="6"/>
  <c r="GOK33" i="6"/>
  <c r="GOJ33" i="6"/>
  <c r="GOI33" i="6"/>
  <c r="GOH33" i="6"/>
  <c r="GOG33" i="6"/>
  <c r="GOF33" i="6"/>
  <c r="GOE33" i="6"/>
  <c r="GOD33" i="6"/>
  <c r="GOC33" i="6"/>
  <c r="GOB33" i="6"/>
  <c r="GOA33" i="6"/>
  <c r="GNZ33" i="6"/>
  <c r="GNY33" i="6"/>
  <c r="GNX33" i="6"/>
  <c r="GNW33" i="6"/>
  <c r="GNV33" i="6"/>
  <c r="GNU33" i="6"/>
  <c r="GNT33" i="6"/>
  <c r="GNS33" i="6"/>
  <c r="GNR33" i="6"/>
  <c r="GNQ33" i="6"/>
  <c r="GNP33" i="6"/>
  <c r="GNO33" i="6"/>
  <c r="GNN33" i="6"/>
  <c r="GNM33" i="6"/>
  <c r="GNL33" i="6"/>
  <c r="GNK33" i="6"/>
  <c r="GNJ33" i="6"/>
  <c r="GNI33" i="6"/>
  <c r="GNH33" i="6"/>
  <c r="GNG33" i="6"/>
  <c r="GNF33" i="6"/>
  <c r="GNE33" i="6"/>
  <c r="GND33" i="6"/>
  <c r="GNC33" i="6"/>
  <c r="GNB33" i="6"/>
  <c r="GNA33" i="6"/>
  <c r="GMZ33" i="6"/>
  <c r="GMY33" i="6"/>
  <c r="GMX33" i="6"/>
  <c r="GMW33" i="6"/>
  <c r="GMV33" i="6"/>
  <c r="GMU33" i="6"/>
  <c r="GMT33" i="6"/>
  <c r="GMS33" i="6"/>
  <c r="GMR33" i="6"/>
  <c r="GMQ33" i="6"/>
  <c r="GMP33" i="6"/>
  <c r="GMO33" i="6"/>
  <c r="GMN33" i="6"/>
  <c r="GMM33" i="6"/>
  <c r="GML33" i="6"/>
  <c r="GMK33" i="6"/>
  <c r="GMJ33" i="6"/>
  <c r="GMI33" i="6"/>
  <c r="GMH33" i="6"/>
  <c r="GMG33" i="6"/>
  <c r="GMF33" i="6"/>
  <c r="GME33" i="6"/>
  <c r="GMD33" i="6"/>
  <c r="GMC33" i="6"/>
  <c r="GMB33" i="6"/>
  <c r="GMA33" i="6"/>
  <c r="GLZ33" i="6"/>
  <c r="GLY33" i="6"/>
  <c r="GLX33" i="6"/>
  <c r="GLW33" i="6"/>
  <c r="GLV33" i="6"/>
  <c r="GLU33" i="6"/>
  <c r="GLT33" i="6"/>
  <c r="GLS33" i="6"/>
  <c r="GLR33" i="6"/>
  <c r="GLQ33" i="6"/>
  <c r="GLP33" i="6"/>
  <c r="GLO33" i="6"/>
  <c r="GLN33" i="6"/>
  <c r="GLM33" i="6"/>
  <c r="GLL33" i="6"/>
  <c r="GLK33" i="6"/>
  <c r="GLJ33" i="6"/>
  <c r="GLI33" i="6"/>
  <c r="GLH33" i="6"/>
  <c r="GLG33" i="6"/>
  <c r="GLF33" i="6"/>
  <c r="GLE33" i="6"/>
  <c r="GLD33" i="6"/>
  <c r="GLC33" i="6"/>
  <c r="GLB33" i="6"/>
  <c r="GLA33" i="6"/>
  <c r="GKZ33" i="6"/>
  <c r="GKY33" i="6"/>
  <c r="GKX33" i="6"/>
  <c r="GKW33" i="6"/>
  <c r="GKV33" i="6"/>
  <c r="GKU33" i="6"/>
  <c r="GKT33" i="6"/>
  <c r="GKS33" i="6"/>
  <c r="GKR33" i="6"/>
  <c r="GKQ33" i="6"/>
  <c r="GKP33" i="6"/>
  <c r="GKO33" i="6"/>
  <c r="GKN33" i="6"/>
  <c r="GKM33" i="6"/>
  <c r="GKL33" i="6"/>
  <c r="GKK33" i="6"/>
  <c r="GKJ33" i="6"/>
  <c r="GKI33" i="6"/>
  <c r="GKH33" i="6"/>
  <c r="GKG33" i="6"/>
  <c r="GKF33" i="6"/>
  <c r="GKE33" i="6"/>
  <c r="GKD33" i="6"/>
  <c r="GKC33" i="6"/>
  <c r="GKB33" i="6"/>
  <c r="GKA33" i="6"/>
  <c r="GJZ33" i="6"/>
  <c r="GJY33" i="6"/>
  <c r="GJX33" i="6"/>
  <c r="GJW33" i="6"/>
  <c r="GJV33" i="6"/>
  <c r="GJU33" i="6"/>
  <c r="GJT33" i="6"/>
  <c r="GJS33" i="6"/>
  <c r="GJR33" i="6"/>
  <c r="GJQ33" i="6"/>
  <c r="GJP33" i="6"/>
  <c r="GJO33" i="6"/>
  <c r="GJN33" i="6"/>
  <c r="GJM33" i="6"/>
  <c r="GJL33" i="6"/>
  <c r="GJK33" i="6"/>
  <c r="GJJ33" i="6"/>
  <c r="GJI33" i="6"/>
  <c r="GJH33" i="6"/>
  <c r="GJG33" i="6"/>
  <c r="GJF33" i="6"/>
  <c r="GJE33" i="6"/>
  <c r="GJD33" i="6"/>
  <c r="GJC33" i="6"/>
  <c r="GJB33" i="6"/>
  <c r="GJA33" i="6"/>
  <c r="GIZ33" i="6"/>
  <c r="GIY33" i="6"/>
  <c r="GIX33" i="6"/>
  <c r="GIW33" i="6"/>
  <c r="GIV33" i="6"/>
  <c r="GIU33" i="6"/>
  <c r="GIT33" i="6"/>
  <c r="GIS33" i="6"/>
  <c r="GIR33" i="6"/>
  <c r="GIQ33" i="6"/>
  <c r="GIP33" i="6"/>
  <c r="GIO33" i="6"/>
  <c r="GIN33" i="6"/>
  <c r="GIM33" i="6"/>
  <c r="GIL33" i="6"/>
  <c r="GIK33" i="6"/>
  <c r="GIJ33" i="6"/>
  <c r="GII33" i="6"/>
  <c r="GIH33" i="6"/>
  <c r="GIG33" i="6"/>
  <c r="GIF33" i="6"/>
  <c r="GIE33" i="6"/>
  <c r="GID33" i="6"/>
  <c r="GIC33" i="6"/>
  <c r="GIB33" i="6"/>
  <c r="GIA33" i="6"/>
  <c r="GHZ33" i="6"/>
  <c r="GHY33" i="6"/>
  <c r="GHX33" i="6"/>
  <c r="GHW33" i="6"/>
  <c r="GHV33" i="6"/>
  <c r="GHU33" i="6"/>
  <c r="GHT33" i="6"/>
  <c r="GHS33" i="6"/>
  <c r="GHR33" i="6"/>
  <c r="GHQ33" i="6"/>
  <c r="GHP33" i="6"/>
  <c r="GHO33" i="6"/>
  <c r="GHN33" i="6"/>
  <c r="GHM33" i="6"/>
  <c r="GHL33" i="6"/>
  <c r="GHK33" i="6"/>
  <c r="GHJ33" i="6"/>
  <c r="GHI33" i="6"/>
  <c r="GHH33" i="6"/>
  <c r="GHG33" i="6"/>
  <c r="GHF33" i="6"/>
  <c r="GHE33" i="6"/>
  <c r="GHD33" i="6"/>
  <c r="GHC33" i="6"/>
  <c r="GHB33" i="6"/>
  <c r="GHA33" i="6"/>
  <c r="GGZ33" i="6"/>
  <c r="GGY33" i="6"/>
  <c r="GGX33" i="6"/>
  <c r="GGW33" i="6"/>
  <c r="GGV33" i="6"/>
  <c r="GGU33" i="6"/>
  <c r="GGT33" i="6"/>
  <c r="GGS33" i="6"/>
  <c r="GGR33" i="6"/>
  <c r="GGQ33" i="6"/>
  <c r="GGP33" i="6"/>
  <c r="GGO33" i="6"/>
  <c r="GGN33" i="6"/>
  <c r="GGM33" i="6"/>
  <c r="GGL33" i="6"/>
  <c r="GGK33" i="6"/>
  <c r="GGJ33" i="6"/>
  <c r="GGI33" i="6"/>
  <c r="GGH33" i="6"/>
  <c r="GGG33" i="6"/>
  <c r="GGF33" i="6"/>
  <c r="GGE33" i="6"/>
  <c r="GGD33" i="6"/>
  <c r="GGC33" i="6"/>
  <c r="GGB33" i="6"/>
  <c r="GGA33" i="6"/>
  <c r="GFZ33" i="6"/>
  <c r="GFY33" i="6"/>
  <c r="GFX33" i="6"/>
  <c r="GFW33" i="6"/>
  <c r="GFV33" i="6"/>
  <c r="GFU33" i="6"/>
  <c r="GFT33" i="6"/>
  <c r="GFS33" i="6"/>
  <c r="GFR33" i="6"/>
  <c r="GFQ33" i="6"/>
  <c r="GFP33" i="6"/>
  <c r="GFO33" i="6"/>
  <c r="GFN33" i="6"/>
  <c r="GFM33" i="6"/>
  <c r="GFL33" i="6"/>
  <c r="GFK33" i="6"/>
  <c r="GFJ33" i="6"/>
  <c r="GFI33" i="6"/>
  <c r="GFH33" i="6"/>
  <c r="GFG33" i="6"/>
  <c r="GFF33" i="6"/>
  <c r="GFE33" i="6"/>
  <c r="GFD33" i="6"/>
  <c r="GFC33" i="6"/>
  <c r="GFB33" i="6"/>
  <c r="GFA33" i="6"/>
  <c r="GEZ33" i="6"/>
  <c r="GEY33" i="6"/>
  <c r="GEX33" i="6"/>
  <c r="GEW33" i="6"/>
  <c r="GEV33" i="6"/>
  <c r="GEU33" i="6"/>
  <c r="GET33" i="6"/>
  <c r="GES33" i="6"/>
  <c r="GER33" i="6"/>
  <c r="GEQ33" i="6"/>
  <c r="GEP33" i="6"/>
  <c r="GEO33" i="6"/>
  <c r="GEN33" i="6"/>
  <c r="GEM33" i="6"/>
  <c r="GEL33" i="6"/>
  <c r="GEK33" i="6"/>
  <c r="GEJ33" i="6"/>
  <c r="GEI33" i="6"/>
  <c r="GEH33" i="6"/>
  <c r="GEG33" i="6"/>
  <c r="GEF33" i="6"/>
  <c r="GEE33" i="6"/>
  <c r="GED33" i="6"/>
  <c r="GEC33" i="6"/>
  <c r="GEB33" i="6"/>
  <c r="GEA33" i="6"/>
  <c r="GDZ33" i="6"/>
  <c r="GDY33" i="6"/>
  <c r="GDX33" i="6"/>
  <c r="GDW33" i="6"/>
  <c r="GDV33" i="6"/>
  <c r="GDU33" i="6"/>
  <c r="GDT33" i="6"/>
  <c r="GDS33" i="6"/>
  <c r="GDR33" i="6"/>
  <c r="GDQ33" i="6"/>
  <c r="GDP33" i="6"/>
  <c r="GDO33" i="6"/>
  <c r="GDN33" i="6"/>
  <c r="GDM33" i="6"/>
  <c r="GDL33" i="6"/>
  <c r="GDK33" i="6"/>
  <c r="GDJ33" i="6"/>
  <c r="GDI33" i="6"/>
  <c r="GDH33" i="6"/>
  <c r="GDG33" i="6"/>
  <c r="GDF33" i="6"/>
  <c r="GDE33" i="6"/>
  <c r="GDD33" i="6"/>
  <c r="GDC33" i="6"/>
  <c r="GDB33" i="6"/>
  <c r="GDA33" i="6"/>
  <c r="GCZ33" i="6"/>
  <c r="GCY33" i="6"/>
  <c r="GCX33" i="6"/>
  <c r="GCW33" i="6"/>
  <c r="GCV33" i="6"/>
  <c r="GCU33" i="6"/>
  <c r="GCT33" i="6"/>
  <c r="GCS33" i="6"/>
  <c r="GCR33" i="6"/>
  <c r="GCQ33" i="6"/>
  <c r="GCP33" i="6"/>
  <c r="GCO33" i="6"/>
  <c r="GCN33" i="6"/>
  <c r="GCM33" i="6"/>
  <c r="GCL33" i="6"/>
  <c r="GCK33" i="6"/>
  <c r="GCJ33" i="6"/>
  <c r="GCI33" i="6"/>
  <c r="GCH33" i="6"/>
  <c r="GCG33" i="6"/>
  <c r="GCF33" i="6"/>
  <c r="GCE33" i="6"/>
  <c r="GCD33" i="6"/>
  <c r="GCC33" i="6"/>
  <c r="GCB33" i="6"/>
  <c r="GCA33" i="6"/>
  <c r="GBZ33" i="6"/>
  <c r="GBY33" i="6"/>
  <c r="GBX33" i="6"/>
  <c r="GBW33" i="6"/>
  <c r="GBV33" i="6"/>
  <c r="GBU33" i="6"/>
  <c r="GBT33" i="6"/>
  <c r="GBS33" i="6"/>
  <c r="GBR33" i="6"/>
  <c r="GBQ33" i="6"/>
  <c r="GBP33" i="6"/>
  <c r="GBO33" i="6"/>
  <c r="GBN33" i="6"/>
  <c r="GBM33" i="6"/>
  <c r="GBL33" i="6"/>
  <c r="GBK33" i="6"/>
  <c r="GBJ33" i="6"/>
  <c r="GBI33" i="6"/>
  <c r="GBH33" i="6"/>
  <c r="GBG33" i="6"/>
  <c r="GBF33" i="6"/>
  <c r="GBE33" i="6"/>
  <c r="GBD33" i="6"/>
  <c r="GBC33" i="6"/>
  <c r="GBB33" i="6"/>
  <c r="GBA33" i="6"/>
  <c r="GAZ33" i="6"/>
  <c r="GAY33" i="6"/>
  <c r="GAX33" i="6"/>
  <c r="GAW33" i="6"/>
  <c r="GAV33" i="6"/>
  <c r="GAU33" i="6"/>
  <c r="GAT33" i="6"/>
  <c r="GAS33" i="6"/>
  <c r="GAR33" i="6"/>
  <c r="GAQ33" i="6"/>
  <c r="GAP33" i="6"/>
  <c r="GAO33" i="6"/>
  <c r="GAN33" i="6"/>
  <c r="GAM33" i="6"/>
  <c r="GAL33" i="6"/>
  <c r="GAK33" i="6"/>
  <c r="GAJ33" i="6"/>
  <c r="GAI33" i="6"/>
  <c r="GAH33" i="6"/>
  <c r="GAG33" i="6"/>
  <c r="GAF33" i="6"/>
  <c r="GAE33" i="6"/>
  <c r="GAD33" i="6"/>
  <c r="GAC33" i="6"/>
  <c r="GAB33" i="6"/>
  <c r="GAA33" i="6"/>
  <c r="FZZ33" i="6"/>
  <c r="FZY33" i="6"/>
  <c r="FZX33" i="6"/>
  <c r="FZW33" i="6"/>
  <c r="FZV33" i="6"/>
  <c r="FZU33" i="6"/>
  <c r="FZT33" i="6"/>
  <c r="FZS33" i="6"/>
  <c r="FZR33" i="6"/>
  <c r="FZQ33" i="6"/>
  <c r="FZP33" i="6"/>
  <c r="FZO33" i="6"/>
  <c r="FZN33" i="6"/>
  <c r="FZM33" i="6"/>
  <c r="FZL33" i="6"/>
  <c r="FZK33" i="6"/>
  <c r="FZJ33" i="6"/>
  <c r="FZI33" i="6"/>
  <c r="FZH33" i="6"/>
  <c r="FZG33" i="6"/>
  <c r="FZF33" i="6"/>
  <c r="FZE33" i="6"/>
  <c r="FZD33" i="6"/>
  <c r="FZC33" i="6"/>
  <c r="FZB33" i="6"/>
  <c r="FZA33" i="6"/>
  <c r="FYZ33" i="6"/>
  <c r="FYY33" i="6"/>
  <c r="FYX33" i="6"/>
  <c r="FYW33" i="6"/>
  <c r="FYV33" i="6"/>
  <c r="FYU33" i="6"/>
  <c r="FYT33" i="6"/>
  <c r="FYS33" i="6"/>
  <c r="FYR33" i="6"/>
  <c r="FYQ33" i="6"/>
  <c r="FYP33" i="6"/>
  <c r="FYO33" i="6"/>
  <c r="FYN33" i="6"/>
  <c r="FYM33" i="6"/>
  <c r="FYL33" i="6"/>
  <c r="FYK33" i="6"/>
  <c r="FYJ33" i="6"/>
  <c r="FYI33" i="6"/>
  <c r="FYH33" i="6"/>
  <c r="FYG33" i="6"/>
  <c r="FYF33" i="6"/>
  <c r="FYE33" i="6"/>
  <c r="FYD33" i="6"/>
  <c r="FYC33" i="6"/>
  <c r="FYB33" i="6"/>
  <c r="FYA33" i="6"/>
  <c r="FXZ33" i="6"/>
  <c r="FXY33" i="6"/>
  <c r="FXX33" i="6"/>
  <c r="FXW33" i="6"/>
  <c r="FXV33" i="6"/>
  <c r="FXU33" i="6"/>
  <c r="FXT33" i="6"/>
  <c r="FXS33" i="6"/>
  <c r="FXR33" i="6"/>
  <c r="FXQ33" i="6"/>
  <c r="FXP33" i="6"/>
  <c r="FXO33" i="6"/>
  <c r="FXN33" i="6"/>
  <c r="FXM33" i="6"/>
  <c r="FXL33" i="6"/>
  <c r="FXK33" i="6"/>
  <c r="FXJ33" i="6"/>
  <c r="FXI33" i="6"/>
  <c r="FXH33" i="6"/>
  <c r="FXG33" i="6"/>
  <c r="FXF33" i="6"/>
  <c r="FXE33" i="6"/>
  <c r="FXD33" i="6"/>
  <c r="FXC33" i="6"/>
  <c r="FXB33" i="6"/>
  <c r="FXA33" i="6"/>
  <c r="FWZ33" i="6"/>
  <c r="FWY33" i="6"/>
  <c r="FWX33" i="6"/>
  <c r="FWW33" i="6"/>
  <c r="FWV33" i="6"/>
  <c r="FWU33" i="6"/>
  <c r="FWT33" i="6"/>
  <c r="FWS33" i="6"/>
  <c r="FWR33" i="6"/>
  <c r="FWQ33" i="6"/>
  <c r="FWP33" i="6"/>
  <c r="FWO33" i="6"/>
  <c r="FWN33" i="6"/>
  <c r="FWM33" i="6"/>
  <c r="FWL33" i="6"/>
  <c r="FWK33" i="6"/>
  <c r="FWJ33" i="6"/>
  <c r="FWI33" i="6"/>
  <c r="FWH33" i="6"/>
  <c r="FWG33" i="6"/>
  <c r="FWF33" i="6"/>
  <c r="FWE33" i="6"/>
  <c r="FWD33" i="6"/>
  <c r="FWC33" i="6"/>
  <c r="FWB33" i="6"/>
  <c r="FWA33" i="6"/>
  <c r="FVZ33" i="6"/>
  <c r="FVY33" i="6"/>
  <c r="FVX33" i="6"/>
  <c r="FVW33" i="6"/>
  <c r="FVV33" i="6"/>
  <c r="FVU33" i="6"/>
  <c r="FVT33" i="6"/>
  <c r="FVS33" i="6"/>
  <c r="FVR33" i="6"/>
  <c r="FVQ33" i="6"/>
  <c r="FVP33" i="6"/>
  <c r="FVO33" i="6"/>
  <c r="FVN33" i="6"/>
  <c r="FVM33" i="6"/>
  <c r="FVL33" i="6"/>
  <c r="FVK33" i="6"/>
  <c r="FVJ33" i="6"/>
  <c r="FVI33" i="6"/>
  <c r="FVH33" i="6"/>
  <c r="FVG33" i="6"/>
  <c r="FVF33" i="6"/>
  <c r="FVE33" i="6"/>
  <c r="FVD33" i="6"/>
  <c r="FVC33" i="6"/>
  <c r="FVB33" i="6"/>
  <c r="FVA33" i="6"/>
  <c r="FUZ33" i="6"/>
  <c r="FUY33" i="6"/>
  <c r="FUX33" i="6"/>
  <c r="FUW33" i="6"/>
  <c r="FUV33" i="6"/>
  <c r="FUU33" i="6"/>
  <c r="FUT33" i="6"/>
  <c r="FUS33" i="6"/>
  <c r="FUR33" i="6"/>
  <c r="FUQ33" i="6"/>
  <c r="FUP33" i="6"/>
  <c r="FUO33" i="6"/>
  <c r="FUN33" i="6"/>
  <c r="FUM33" i="6"/>
  <c r="FUL33" i="6"/>
  <c r="FUK33" i="6"/>
  <c r="FUJ33" i="6"/>
  <c r="FUI33" i="6"/>
  <c r="FUH33" i="6"/>
  <c r="FUG33" i="6"/>
  <c r="FUF33" i="6"/>
  <c r="FUE33" i="6"/>
  <c r="FUD33" i="6"/>
  <c r="FUC33" i="6"/>
  <c r="FUB33" i="6"/>
  <c r="FUA33" i="6"/>
  <c r="FTZ33" i="6"/>
  <c r="FTY33" i="6"/>
  <c r="FTX33" i="6"/>
  <c r="FTW33" i="6"/>
  <c r="FTV33" i="6"/>
  <c r="FTU33" i="6"/>
  <c r="FTT33" i="6"/>
  <c r="FTS33" i="6"/>
  <c r="FTR33" i="6"/>
  <c r="FTQ33" i="6"/>
  <c r="FTP33" i="6"/>
  <c r="FTO33" i="6"/>
  <c r="FTN33" i="6"/>
  <c r="FTM33" i="6"/>
  <c r="FTL33" i="6"/>
  <c r="FTK33" i="6"/>
  <c r="FTJ33" i="6"/>
  <c r="FTI33" i="6"/>
  <c r="FTH33" i="6"/>
  <c r="FTG33" i="6"/>
  <c r="FTF33" i="6"/>
  <c r="FTE33" i="6"/>
  <c r="FTD33" i="6"/>
  <c r="FTC33" i="6"/>
  <c r="FTB33" i="6"/>
  <c r="FTA33" i="6"/>
  <c r="FSZ33" i="6"/>
  <c r="FSY33" i="6"/>
  <c r="FSX33" i="6"/>
  <c r="FSW33" i="6"/>
  <c r="FSV33" i="6"/>
  <c r="FSU33" i="6"/>
  <c r="FST33" i="6"/>
  <c r="FSS33" i="6"/>
  <c r="FSR33" i="6"/>
  <c r="FSQ33" i="6"/>
  <c r="FSP33" i="6"/>
  <c r="FSO33" i="6"/>
  <c r="FSN33" i="6"/>
  <c r="FSM33" i="6"/>
  <c r="FSL33" i="6"/>
  <c r="FSK33" i="6"/>
  <c r="FSJ33" i="6"/>
  <c r="FSI33" i="6"/>
  <c r="FSH33" i="6"/>
  <c r="FSG33" i="6"/>
  <c r="FSF33" i="6"/>
  <c r="FSE33" i="6"/>
  <c r="FSD33" i="6"/>
  <c r="FSC33" i="6"/>
  <c r="FSB33" i="6"/>
  <c r="FSA33" i="6"/>
  <c r="FRZ33" i="6"/>
  <c r="FRY33" i="6"/>
  <c r="FRX33" i="6"/>
  <c r="FRW33" i="6"/>
  <c r="FRV33" i="6"/>
  <c r="FRU33" i="6"/>
  <c r="FRT33" i="6"/>
  <c r="FRS33" i="6"/>
  <c r="FRR33" i="6"/>
  <c r="FRQ33" i="6"/>
  <c r="FRP33" i="6"/>
  <c r="FRO33" i="6"/>
  <c r="FRN33" i="6"/>
  <c r="FRM33" i="6"/>
  <c r="FRL33" i="6"/>
  <c r="FRK33" i="6"/>
  <c r="FRJ33" i="6"/>
  <c r="FRI33" i="6"/>
  <c r="FRH33" i="6"/>
  <c r="FRG33" i="6"/>
  <c r="FRF33" i="6"/>
  <c r="FRE33" i="6"/>
  <c r="FRD33" i="6"/>
  <c r="FRC33" i="6"/>
  <c r="FRB33" i="6"/>
  <c r="FRA33" i="6"/>
  <c r="FQZ33" i="6"/>
  <c r="FQY33" i="6"/>
  <c r="FQX33" i="6"/>
  <c r="FQW33" i="6"/>
  <c r="FQV33" i="6"/>
  <c r="FQU33" i="6"/>
  <c r="FQT33" i="6"/>
  <c r="FQS33" i="6"/>
  <c r="FQR33" i="6"/>
  <c r="FQQ33" i="6"/>
  <c r="FQP33" i="6"/>
  <c r="FQO33" i="6"/>
  <c r="FQN33" i="6"/>
  <c r="FQM33" i="6"/>
  <c r="FQL33" i="6"/>
  <c r="FQK33" i="6"/>
  <c r="FQJ33" i="6"/>
  <c r="FQI33" i="6"/>
  <c r="FQH33" i="6"/>
  <c r="FQG33" i="6"/>
  <c r="FQF33" i="6"/>
  <c r="FQE33" i="6"/>
  <c r="FQD33" i="6"/>
  <c r="FQC33" i="6"/>
  <c r="FQB33" i="6"/>
  <c r="FQA33" i="6"/>
  <c r="FPZ33" i="6"/>
  <c r="FPY33" i="6"/>
  <c r="FPX33" i="6"/>
  <c r="FPW33" i="6"/>
  <c r="FPV33" i="6"/>
  <c r="FPU33" i="6"/>
  <c r="FPT33" i="6"/>
  <c r="FPS33" i="6"/>
  <c r="FPR33" i="6"/>
  <c r="FPQ33" i="6"/>
  <c r="FPP33" i="6"/>
  <c r="FPO33" i="6"/>
  <c r="FPN33" i="6"/>
  <c r="FPM33" i="6"/>
  <c r="FPL33" i="6"/>
  <c r="FPK33" i="6"/>
  <c r="FPJ33" i="6"/>
  <c r="FPI33" i="6"/>
  <c r="FPH33" i="6"/>
  <c r="FPG33" i="6"/>
  <c r="FPF33" i="6"/>
  <c r="FPE33" i="6"/>
  <c r="FPD33" i="6"/>
  <c r="FPC33" i="6"/>
  <c r="FPB33" i="6"/>
  <c r="FPA33" i="6"/>
  <c r="FOZ33" i="6"/>
  <c r="FOY33" i="6"/>
  <c r="FOX33" i="6"/>
  <c r="FOW33" i="6"/>
  <c r="FOV33" i="6"/>
  <c r="FOU33" i="6"/>
  <c r="FOT33" i="6"/>
  <c r="FOS33" i="6"/>
  <c r="FOR33" i="6"/>
  <c r="FOQ33" i="6"/>
  <c r="FOP33" i="6"/>
  <c r="FOO33" i="6"/>
  <c r="FON33" i="6"/>
  <c r="FOM33" i="6"/>
  <c r="FOL33" i="6"/>
  <c r="FOK33" i="6"/>
  <c r="FOJ33" i="6"/>
  <c r="FOI33" i="6"/>
  <c r="FOH33" i="6"/>
  <c r="FOG33" i="6"/>
  <c r="FOF33" i="6"/>
  <c r="FOE33" i="6"/>
  <c r="FOD33" i="6"/>
  <c r="FOC33" i="6"/>
  <c r="FOB33" i="6"/>
  <c r="FOA33" i="6"/>
  <c r="FNZ33" i="6"/>
  <c r="FNY33" i="6"/>
  <c r="FNX33" i="6"/>
  <c r="FNW33" i="6"/>
  <c r="FNV33" i="6"/>
  <c r="FNU33" i="6"/>
  <c r="FNT33" i="6"/>
  <c r="FNS33" i="6"/>
  <c r="FNR33" i="6"/>
  <c r="FNQ33" i="6"/>
  <c r="FNP33" i="6"/>
  <c r="FNO33" i="6"/>
  <c r="FNN33" i="6"/>
  <c r="FNM33" i="6"/>
  <c r="FNL33" i="6"/>
  <c r="FNK33" i="6"/>
  <c r="FNJ33" i="6"/>
  <c r="FNI33" i="6"/>
  <c r="FNH33" i="6"/>
  <c r="FNG33" i="6"/>
  <c r="FNF33" i="6"/>
  <c r="FNE33" i="6"/>
  <c r="FND33" i="6"/>
  <c r="FNC33" i="6"/>
  <c r="FNB33" i="6"/>
  <c r="FNA33" i="6"/>
  <c r="FMZ33" i="6"/>
  <c r="FMY33" i="6"/>
  <c r="FMX33" i="6"/>
  <c r="FMW33" i="6"/>
  <c r="FMV33" i="6"/>
  <c r="FMU33" i="6"/>
  <c r="FMT33" i="6"/>
  <c r="FMS33" i="6"/>
  <c r="FMR33" i="6"/>
  <c r="FMQ33" i="6"/>
  <c r="FMP33" i="6"/>
  <c r="FMO33" i="6"/>
  <c r="FMN33" i="6"/>
  <c r="FMM33" i="6"/>
  <c r="FML33" i="6"/>
  <c r="FMK33" i="6"/>
  <c r="FMJ33" i="6"/>
  <c r="FMI33" i="6"/>
  <c r="FMH33" i="6"/>
  <c r="FMG33" i="6"/>
  <c r="FMF33" i="6"/>
  <c r="FME33" i="6"/>
  <c r="FMD33" i="6"/>
  <c r="FMC33" i="6"/>
  <c r="FMB33" i="6"/>
  <c r="FMA33" i="6"/>
  <c r="FLZ33" i="6"/>
  <c r="FLY33" i="6"/>
  <c r="FLX33" i="6"/>
  <c r="FLW33" i="6"/>
  <c r="FLV33" i="6"/>
  <c r="FLU33" i="6"/>
  <c r="FLT33" i="6"/>
  <c r="FLS33" i="6"/>
  <c r="FLR33" i="6"/>
  <c r="FLQ33" i="6"/>
  <c r="FLP33" i="6"/>
  <c r="FLO33" i="6"/>
  <c r="FLN33" i="6"/>
  <c r="FLM33" i="6"/>
  <c r="FLL33" i="6"/>
  <c r="FLK33" i="6"/>
  <c r="FLJ33" i="6"/>
  <c r="FLI33" i="6"/>
  <c r="FLH33" i="6"/>
  <c r="FLG33" i="6"/>
  <c r="FLF33" i="6"/>
  <c r="FLE33" i="6"/>
  <c r="FLD33" i="6"/>
  <c r="FLC33" i="6"/>
  <c r="FLB33" i="6"/>
  <c r="FLA33" i="6"/>
  <c r="FKZ33" i="6"/>
  <c r="FKY33" i="6"/>
  <c r="FKX33" i="6"/>
  <c r="FKW33" i="6"/>
  <c r="FKV33" i="6"/>
  <c r="FKU33" i="6"/>
  <c r="FKT33" i="6"/>
  <c r="FKS33" i="6"/>
  <c r="FKR33" i="6"/>
  <c r="FKQ33" i="6"/>
  <c r="FKP33" i="6"/>
  <c r="FKO33" i="6"/>
  <c r="FKN33" i="6"/>
  <c r="FKM33" i="6"/>
  <c r="FKL33" i="6"/>
  <c r="FKK33" i="6"/>
  <c r="FKJ33" i="6"/>
  <c r="FKI33" i="6"/>
  <c r="FKH33" i="6"/>
  <c r="FKG33" i="6"/>
  <c r="FKF33" i="6"/>
  <c r="FKE33" i="6"/>
  <c r="FKD33" i="6"/>
  <c r="FKC33" i="6"/>
  <c r="FKB33" i="6"/>
  <c r="FKA33" i="6"/>
  <c r="FJZ33" i="6"/>
  <c r="FJY33" i="6"/>
  <c r="FJX33" i="6"/>
  <c r="FJW33" i="6"/>
  <c r="FJV33" i="6"/>
  <c r="FJU33" i="6"/>
  <c r="FJT33" i="6"/>
  <c r="FJS33" i="6"/>
  <c r="FJR33" i="6"/>
  <c r="FJQ33" i="6"/>
  <c r="FJP33" i="6"/>
  <c r="FJO33" i="6"/>
  <c r="FJN33" i="6"/>
  <c r="FJM33" i="6"/>
  <c r="FJL33" i="6"/>
  <c r="FJK33" i="6"/>
  <c r="FJJ33" i="6"/>
  <c r="FJI33" i="6"/>
  <c r="FJH33" i="6"/>
  <c r="FJG33" i="6"/>
  <c r="FJF33" i="6"/>
  <c r="FJE33" i="6"/>
  <c r="FJD33" i="6"/>
  <c r="FJC33" i="6"/>
  <c r="FJB33" i="6"/>
  <c r="FJA33" i="6"/>
  <c r="FIZ33" i="6"/>
  <c r="FIY33" i="6"/>
  <c r="FIX33" i="6"/>
  <c r="FIW33" i="6"/>
  <c r="FIV33" i="6"/>
  <c r="FIU33" i="6"/>
  <c r="FIT33" i="6"/>
  <c r="FIS33" i="6"/>
  <c r="FIR33" i="6"/>
  <c r="FIQ33" i="6"/>
  <c r="FIP33" i="6"/>
  <c r="FIO33" i="6"/>
  <c r="FIN33" i="6"/>
  <c r="FIM33" i="6"/>
  <c r="FIL33" i="6"/>
  <c r="FIK33" i="6"/>
  <c r="FIJ33" i="6"/>
  <c r="FII33" i="6"/>
  <c r="FIH33" i="6"/>
  <c r="FIG33" i="6"/>
  <c r="FIF33" i="6"/>
  <c r="FIE33" i="6"/>
  <c r="FID33" i="6"/>
  <c r="FIC33" i="6"/>
  <c r="FIB33" i="6"/>
  <c r="FIA33" i="6"/>
  <c r="FHZ33" i="6"/>
  <c r="FHY33" i="6"/>
  <c r="FHX33" i="6"/>
  <c r="FHW33" i="6"/>
  <c r="FHV33" i="6"/>
  <c r="FHU33" i="6"/>
  <c r="FHT33" i="6"/>
  <c r="FHS33" i="6"/>
  <c r="FHR33" i="6"/>
  <c r="FHQ33" i="6"/>
  <c r="FHP33" i="6"/>
  <c r="FHO33" i="6"/>
  <c r="FHN33" i="6"/>
  <c r="FHM33" i="6"/>
  <c r="FHL33" i="6"/>
  <c r="FHK33" i="6"/>
  <c r="FHJ33" i="6"/>
  <c r="FHI33" i="6"/>
  <c r="FHH33" i="6"/>
  <c r="FHG33" i="6"/>
  <c r="FHF33" i="6"/>
  <c r="FHE33" i="6"/>
  <c r="FHD33" i="6"/>
  <c r="FHC33" i="6"/>
  <c r="FHB33" i="6"/>
  <c r="FHA33" i="6"/>
  <c r="FGZ33" i="6"/>
  <c r="FGY33" i="6"/>
  <c r="FGX33" i="6"/>
  <c r="FGW33" i="6"/>
  <c r="FGV33" i="6"/>
  <c r="FGU33" i="6"/>
  <c r="FGT33" i="6"/>
  <c r="FGS33" i="6"/>
  <c r="FGR33" i="6"/>
  <c r="FGQ33" i="6"/>
  <c r="FGP33" i="6"/>
  <c r="FGO33" i="6"/>
  <c r="FGN33" i="6"/>
  <c r="FGM33" i="6"/>
  <c r="FGL33" i="6"/>
  <c r="FGK33" i="6"/>
  <c r="FGJ33" i="6"/>
  <c r="FGI33" i="6"/>
  <c r="FGH33" i="6"/>
  <c r="FGG33" i="6"/>
  <c r="FGF33" i="6"/>
  <c r="FGE33" i="6"/>
  <c r="FGD33" i="6"/>
  <c r="FGC33" i="6"/>
  <c r="FGB33" i="6"/>
  <c r="FGA33" i="6"/>
  <c r="FFZ33" i="6"/>
  <c r="FFY33" i="6"/>
  <c r="FFX33" i="6"/>
  <c r="FFW33" i="6"/>
  <c r="FFV33" i="6"/>
  <c r="FFU33" i="6"/>
  <c r="FFT33" i="6"/>
  <c r="FFS33" i="6"/>
  <c r="FFR33" i="6"/>
  <c r="FFQ33" i="6"/>
  <c r="FFP33" i="6"/>
  <c r="FFO33" i="6"/>
  <c r="FFN33" i="6"/>
  <c r="FFM33" i="6"/>
  <c r="FFL33" i="6"/>
  <c r="FFK33" i="6"/>
  <c r="FFJ33" i="6"/>
  <c r="FFI33" i="6"/>
  <c r="FFH33" i="6"/>
  <c r="FFG33" i="6"/>
  <c r="FFF33" i="6"/>
  <c r="FFE33" i="6"/>
  <c r="FFD33" i="6"/>
  <c r="FFC33" i="6"/>
  <c r="FFB33" i="6"/>
  <c r="FFA33" i="6"/>
  <c r="FEZ33" i="6"/>
  <c r="FEY33" i="6"/>
  <c r="FEX33" i="6"/>
  <c r="FEW33" i="6"/>
  <c r="FEV33" i="6"/>
  <c r="FEU33" i="6"/>
  <c r="FET33" i="6"/>
  <c r="FES33" i="6"/>
  <c r="FER33" i="6"/>
  <c r="FEQ33" i="6"/>
  <c r="FEP33" i="6"/>
  <c r="FEO33" i="6"/>
  <c r="FEN33" i="6"/>
  <c r="FEM33" i="6"/>
  <c r="FEL33" i="6"/>
  <c r="FEK33" i="6"/>
  <c r="FEJ33" i="6"/>
  <c r="FEI33" i="6"/>
  <c r="FEH33" i="6"/>
  <c r="FEG33" i="6"/>
  <c r="FEF33" i="6"/>
  <c r="FEE33" i="6"/>
  <c r="FED33" i="6"/>
  <c r="FEC33" i="6"/>
  <c r="FEB33" i="6"/>
  <c r="FEA33" i="6"/>
  <c r="FDZ33" i="6"/>
  <c r="FDY33" i="6"/>
  <c r="FDX33" i="6"/>
  <c r="FDW33" i="6"/>
  <c r="FDV33" i="6"/>
  <c r="FDU33" i="6"/>
  <c r="FDT33" i="6"/>
  <c r="FDS33" i="6"/>
  <c r="FDR33" i="6"/>
  <c r="FDQ33" i="6"/>
  <c r="FDP33" i="6"/>
  <c r="FDO33" i="6"/>
  <c r="FDN33" i="6"/>
  <c r="FDM33" i="6"/>
  <c r="FDL33" i="6"/>
  <c r="FDK33" i="6"/>
  <c r="FDJ33" i="6"/>
  <c r="FDI33" i="6"/>
  <c r="FDH33" i="6"/>
  <c r="FDG33" i="6"/>
  <c r="FDF33" i="6"/>
  <c r="FDE33" i="6"/>
  <c r="FDD33" i="6"/>
  <c r="FDC33" i="6"/>
  <c r="FDB33" i="6"/>
  <c r="FDA33" i="6"/>
  <c r="FCZ33" i="6"/>
  <c r="FCY33" i="6"/>
  <c r="FCX33" i="6"/>
  <c r="FCW33" i="6"/>
  <c r="FCV33" i="6"/>
  <c r="FCU33" i="6"/>
  <c r="FCT33" i="6"/>
  <c r="FCS33" i="6"/>
  <c r="FCR33" i="6"/>
  <c r="FCQ33" i="6"/>
  <c r="FCP33" i="6"/>
  <c r="FCO33" i="6"/>
  <c r="FCN33" i="6"/>
  <c r="FCM33" i="6"/>
  <c r="FCL33" i="6"/>
  <c r="FCK33" i="6"/>
  <c r="FCJ33" i="6"/>
  <c r="FCI33" i="6"/>
  <c r="FCH33" i="6"/>
  <c r="FCG33" i="6"/>
  <c r="FCF33" i="6"/>
  <c r="FCE33" i="6"/>
  <c r="FCD33" i="6"/>
  <c r="FCC33" i="6"/>
  <c r="FCB33" i="6"/>
  <c r="FCA33" i="6"/>
  <c r="FBZ33" i="6"/>
  <c r="FBY33" i="6"/>
  <c r="FBX33" i="6"/>
  <c r="FBW33" i="6"/>
  <c r="FBV33" i="6"/>
  <c r="FBU33" i="6"/>
  <c r="FBT33" i="6"/>
  <c r="FBS33" i="6"/>
  <c r="FBR33" i="6"/>
  <c r="FBQ33" i="6"/>
  <c r="FBP33" i="6"/>
  <c r="FBO33" i="6"/>
  <c r="FBN33" i="6"/>
  <c r="FBM33" i="6"/>
  <c r="FBL33" i="6"/>
  <c r="FBK33" i="6"/>
  <c r="FBJ33" i="6"/>
  <c r="FBI33" i="6"/>
  <c r="FBH33" i="6"/>
  <c r="FBG33" i="6"/>
  <c r="FBF33" i="6"/>
  <c r="FBE33" i="6"/>
  <c r="FBD33" i="6"/>
  <c r="FBC33" i="6"/>
  <c r="FBB33" i="6"/>
  <c r="FBA33" i="6"/>
  <c r="FAZ33" i="6"/>
  <c r="FAY33" i="6"/>
  <c r="FAX33" i="6"/>
  <c r="FAW33" i="6"/>
  <c r="FAV33" i="6"/>
  <c r="FAU33" i="6"/>
  <c r="FAT33" i="6"/>
  <c r="FAS33" i="6"/>
  <c r="FAR33" i="6"/>
  <c r="FAQ33" i="6"/>
  <c r="FAP33" i="6"/>
  <c r="FAO33" i="6"/>
  <c r="FAN33" i="6"/>
  <c r="FAM33" i="6"/>
  <c r="FAL33" i="6"/>
  <c r="FAK33" i="6"/>
  <c r="FAJ33" i="6"/>
  <c r="FAI33" i="6"/>
  <c r="FAH33" i="6"/>
  <c r="FAG33" i="6"/>
  <c r="FAF33" i="6"/>
  <c r="FAE33" i="6"/>
  <c r="FAD33" i="6"/>
  <c r="FAC33" i="6"/>
  <c r="FAB33" i="6"/>
  <c r="FAA33" i="6"/>
  <c r="EZZ33" i="6"/>
  <c r="EZY33" i="6"/>
  <c r="EZX33" i="6"/>
  <c r="EZW33" i="6"/>
  <c r="EZV33" i="6"/>
  <c r="EZU33" i="6"/>
  <c r="EZT33" i="6"/>
  <c r="EZS33" i="6"/>
  <c r="EZR33" i="6"/>
  <c r="EZQ33" i="6"/>
  <c r="EZP33" i="6"/>
  <c r="EZO33" i="6"/>
  <c r="EZN33" i="6"/>
  <c r="EZM33" i="6"/>
  <c r="EZL33" i="6"/>
  <c r="EZK33" i="6"/>
  <c r="EZJ33" i="6"/>
  <c r="EZI33" i="6"/>
  <c r="EZH33" i="6"/>
  <c r="EZG33" i="6"/>
  <c r="EZF33" i="6"/>
  <c r="EZE33" i="6"/>
  <c r="EZD33" i="6"/>
  <c r="EZC33" i="6"/>
  <c r="EZB33" i="6"/>
  <c r="EZA33" i="6"/>
  <c r="EYZ33" i="6"/>
  <c r="EYY33" i="6"/>
  <c r="EYX33" i="6"/>
  <c r="EYW33" i="6"/>
  <c r="EYV33" i="6"/>
  <c r="EYU33" i="6"/>
  <c r="EYT33" i="6"/>
  <c r="EYS33" i="6"/>
  <c r="EYR33" i="6"/>
  <c r="EYQ33" i="6"/>
  <c r="EYP33" i="6"/>
  <c r="EYO33" i="6"/>
  <c r="EYN33" i="6"/>
  <c r="EYM33" i="6"/>
  <c r="EYL33" i="6"/>
  <c r="EYK33" i="6"/>
  <c r="EYJ33" i="6"/>
  <c r="EYI33" i="6"/>
  <c r="EYH33" i="6"/>
  <c r="EYG33" i="6"/>
  <c r="EYF33" i="6"/>
  <c r="EYE33" i="6"/>
  <c r="EYD33" i="6"/>
  <c r="EYC33" i="6"/>
  <c r="EYB33" i="6"/>
  <c r="EYA33" i="6"/>
  <c r="EXZ33" i="6"/>
  <c r="EXY33" i="6"/>
  <c r="EXX33" i="6"/>
  <c r="EXW33" i="6"/>
  <c r="EXV33" i="6"/>
  <c r="EXU33" i="6"/>
  <c r="EXT33" i="6"/>
  <c r="EXS33" i="6"/>
  <c r="EXR33" i="6"/>
  <c r="EXQ33" i="6"/>
  <c r="EXP33" i="6"/>
  <c r="EXO33" i="6"/>
  <c r="EXN33" i="6"/>
  <c r="EXM33" i="6"/>
  <c r="EXL33" i="6"/>
  <c r="EXK33" i="6"/>
  <c r="EXJ33" i="6"/>
  <c r="EXI33" i="6"/>
  <c r="EXH33" i="6"/>
  <c r="EXG33" i="6"/>
  <c r="EXF33" i="6"/>
  <c r="EXE33" i="6"/>
  <c r="EXD33" i="6"/>
  <c r="EXC33" i="6"/>
  <c r="EXB33" i="6"/>
  <c r="EXA33" i="6"/>
  <c r="EWZ33" i="6"/>
  <c r="EWY33" i="6"/>
  <c r="EWX33" i="6"/>
  <c r="EWW33" i="6"/>
  <c r="EWV33" i="6"/>
  <c r="EWU33" i="6"/>
  <c r="EWT33" i="6"/>
  <c r="EWS33" i="6"/>
  <c r="EWR33" i="6"/>
  <c r="EWQ33" i="6"/>
  <c r="EWP33" i="6"/>
  <c r="EWO33" i="6"/>
  <c r="EWN33" i="6"/>
  <c r="EWM33" i="6"/>
  <c r="EWL33" i="6"/>
  <c r="EWK33" i="6"/>
  <c r="EWJ33" i="6"/>
  <c r="EWI33" i="6"/>
  <c r="EWH33" i="6"/>
  <c r="EWG33" i="6"/>
  <c r="EWF33" i="6"/>
  <c r="EWE33" i="6"/>
  <c r="EWD33" i="6"/>
  <c r="EWC33" i="6"/>
  <c r="EWB33" i="6"/>
  <c r="EWA33" i="6"/>
  <c r="EVZ33" i="6"/>
  <c r="EVY33" i="6"/>
  <c r="EVX33" i="6"/>
  <c r="EVW33" i="6"/>
  <c r="EVV33" i="6"/>
  <c r="EVU33" i="6"/>
  <c r="EVT33" i="6"/>
  <c r="EVS33" i="6"/>
  <c r="EVR33" i="6"/>
  <c r="EVQ33" i="6"/>
  <c r="EVP33" i="6"/>
  <c r="EVO33" i="6"/>
  <c r="EVN33" i="6"/>
  <c r="EVM33" i="6"/>
  <c r="EVL33" i="6"/>
  <c r="EVK33" i="6"/>
  <c r="EVJ33" i="6"/>
  <c r="EVI33" i="6"/>
  <c r="EVH33" i="6"/>
  <c r="EVG33" i="6"/>
  <c r="EVF33" i="6"/>
  <c r="EVE33" i="6"/>
  <c r="EVD33" i="6"/>
  <c r="EVC33" i="6"/>
  <c r="EVB33" i="6"/>
  <c r="EVA33" i="6"/>
  <c r="EUZ33" i="6"/>
  <c r="EUY33" i="6"/>
  <c r="EUX33" i="6"/>
  <c r="EUW33" i="6"/>
  <c r="EUV33" i="6"/>
  <c r="EUU33" i="6"/>
  <c r="EUT33" i="6"/>
  <c r="EUS33" i="6"/>
  <c r="EUR33" i="6"/>
  <c r="EUQ33" i="6"/>
  <c r="EUP33" i="6"/>
  <c r="EUO33" i="6"/>
  <c r="EUN33" i="6"/>
  <c r="EUM33" i="6"/>
  <c r="EUL33" i="6"/>
  <c r="EUK33" i="6"/>
  <c r="EUJ33" i="6"/>
  <c r="EUI33" i="6"/>
  <c r="EUH33" i="6"/>
  <c r="EUG33" i="6"/>
  <c r="EUF33" i="6"/>
  <c r="EUE33" i="6"/>
  <c r="EUD33" i="6"/>
  <c r="EUC33" i="6"/>
  <c r="EUB33" i="6"/>
  <c r="EUA33" i="6"/>
  <c r="ETZ33" i="6"/>
  <c r="ETY33" i="6"/>
  <c r="ETX33" i="6"/>
  <c r="ETW33" i="6"/>
  <c r="ETV33" i="6"/>
  <c r="ETU33" i="6"/>
  <c r="ETT33" i="6"/>
  <c r="ETS33" i="6"/>
  <c r="ETR33" i="6"/>
  <c r="ETQ33" i="6"/>
  <c r="ETP33" i="6"/>
  <c r="ETO33" i="6"/>
  <c r="ETN33" i="6"/>
  <c r="ETM33" i="6"/>
  <c r="ETL33" i="6"/>
  <c r="ETK33" i="6"/>
  <c r="ETJ33" i="6"/>
  <c r="ETI33" i="6"/>
  <c r="ETH33" i="6"/>
  <c r="ETG33" i="6"/>
  <c r="ETF33" i="6"/>
  <c r="ETE33" i="6"/>
  <c r="ETD33" i="6"/>
  <c r="ETC33" i="6"/>
  <c r="ETB33" i="6"/>
  <c r="ETA33" i="6"/>
  <c r="ESZ33" i="6"/>
  <c r="ESY33" i="6"/>
  <c r="ESX33" i="6"/>
  <c r="ESW33" i="6"/>
  <c r="ESV33" i="6"/>
  <c r="ESU33" i="6"/>
  <c r="EST33" i="6"/>
  <c r="ESS33" i="6"/>
  <c r="ESR33" i="6"/>
  <c r="ESQ33" i="6"/>
  <c r="ESP33" i="6"/>
  <c r="ESO33" i="6"/>
  <c r="ESN33" i="6"/>
  <c r="ESM33" i="6"/>
  <c r="ESL33" i="6"/>
  <c r="ESK33" i="6"/>
  <c r="ESJ33" i="6"/>
  <c r="ESI33" i="6"/>
  <c r="ESH33" i="6"/>
  <c r="ESG33" i="6"/>
  <c r="ESF33" i="6"/>
  <c r="ESE33" i="6"/>
  <c r="ESD33" i="6"/>
  <c r="ESC33" i="6"/>
  <c r="ESB33" i="6"/>
  <c r="ESA33" i="6"/>
  <c r="ERZ33" i="6"/>
  <c r="ERY33" i="6"/>
  <c r="ERX33" i="6"/>
  <c r="ERW33" i="6"/>
  <c r="ERV33" i="6"/>
  <c r="ERU33" i="6"/>
  <c r="ERT33" i="6"/>
  <c r="ERS33" i="6"/>
  <c r="ERR33" i="6"/>
  <c r="ERQ33" i="6"/>
  <c r="ERP33" i="6"/>
  <c r="ERO33" i="6"/>
  <c r="ERN33" i="6"/>
  <c r="ERM33" i="6"/>
  <c r="ERL33" i="6"/>
  <c r="ERK33" i="6"/>
  <c r="ERJ33" i="6"/>
  <c r="ERI33" i="6"/>
  <c r="ERH33" i="6"/>
  <c r="ERG33" i="6"/>
  <c r="ERF33" i="6"/>
  <c r="ERE33" i="6"/>
  <c r="ERD33" i="6"/>
  <c r="ERC33" i="6"/>
  <c r="ERB33" i="6"/>
  <c r="ERA33" i="6"/>
  <c r="EQZ33" i="6"/>
  <c r="EQY33" i="6"/>
  <c r="EQX33" i="6"/>
  <c r="EQW33" i="6"/>
  <c r="EQV33" i="6"/>
  <c r="EQU33" i="6"/>
  <c r="EQT33" i="6"/>
  <c r="EQS33" i="6"/>
  <c r="EQR33" i="6"/>
  <c r="EQQ33" i="6"/>
  <c r="EQP33" i="6"/>
  <c r="EQO33" i="6"/>
  <c r="EQN33" i="6"/>
  <c r="EQM33" i="6"/>
  <c r="EQL33" i="6"/>
  <c r="EQK33" i="6"/>
  <c r="EQJ33" i="6"/>
  <c r="EQI33" i="6"/>
  <c r="EQH33" i="6"/>
  <c r="EQG33" i="6"/>
  <c r="EQF33" i="6"/>
  <c r="EQE33" i="6"/>
  <c r="EQD33" i="6"/>
  <c r="EQC33" i="6"/>
  <c r="EQB33" i="6"/>
  <c r="EQA33" i="6"/>
  <c r="EPZ33" i="6"/>
  <c r="EPY33" i="6"/>
  <c r="EPX33" i="6"/>
  <c r="EPW33" i="6"/>
  <c r="EPV33" i="6"/>
  <c r="EPU33" i="6"/>
  <c r="EPT33" i="6"/>
  <c r="EPS33" i="6"/>
  <c r="EPR33" i="6"/>
  <c r="EPQ33" i="6"/>
  <c r="EPP33" i="6"/>
  <c r="EPO33" i="6"/>
  <c r="EPN33" i="6"/>
  <c r="EPM33" i="6"/>
  <c r="EPL33" i="6"/>
  <c r="EPK33" i="6"/>
  <c r="EPJ33" i="6"/>
  <c r="EPI33" i="6"/>
  <c r="EPH33" i="6"/>
  <c r="EPG33" i="6"/>
  <c r="EPF33" i="6"/>
  <c r="EPE33" i="6"/>
  <c r="EPD33" i="6"/>
  <c r="EPC33" i="6"/>
  <c r="EPB33" i="6"/>
  <c r="EPA33" i="6"/>
  <c r="EOZ33" i="6"/>
  <c r="EOY33" i="6"/>
  <c r="EOX33" i="6"/>
  <c r="EOW33" i="6"/>
  <c r="EOV33" i="6"/>
  <c r="EOU33" i="6"/>
  <c r="EOT33" i="6"/>
  <c r="EOS33" i="6"/>
  <c r="EOR33" i="6"/>
  <c r="EOQ33" i="6"/>
  <c r="EOP33" i="6"/>
  <c r="EOO33" i="6"/>
  <c r="EON33" i="6"/>
  <c r="EOM33" i="6"/>
  <c r="EOL33" i="6"/>
  <c r="EOK33" i="6"/>
  <c r="EOJ33" i="6"/>
  <c r="EOI33" i="6"/>
  <c r="EOH33" i="6"/>
  <c r="EOG33" i="6"/>
  <c r="EOF33" i="6"/>
  <c r="EOE33" i="6"/>
  <c r="EOD33" i="6"/>
  <c r="EOC33" i="6"/>
  <c r="EOB33" i="6"/>
  <c r="EOA33" i="6"/>
  <c r="ENZ33" i="6"/>
  <c r="ENY33" i="6"/>
  <c r="ENX33" i="6"/>
  <c r="ENW33" i="6"/>
  <c r="ENV33" i="6"/>
  <c r="ENU33" i="6"/>
  <c r="ENT33" i="6"/>
  <c r="ENS33" i="6"/>
  <c r="ENR33" i="6"/>
  <c r="ENQ33" i="6"/>
  <c r="ENP33" i="6"/>
  <c r="ENO33" i="6"/>
  <c r="ENN33" i="6"/>
  <c r="ENM33" i="6"/>
  <c r="ENL33" i="6"/>
  <c r="ENK33" i="6"/>
  <c r="ENJ33" i="6"/>
  <c r="ENI33" i="6"/>
  <c r="ENH33" i="6"/>
  <c r="ENG33" i="6"/>
  <c r="ENF33" i="6"/>
  <c r="ENE33" i="6"/>
  <c r="END33" i="6"/>
  <c r="ENC33" i="6"/>
  <c r="ENB33" i="6"/>
  <c r="ENA33" i="6"/>
  <c r="EMZ33" i="6"/>
  <c r="EMY33" i="6"/>
  <c r="EMX33" i="6"/>
  <c r="EMW33" i="6"/>
  <c r="EMV33" i="6"/>
  <c r="EMU33" i="6"/>
  <c r="EMT33" i="6"/>
  <c r="EMS33" i="6"/>
  <c r="EMR33" i="6"/>
  <c r="EMQ33" i="6"/>
  <c r="EMP33" i="6"/>
  <c r="EMO33" i="6"/>
  <c r="EMN33" i="6"/>
  <c r="EMM33" i="6"/>
  <c r="EML33" i="6"/>
  <c r="EMK33" i="6"/>
  <c r="EMJ33" i="6"/>
  <c r="EMI33" i="6"/>
  <c r="EMH33" i="6"/>
  <c r="EMG33" i="6"/>
  <c r="EMF33" i="6"/>
  <c r="EME33" i="6"/>
  <c r="EMD33" i="6"/>
  <c r="EMC33" i="6"/>
  <c r="EMB33" i="6"/>
  <c r="EMA33" i="6"/>
  <c r="ELZ33" i="6"/>
  <c r="ELY33" i="6"/>
  <c r="ELX33" i="6"/>
  <c r="ELW33" i="6"/>
  <c r="ELV33" i="6"/>
  <c r="ELU33" i="6"/>
  <c r="ELT33" i="6"/>
  <c r="ELS33" i="6"/>
  <c r="ELR33" i="6"/>
  <c r="ELQ33" i="6"/>
  <c r="ELP33" i="6"/>
  <c r="ELO33" i="6"/>
  <c r="ELN33" i="6"/>
  <c r="ELM33" i="6"/>
  <c r="ELL33" i="6"/>
  <c r="ELK33" i="6"/>
  <c r="ELJ33" i="6"/>
  <c r="ELI33" i="6"/>
  <c r="ELH33" i="6"/>
  <c r="ELG33" i="6"/>
  <c r="ELF33" i="6"/>
  <c r="ELE33" i="6"/>
  <c r="ELD33" i="6"/>
  <c r="ELC33" i="6"/>
  <c r="ELB33" i="6"/>
  <c r="ELA33" i="6"/>
  <c r="EKZ33" i="6"/>
  <c r="EKY33" i="6"/>
  <c r="EKX33" i="6"/>
  <c r="EKW33" i="6"/>
  <c r="EKV33" i="6"/>
  <c r="EKU33" i="6"/>
  <c r="EKT33" i="6"/>
  <c r="EKS33" i="6"/>
  <c r="EKR33" i="6"/>
  <c r="EKQ33" i="6"/>
  <c r="EKP33" i="6"/>
  <c r="EKO33" i="6"/>
  <c r="EKN33" i="6"/>
  <c r="EKM33" i="6"/>
  <c r="EKL33" i="6"/>
  <c r="EKK33" i="6"/>
  <c r="EKJ33" i="6"/>
  <c r="EKI33" i="6"/>
  <c r="EKH33" i="6"/>
  <c r="EKG33" i="6"/>
  <c r="EKF33" i="6"/>
  <c r="EKE33" i="6"/>
  <c r="EKD33" i="6"/>
  <c r="EKC33" i="6"/>
  <c r="EKB33" i="6"/>
  <c r="EKA33" i="6"/>
  <c r="EJZ33" i="6"/>
  <c r="EJY33" i="6"/>
  <c r="EJX33" i="6"/>
  <c r="EJW33" i="6"/>
  <c r="EJV33" i="6"/>
  <c r="EJU33" i="6"/>
  <c r="EJT33" i="6"/>
  <c r="EJS33" i="6"/>
  <c r="EJR33" i="6"/>
  <c r="EJQ33" i="6"/>
  <c r="EJP33" i="6"/>
  <c r="EJO33" i="6"/>
  <c r="EJN33" i="6"/>
  <c r="EJM33" i="6"/>
  <c r="EJL33" i="6"/>
  <c r="EJK33" i="6"/>
  <c r="EJJ33" i="6"/>
  <c r="EJI33" i="6"/>
  <c r="EJH33" i="6"/>
  <c r="EJG33" i="6"/>
  <c r="EJF33" i="6"/>
  <c r="EJE33" i="6"/>
  <c r="EJD33" i="6"/>
  <c r="EJC33" i="6"/>
  <c r="EJB33" i="6"/>
  <c r="EJA33" i="6"/>
  <c r="EIZ33" i="6"/>
  <c r="EIY33" i="6"/>
  <c r="EIX33" i="6"/>
  <c r="EIW33" i="6"/>
  <c r="EIV33" i="6"/>
  <c r="EIU33" i="6"/>
  <c r="EIT33" i="6"/>
  <c r="EIS33" i="6"/>
  <c r="EIR33" i="6"/>
  <c r="EIQ33" i="6"/>
  <c r="EIP33" i="6"/>
  <c r="EIO33" i="6"/>
  <c r="EIN33" i="6"/>
  <c r="EIM33" i="6"/>
  <c r="EIL33" i="6"/>
  <c r="EIK33" i="6"/>
  <c r="EIJ33" i="6"/>
  <c r="EII33" i="6"/>
  <c r="EIH33" i="6"/>
  <c r="EIG33" i="6"/>
  <c r="EIF33" i="6"/>
  <c r="EIE33" i="6"/>
  <c r="EID33" i="6"/>
  <c r="EIC33" i="6"/>
  <c r="EIB33" i="6"/>
  <c r="EIA33" i="6"/>
  <c r="EHZ33" i="6"/>
  <c r="EHY33" i="6"/>
  <c r="EHX33" i="6"/>
  <c r="EHW33" i="6"/>
  <c r="EHV33" i="6"/>
  <c r="EHU33" i="6"/>
  <c r="EHT33" i="6"/>
  <c r="EHS33" i="6"/>
  <c r="EHR33" i="6"/>
  <c r="EHQ33" i="6"/>
  <c r="EHP33" i="6"/>
  <c r="EHO33" i="6"/>
  <c r="EHN33" i="6"/>
  <c r="EHM33" i="6"/>
  <c r="EHL33" i="6"/>
  <c r="EHK33" i="6"/>
  <c r="EHJ33" i="6"/>
  <c r="EHI33" i="6"/>
  <c r="EHH33" i="6"/>
  <c r="EHG33" i="6"/>
  <c r="EHF33" i="6"/>
  <c r="EHE33" i="6"/>
  <c r="EHD33" i="6"/>
  <c r="EHC33" i="6"/>
  <c r="EHB33" i="6"/>
  <c r="EHA33" i="6"/>
  <c r="EGZ33" i="6"/>
  <c r="EGY33" i="6"/>
  <c r="EGX33" i="6"/>
  <c r="EGW33" i="6"/>
  <c r="EGV33" i="6"/>
  <c r="EGU33" i="6"/>
  <c r="EGT33" i="6"/>
  <c r="EGS33" i="6"/>
  <c r="EGR33" i="6"/>
  <c r="EGQ33" i="6"/>
  <c r="EGP33" i="6"/>
  <c r="EGO33" i="6"/>
  <c r="EGN33" i="6"/>
  <c r="EGM33" i="6"/>
  <c r="EGL33" i="6"/>
  <c r="EGK33" i="6"/>
  <c r="EGJ33" i="6"/>
  <c r="EGI33" i="6"/>
  <c r="EGH33" i="6"/>
  <c r="EGG33" i="6"/>
  <c r="EGF33" i="6"/>
  <c r="EGE33" i="6"/>
  <c r="EGD33" i="6"/>
  <c r="EGC33" i="6"/>
  <c r="EGB33" i="6"/>
  <c r="EGA33" i="6"/>
  <c r="EFZ33" i="6"/>
  <c r="EFY33" i="6"/>
  <c r="EFX33" i="6"/>
  <c r="EFW33" i="6"/>
  <c r="EFV33" i="6"/>
  <c r="EFU33" i="6"/>
  <c r="EFT33" i="6"/>
  <c r="EFS33" i="6"/>
  <c r="EFR33" i="6"/>
  <c r="EFQ33" i="6"/>
  <c r="EFP33" i="6"/>
  <c r="EFO33" i="6"/>
  <c r="EFN33" i="6"/>
  <c r="EFM33" i="6"/>
  <c r="EFL33" i="6"/>
  <c r="EFK33" i="6"/>
  <c r="EFJ33" i="6"/>
  <c r="EFI33" i="6"/>
  <c r="EFH33" i="6"/>
  <c r="EFG33" i="6"/>
  <c r="EFF33" i="6"/>
  <c r="EFE33" i="6"/>
  <c r="EFD33" i="6"/>
  <c r="EFC33" i="6"/>
  <c r="EFB33" i="6"/>
  <c r="EFA33" i="6"/>
  <c r="EEZ33" i="6"/>
  <c r="EEY33" i="6"/>
  <c r="EEX33" i="6"/>
  <c r="EEW33" i="6"/>
  <c r="EEV33" i="6"/>
  <c r="EEU33" i="6"/>
  <c r="EET33" i="6"/>
  <c r="EES33" i="6"/>
  <c r="EER33" i="6"/>
  <c r="EEQ33" i="6"/>
  <c r="EEP33" i="6"/>
  <c r="EEO33" i="6"/>
  <c r="EEN33" i="6"/>
  <c r="EEM33" i="6"/>
  <c r="EEL33" i="6"/>
  <c r="EEK33" i="6"/>
  <c r="EEJ33" i="6"/>
  <c r="EEI33" i="6"/>
  <c r="EEH33" i="6"/>
  <c r="EEG33" i="6"/>
  <c r="EEF33" i="6"/>
  <c r="EEE33" i="6"/>
  <c r="EED33" i="6"/>
  <c r="EEC33" i="6"/>
  <c r="EEB33" i="6"/>
  <c r="EEA33" i="6"/>
  <c r="EDZ33" i="6"/>
  <c r="EDY33" i="6"/>
  <c r="EDX33" i="6"/>
  <c r="EDW33" i="6"/>
  <c r="EDV33" i="6"/>
  <c r="EDU33" i="6"/>
  <c r="EDT33" i="6"/>
  <c r="EDS33" i="6"/>
  <c r="EDR33" i="6"/>
  <c r="EDQ33" i="6"/>
  <c r="EDP33" i="6"/>
  <c r="EDO33" i="6"/>
  <c r="EDN33" i="6"/>
  <c r="EDM33" i="6"/>
  <c r="EDL33" i="6"/>
  <c r="EDK33" i="6"/>
  <c r="EDJ33" i="6"/>
  <c r="EDI33" i="6"/>
  <c r="EDH33" i="6"/>
  <c r="EDG33" i="6"/>
  <c r="EDF33" i="6"/>
  <c r="EDE33" i="6"/>
  <c r="EDD33" i="6"/>
  <c r="EDC33" i="6"/>
  <c r="EDB33" i="6"/>
  <c r="EDA33" i="6"/>
  <c r="ECZ33" i="6"/>
  <c r="ECY33" i="6"/>
  <c r="ECX33" i="6"/>
  <c r="ECW33" i="6"/>
  <c r="ECV33" i="6"/>
  <c r="ECU33" i="6"/>
  <c r="ECT33" i="6"/>
  <c r="ECS33" i="6"/>
  <c r="ECR33" i="6"/>
  <c r="ECQ33" i="6"/>
  <c r="ECP33" i="6"/>
  <c r="ECO33" i="6"/>
  <c r="ECN33" i="6"/>
  <c r="ECM33" i="6"/>
  <c r="ECL33" i="6"/>
  <c r="ECK33" i="6"/>
  <c r="ECJ33" i="6"/>
  <c r="ECI33" i="6"/>
  <c r="ECH33" i="6"/>
  <c r="ECG33" i="6"/>
  <c r="ECF33" i="6"/>
  <c r="ECE33" i="6"/>
  <c r="ECD33" i="6"/>
  <c r="ECC33" i="6"/>
  <c r="ECB33" i="6"/>
  <c r="ECA33" i="6"/>
  <c r="EBZ33" i="6"/>
  <c r="EBY33" i="6"/>
  <c r="EBX33" i="6"/>
  <c r="EBW33" i="6"/>
  <c r="EBV33" i="6"/>
  <c r="EBU33" i="6"/>
  <c r="EBT33" i="6"/>
  <c r="EBS33" i="6"/>
  <c r="EBR33" i="6"/>
  <c r="EBQ33" i="6"/>
  <c r="EBP33" i="6"/>
  <c r="EBO33" i="6"/>
  <c r="EBN33" i="6"/>
  <c r="EBM33" i="6"/>
  <c r="EBL33" i="6"/>
  <c r="EBK33" i="6"/>
  <c r="EBJ33" i="6"/>
  <c r="EBI33" i="6"/>
  <c r="EBH33" i="6"/>
  <c r="EBG33" i="6"/>
  <c r="EBF33" i="6"/>
  <c r="EBE33" i="6"/>
  <c r="EBD33" i="6"/>
  <c r="EBC33" i="6"/>
  <c r="EBB33" i="6"/>
  <c r="EBA33" i="6"/>
  <c r="EAZ33" i="6"/>
  <c r="EAY33" i="6"/>
  <c r="EAX33" i="6"/>
  <c r="EAW33" i="6"/>
  <c r="EAV33" i="6"/>
  <c r="EAU33" i="6"/>
  <c r="EAT33" i="6"/>
  <c r="EAS33" i="6"/>
  <c r="EAR33" i="6"/>
  <c r="EAQ33" i="6"/>
  <c r="EAP33" i="6"/>
  <c r="EAO33" i="6"/>
  <c r="EAN33" i="6"/>
  <c r="EAM33" i="6"/>
  <c r="EAL33" i="6"/>
  <c r="EAK33" i="6"/>
  <c r="EAJ33" i="6"/>
  <c r="EAI33" i="6"/>
  <c r="EAH33" i="6"/>
  <c r="EAG33" i="6"/>
  <c r="EAF33" i="6"/>
  <c r="EAE33" i="6"/>
  <c r="EAD33" i="6"/>
  <c r="EAC33" i="6"/>
  <c r="EAB33" i="6"/>
  <c r="EAA33" i="6"/>
  <c r="DZZ33" i="6"/>
  <c r="DZY33" i="6"/>
  <c r="DZX33" i="6"/>
  <c r="DZW33" i="6"/>
  <c r="DZV33" i="6"/>
  <c r="DZU33" i="6"/>
  <c r="DZT33" i="6"/>
  <c r="DZS33" i="6"/>
  <c r="DZR33" i="6"/>
  <c r="DZQ33" i="6"/>
  <c r="DZP33" i="6"/>
  <c r="DZO33" i="6"/>
  <c r="DZN33" i="6"/>
  <c r="DZM33" i="6"/>
  <c r="DZL33" i="6"/>
  <c r="DZK33" i="6"/>
  <c r="DZJ33" i="6"/>
  <c r="DZI33" i="6"/>
  <c r="DZH33" i="6"/>
  <c r="DZG33" i="6"/>
  <c r="DZF33" i="6"/>
  <c r="DZE33" i="6"/>
  <c r="DZD33" i="6"/>
  <c r="DZC33" i="6"/>
  <c r="DZB33" i="6"/>
  <c r="DZA33" i="6"/>
  <c r="DYZ33" i="6"/>
  <c r="DYY33" i="6"/>
  <c r="DYX33" i="6"/>
  <c r="DYW33" i="6"/>
  <c r="DYV33" i="6"/>
  <c r="DYU33" i="6"/>
  <c r="DYT33" i="6"/>
  <c r="DYS33" i="6"/>
  <c r="DYR33" i="6"/>
  <c r="DYQ33" i="6"/>
  <c r="DYP33" i="6"/>
  <c r="DYO33" i="6"/>
  <c r="DYN33" i="6"/>
  <c r="DYM33" i="6"/>
  <c r="DYL33" i="6"/>
  <c r="DYK33" i="6"/>
  <c r="DYJ33" i="6"/>
  <c r="DYI33" i="6"/>
  <c r="DYH33" i="6"/>
  <c r="DYG33" i="6"/>
  <c r="DYF33" i="6"/>
  <c r="DYE33" i="6"/>
  <c r="DYD33" i="6"/>
  <c r="DYC33" i="6"/>
  <c r="DYB33" i="6"/>
  <c r="DYA33" i="6"/>
  <c r="DXZ33" i="6"/>
  <c r="DXY33" i="6"/>
  <c r="DXX33" i="6"/>
  <c r="DXW33" i="6"/>
  <c r="DXV33" i="6"/>
  <c r="DXU33" i="6"/>
  <c r="DXT33" i="6"/>
  <c r="DXS33" i="6"/>
  <c r="DXR33" i="6"/>
  <c r="DXQ33" i="6"/>
  <c r="DXP33" i="6"/>
  <c r="DXO33" i="6"/>
  <c r="DXN33" i="6"/>
  <c r="DXM33" i="6"/>
  <c r="DXL33" i="6"/>
  <c r="DXK33" i="6"/>
  <c r="DXJ33" i="6"/>
  <c r="DXI33" i="6"/>
  <c r="DXH33" i="6"/>
  <c r="DXG33" i="6"/>
  <c r="DXF33" i="6"/>
  <c r="DXE33" i="6"/>
  <c r="DXD33" i="6"/>
  <c r="DXC33" i="6"/>
  <c r="DXB33" i="6"/>
  <c r="DXA33" i="6"/>
  <c r="DWZ33" i="6"/>
  <c r="DWY33" i="6"/>
  <c r="DWX33" i="6"/>
  <c r="DWW33" i="6"/>
  <c r="DWV33" i="6"/>
  <c r="DWU33" i="6"/>
  <c r="DWT33" i="6"/>
  <c r="DWS33" i="6"/>
  <c r="DWR33" i="6"/>
  <c r="DWQ33" i="6"/>
  <c r="DWP33" i="6"/>
  <c r="DWO33" i="6"/>
  <c r="DWN33" i="6"/>
  <c r="DWM33" i="6"/>
  <c r="DWL33" i="6"/>
  <c r="DWK33" i="6"/>
  <c r="DWJ33" i="6"/>
  <c r="DWI33" i="6"/>
  <c r="DWH33" i="6"/>
  <c r="DWG33" i="6"/>
  <c r="DWF33" i="6"/>
  <c r="DWE33" i="6"/>
  <c r="DWD33" i="6"/>
  <c r="DWC33" i="6"/>
  <c r="DWB33" i="6"/>
  <c r="DWA33" i="6"/>
  <c r="DVZ33" i="6"/>
  <c r="DVY33" i="6"/>
  <c r="DVX33" i="6"/>
  <c r="DVW33" i="6"/>
  <c r="DVV33" i="6"/>
  <c r="DVU33" i="6"/>
  <c r="DVT33" i="6"/>
  <c r="DVS33" i="6"/>
  <c r="DVR33" i="6"/>
  <c r="DVQ33" i="6"/>
  <c r="DVP33" i="6"/>
  <c r="DVO33" i="6"/>
  <c r="DVN33" i="6"/>
  <c r="DVM33" i="6"/>
  <c r="DVL33" i="6"/>
  <c r="DVK33" i="6"/>
  <c r="DVJ33" i="6"/>
  <c r="DVI33" i="6"/>
  <c r="DVH33" i="6"/>
  <c r="DVG33" i="6"/>
  <c r="DVF33" i="6"/>
  <c r="DVE33" i="6"/>
  <c r="DVD33" i="6"/>
  <c r="DVC33" i="6"/>
  <c r="DVB33" i="6"/>
  <c r="DVA33" i="6"/>
  <c r="DUZ33" i="6"/>
  <c r="DUY33" i="6"/>
  <c r="DUX33" i="6"/>
  <c r="DUW33" i="6"/>
  <c r="DUV33" i="6"/>
  <c r="DUU33" i="6"/>
  <c r="DUT33" i="6"/>
  <c r="DUS33" i="6"/>
  <c r="DUR33" i="6"/>
  <c r="DUQ33" i="6"/>
  <c r="DUP33" i="6"/>
  <c r="DUO33" i="6"/>
  <c r="DUN33" i="6"/>
  <c r="DUM33" i="6"/>
  <c r="DUL33" i="6"/>
  <c r="DUK33" i="6"/>
  <c r="DUJ33" i="6"/>
  <c r="DUI33" i="6"/>
  <c r="DUH33" i="6"/>
  <c r="DUG33" i="6"/>
  <c r="DUF33" i="6"/>
  <c r="DUE33" i="6"/>
  <c r="DUD33" i="6"/>
  <c r="DUC33" i="6"/>
  <c r="DUB33" i="6"/>
  <c r="DUA33" i="6"/>
  <c r="DTZ33" i="6"/>
  <c r="DTY33" i="6"/>
  <c r="DTX33" i="6"/>
  <c r="DTW33" i="6"/>
  <c r="DTV33" i="6"/>
  <c r="DTU33" i="6"/>
  <c r="DTT33" i="6"/>
  <c r="DTS33" i="6"/>
  <c r="DTR33" i="6"/>
  <c r="DTQ33" i="6"/>
  <c r="DTP33" i="6"/>
  <c r="DTO33" i="6"/>
  <c r="DTN33" i="6"/>
  <c r="DTM33" i="6"/>
  <c r="DTL33" i="6"/>
  <c r="DTK33" i="6"/>
  <c r="DTJ33" i="6"/>
  <c r="DTI33" i="6"/>
  <c r="DTH33" i="6"/>
  <c r="DTG33" i="6"/>
  <c r="DTF33" i="6"/>
  <c r="DTE33" i="6"/>
  <c r="DTD33" i="6"/>
  <c r="DTC33" i="6"/>
  <c r="DTB33" i="6"/>
  <c r="DTA33" i="6"/>
  <c r="DSZ33" i="6"/>
  <c r="DSY33" i="6"/>
  <c r="DSX33" i="6"/>
  <c r="DSW33" i="6"/>
  <c r="DSV33" i="6"/>
  <c r="DSU33" i="6"/>
  <c r="DST33" i="6"/>
  <c r="DSS33" i="6"/>
  <c r="DSR33" i="6"/>
  <c r="DSQ33" i="6"/>
  <c r="DSP33" i="6"/>
  <c r="DSO33" i="6"/>
  <c r="DSN33" i="6"/>
  <c r="DSM33" i="6"/>
  <c r="DSL33" i="6"/>
  <c r="DSK33" i="6"/>
  <c r="DSJ33" i="6"/>
  <c r="DSI33" i="6"/>
  <c r="DSH33" i="6"/>
  <c r="DSG33" i="6"/>
  <c r="DSF33" i="6"/>
  <c r="DSE33" i="6"/>
  <c r="DSD33" i="6"/>
  <c r="DSC33" i="6"/>
  <c r="DSB33" i="6"/>
  <c r="DSA33" i="6"/>
  <c r="DRZ33" i="6"/>
  <c r="DRY33" i="6"/>
  <c r="DRX33" i="6"/>
  <c r="DRW33" i="6"/>
  <c r="DRV33" i="6"/>
  <c r="DRU33" i="6"/>
  <c r="DRT33" i="6"/>
  <c r="DRS33" i="6"/>
  <c r="DRR33" i="6"/>
  <c r="DRQ33" i="6"/>
  <c r="DRP33" i="6"/>
  <c r="DRO33" i="6"/>
  <c r="DRN33" i="6"/>
  <c r="DRM33" i="6"/>
  <c r="DRL33" i="6"/>
  <c r="DRK33" i="6"/>
  <c r="DRJ33" i="6"/>
  <c r="DRI33" i="6"/>
  <c r="DRH33" i="6"/>
  <c r="DRG33" i="6"/>
  <c r="DRF33" i="6"/>
  <c r="DRE33" i="6"/>
  <c r="DRD33" i="6"/>
  <c r="DRC33" i="6"/>
  <c r="DRB33" i="6"/>
  <c r="DRA33" i="6"/>
  <c r="DQZ33" i="6"/>
  <c r="DQY33" i="6"/>
  <c r="DQX33" i="6"/>
  <c r="DQW33" i="6"/>
  <c r="DQV33" i="6"/>
  <c r="DQU33" i="6"/>
  <c r="DQT33" i="6"/>
  <c r="DQS33" i="6"/>
  <c r="DQR33" i="6"/>
  <c r="DQQ33" i="6"/>
  <c r="DQP33" i="6"/>
  <c r="DQO33" i="6"/>
  <c r="DQN33" i="6"/>
  <c r="DQM33" i="6"/>
  <c r="DQL33" i="6"/>
  <c r="DQK33" i="6"/>
  <c r="DQJ33" i="6"/>
  <c r="DQI33" i="6"/>
  <c r="DQH33" i="6"/>
  <c r="DQG33" i="6"/>
  <c r="DQF33" i="6"/>
  <c r="DQE33" i="6"/>
  <c r="DQD33" i="6"/>
  <c r="DQC33" i="6"/>
  <c r="DQB33" i="6"/>
  <c r="DQA33" i="6"/>
  <c r="DPZ33" i="6"/>
  <c r="DPY33" i="6"/>
  <c r="DPX33" i="6"/>
  <c r="DPW33" i="6"/>
  <c r="DPV33" i="6"/>
  <c r="DPU33" i="6"/>
  <c r="DPT33" i="6"/>
  <c r="DPS33" i="6"/>
  <c r="DPR33" i="6"/>
  <c r="DPQ33" i="6"/>
  <c r="DPP33" i="6"/>
  <c r="DPO33" i="6"/>
  <c r="DPN33" i="6"/>
  <c r="DPM33" i="6"/>
  <c r="DPL33" i="6"/>
  <c r="DPK33" i="6"/>
  <c r="DPJ33" i="6"/>
  <c r="DPI33" i="6"/>
  <c r="DPH33" i="6"/>
  <c r="DPG33" i="6"/>
  <c r="DPF33" i="6"/>
  <c r="DPE33" i="6"/>
  <c r="DPD33" i="6"/>
  <c r="DPC33" i="6"/>
  <c r="DPB33" i="6"/>
  <c r="DPA33" i="6"/>
  <c r="DOZ33" i="6"/>
  <c r="DOY33" i="6"/>
  <c r="DOX33" i="6"/>
  <c r="DOW33" i="6"/>
  <c r="DOV33" i="6"/>
  <c r="DOU33" i="6"/>
  <c r="DOT33" i="6"/>
  <c r="DOS33" i="6"/>
  <c r="DOR33" i="6"/>
  <c r="DOQ33" i="6"/>
  <c r="DOP33" i="6"/>
  <c r="DOO33" i="6"/>
  <c r="DON33" i="6"/>
  <c r="DOM33" i="6"/>
  <c r="DOL33" i="6"/>
  <c r="DOK33" i="6"/>
  <c r="DOJ33" i="6"/>
  <c r="DOI33" i="6"/>
  <c r="DOH33" i="6"/>
  <c r="DOG33" i="6"/>
  <c r="DOF33" i="6"/>
  <c r="DOE33" i="6"/>
  <c r="DOD33" i="6"/>
  <c r="DOC33" i="6"/>
  <c r="DOB33" i="6"/>
  <c r="DOA33" i="6"/>
  <c r="DNZ33" i="6"/>
  <c r="DNY33" i="6"/>
  <c r="DNX33" i="6"/>
  <c r="DNW33" i="6"/>
  <c r="DNV33" i="6"/>
  <c r="DNU33" i="6"/>
  <c r="DNT33" i="6"/>
  <c r="DNS33" i="6"/>
  <c r="DNR33" i="6"/>
  <c r="DNQ33" i="6"/>
  <c r="DNP33" i="6"/>
  <c r="DNO33" i="6"/>
  <c r="DNN33" i="6"/>
  <c r="DNM33" i="6"/>
  <c r="DNL33" i="6"/>
  <c r="DNK33" i="6"/>
  <c r="DNJ33" i="6"/>
  <c r="DNI33" i="6"/>
  <c r="DNH33" i="6"/>
  <c r="DNG33" i="6"/>
  <c r="DNF33" i="6"/>
  <c r="DNE33" i="6"/>
  <c r="DND33" i="6"/>
  <c r="DNC33" i="6"/>
  <c r="DNB33" i="6"/>
  <c r="DNA33" i="6"/>
  <c r="DMZ33" i="6"/>
  <c r="DMY33" i="6"/>
  <c r="DMX33" i="6"/>
  <c r="DMW33" i="6"/>
  <c r="DMV33" i="6"/>
  <c r="DMU33" i="6"/>
  <c r="DMT33" i="6"/>
  <c r="DMS33" i="6"/>
  <c r="DMR33" i="6"/>
  <c r="DMQ33" i="6"/>
  <c r="DMP33" i="6"/>
  <c r="DMO33" i="6"/>
  <c r="DMN33" i="6"/>
  <c r="DMM33" i="6"/>
  <c r="DML33" i="6"/>
  <c r="DMK33" i="6"/>
  <c r="DMJ33" i="6"/>
  <c r="DMI33" i="6"/>
  <c r="DMH33" i="6"/>
  <c r="DMG33" i="6"/>
  <c r="DMF33" i="6"/>
  <c r="DME33" i="6"/>
  <c r="DMD33" i="6"/>
  <c r="DMC33" i="6"/>
  <c r="DMB33" i="6"/>
  <c r="DMA33" i="6"/>
  <c r="DLZ33" i="6"/>
  <c r="DLY33" i="6"/>
  <c r="DLX33" i="6"/>
  <c r="DLW33" i="6"/>
  <c r="DLV33" i="6"/>
  <c r="DLU33" i="6"/>
  <c r="DLT33" i="6"/>
  <c r="DLS33" i="6"/>
  <c r="DLR33" i="6"/>
  <c r="DLQ33" i="6"/>
  <c r="DLP33" i="6"/>
  <c r="DLO33" i="6"/>
  <c r="DLN33" i="6"/>
  <c r="DLM33" i="6"/>
  <c r="DLL33" i="6"/>
  <c r="DLK33" i="6"/>
  <c r="DLJ33" i="6"/>
  <c r="DLI33" i="6"/>
  <c r="DLH33" i="6"/>
  <c r="DLG33" i="6"/>
  <c r="DLF33" i="6"/>
  <c r="DLE33" i="6"/>
  <c r="DLD33" i="6"/>
  <c r="DLC33" i="6"/>
  <c r="DLB33" i="6"/>
  <c r="DLA33" i="6"/>
  <c r="DKZ33" i="6"/>
  <c r="DKY33" i="6"/>
  <c r="DKX33" i="6"/>
  <c r="DKW33" i="6"/>
  <c r="DKV33" i="6"/>
  <c r="DKU33" i="6"/>
  <c r="DKT33" i="6"/>
  <c r="DKS33" i="6"/>
  <c r="DKR33" i="6"/>
  <c r="DKQ33" i="6"/>
  <c r="DKP33" i="6"/>
  <c r="DKO33" i="6"/>
  <c r="DKN33" i="6"/>
  <c r="DKM33" i="6"/>
  <c r="DKL33" i="6"/>
  <c r="DKK33" i="6"/>
  <c r="DKJ33" i="6"/>
  <c r="DKI33" i="6"/>
  <c r="DKH33" i="6"/>
  <c r="DKG33" i="6"/>
  <c r="DKF33" i="6"/>
  <c r="DKE33" i="6"/>
  <c r="DKD33" i="6"/>
  <c r="DKC33" i="6"/>
  <c r="DKB33" i="6"/>
  <c r="DKA33" i="6"/>
  <c r="DJZ33" i="6"/>
  <c r="DJY33" i="6"/>
  <c r="DJX33" i="6"/>
  <c r="DJW33" i="6"/>
  <c r="DJV33" i="6"/>
  <c r="DJU33" i="6"/>
  <c r="DJT33" i="6"/>
  <c r="DJS33" i="6"/>
  <c r="DJR33" i="6"/>
  <c r="DJQ33" i="6"/>
  <c r="DJP33" i="6"/>
  <c r="DJO33" i="6"/>
  <c r="DJN33" i="6"/>
  <c r="DJM33" i="6"/>
  <c r="DJL33" i="6"/>
  <c r="DJK33" i="6"/>
  <c r="DJJ33" i="6"/>
  <c r="DJI33" i="6"/>
  <c r="DJH33" i="6"/>
  <c r="DJG33" i="6"/>
  <c r="DJF33" i="6"/>
  <c r="DJE33" i="6"/>
  <c r="DJD33" i="6"/>
  <c r="DJC33" i="6"/>
  <c r="DJB33" i="6"/>
  <c r="DJA33" i="6"/>
  <c r="DIZ33" i="6"/>
  <c r="DIY33" i="6"/>
  <c r="DIX33" i="6"/>
  <c r="DIW33" i="6"/>
  <c r="DIV33" i="6"/>
  <c r="DIU33" i="6"/>
  <c r="DIT33" i="6"/>
  <c r="DIS33" i="6"/>
  <c r="DIR33" i="6"/>
  <c r="DIQ33" i="6"/>
  <c r="DIP33" i="6"/>
  <c r="DIO33" i="6"/>
  <c r="DIN33" i="6"/>
  <c r="DIM33" i="6"/>
  <c r="DIL33" i="6"/>
  <c r="DIK33" i="6"/>
  <c r="DIJ33" i="6"/>
  <c r="DII33" i="6"/>
  <c r="DIH33" i="6"/>
  <c r="DIG33" i="6"/>
  <c r="DIF33" i="6"/>
  <c r="DIE33" i="6"/>
  <c r="DID33" i="6"/>
  <c r="DIC33" i="6"/>
  <c r="DIB33" i="6"/>
  <c r="DIA33" i="6"/>
  <c r="DHZ33" i="6"/>
  <c r="DHY33" i="6"/>
  <c r="DHX33" i="6"/>
  <c r="DHW33" i="6"/>
  <c r="DHV33" i="6"/>
  <c r="DHU33" i="6"/>
  <c r="DHT33" i="6"/>
  <c r="DHS33" i="6"/>
  <c r="DHR33" i="6"/>
  <c r="DHQ33" i="6"/>
  <c r="DHP33" i="6"/>
  <c r="DHO33" i="6"/>
  <c r="DHN33" i="6"/>
  <c r="DHM33" i="6"/>
  <c r="DHL33" i="6"/>
  <c r="DHK33" i="6"/>
  <c r="DHJ33" i="6"/>
  <c r="DHI33" i="6"/>
  <c r="DHH33" i="6"/>
  <c r="DHG33" i="6"/>
  <c r="DHF33" i="6"/>
  <c r="DHE33" i="6"/>
  <c r="DHD33" i="6"/>
  <c r="DHC33" i="6"/>
  <c r="DHB33" i="6"/>
  <c r="DHA33" i="6"/>
  <c r="DGZ33" i="6"/>
  <c r="DGY33" i="6"/>
  <c r="DGX33" i="6"/>
  <c r="DGW33" i="6"/>
  <c r="DGV33" i="6"/>
  <c r="DGU33" i="6"/>
  <c r="DGT33" i="6"/>
  <c r="DGS33" i="6"/>
  <c r="DGR33" i="6"/>
  <c r="DGQ33" i="6"/>
  <c r="DGP33" i="6"/>
  <c r="DGO33" i="6"/>
  <c r="DGN33" i="6"/>
  <c r="DGM33" i="6"/>
  <c r="DGL33" i="6"/>
  <c r="DGK33" i="6"/>
  <c r="DGJ33" i="6"/>
  <c r="DGI33" i="6"/>
  <c r="DGH33" i="6"/>
  <c r="DGG33" i="6"/>
  <c r="DGF33" i="6"/>
  <c r="DGE33" i="6"/>
  <c r="DGD33" i="6"/>
  <c r="DGC33" i="6"/>
  <c r="DGB33" i="6"/>
  <c r="DGA33" i="6"/>
  <c r="DFZ33" i="6"/>
  <c r="DFY33" i="6"/>
  <c r="DFX33" i="6"/>
  <c r="DFW33" i="6"/>
  <c r="DFV33" i="6"/>
  <c r="DFU33" i="6"/>
  <c r="DFT33" i="6"/>
  <c r="DFS33" i="6"/>
  <c r="DFR33" i="6"/>
  <c r="DFQ33" i="6"/>
  <c r="DFP33" i="6"/>
  <c r="DFO33" i="6"/>
  <c r="DFN33" i="6"/>
  <c r="DFM33" i="6"/>
  <c r="DFL33" i="6"/>
  <c r="DFK33" i="6"/>
  <c r="DFJ33" i="6"/>
  <c r="DFI33" i="6"/>
  <c r="DFH33" i="6"/>
  <c r="DFG33" i="6"/>
  <c r="DFF33" i="6"/>
  <c r="DFE33" i="6"/>
  <c r="DFD33" i="6"/>
  <c r="DFC33" i="6"/>
  <c r="DFB33" i="6"/>
  <c r="DFA33" i="6"/>
  <c r="DEZ33" i="6"/>
  <c r="DEY33" i="6"/>
  <c r="DEX33" i="6"/>
  <c r="DEW33" i="6"/>
  <c r="DEV33" i="6"/>
  <c r="DEU33" i="6"/>
  <c r="DET33" i="6"/>
  <c r="DES33" i="6"/>
  <c r="DER33" i="6"/>
  <c r="DEQ33" i="6"/>
  <c r="DEP33" i="6"/>
  <c r="DEO33" i="6"/>
  <c r="DEN33" i="6"/>
  <c r="DEM33" i="6"/>
  <c r="DEL33" i="6"/>
  <c r="DEK33" i="6"/>
  <c r="DEJ33" i="6"/>
  <c r="DEI33" i="6"/>
  <c r="DEH33" i="6"/>
  <c r="DEG33" i="6"/>
  <c r="DEF33" i="6"/>
  <c r="DEE33" i="6"/>
  <c r="DED33" i="6"/>
  <c r="DEC33" i="6"/>
  <c r="DEB33" i="6"/>
  <c r="DEA33" i="6"/>
  <c r="DDZ33" i="6"/>
  <c r="DDY33" i="6"/>
  <c r="DDX33" i="6"/>
  <c r="DDW33" i="6"/>
  <c r="DDV33" i="6"/>
  <c r="DDU33" i="6"/>
  <c r="DDT33" i="6"/>
  <c r="DDS33" i="6"/>
  <c r="DDR33" i="6"/>
  <c r="DDQ33" i="6"/>
  <c r="DDP33" i="6"/>
  <c r="DDO33" i="6"/>
  <c r="DDN33" i="6"/>
  <c r="DDM33" i="6"/>
  <c r="DDL33" i="6"/>
  <c r="DDK33" i="6"/>
  <c r="DDJ33" i="6"/>
  <c r="DDI33" i="6"/>
  <c r="DDH33" i="6"/>
  <c r="DDG33" i="6"/>
  <c r="DDF33" i="6"/>
  <c r="DDE33" i="6"/>
  <c r="DDD33" i="6"/>
  <c r="DDC33" i="6"/>
  <c r="DDB33" i="6"/>
  <c r="DDA33" i="6"/>
  <c r="DCZ33" i="6"/>
  <c r="DCY33" i="6"/>
  <c r="DCX33" i="6"/>
  <c r="DCW33" i="6"/>
  <c r="DCV33" i="6"/>
  <c r="DCU33" i="6"/>
  <c r="DCT33" i="6"/>
  <c r="DCS33" i="6"/>
  <c r="DCR33" i="6"/>
  <c r="DCQ33" i="6"/>
  <c r="DCP33" i="6"/>
  <c r="DCO33" i="6"/>
  <c r="DCN33" i="6"/>
  <c r="DCM33" i="6"/>
  <c r="DCL33" i="6"/>
  <c r="DCK33" i="6"/>
  <c r="DCJ33" i="6"/>
  <c r="DCI33" i="6"/>
  <c r="DCH33" i="6"/>
  <c r="DCG33" i="6"/>
  <c r="DCF33" i="6"/>
  <c r="DCE33" i="6"/>
  <c r="DCD33" i="6"/>
  <c r="DCC33" i="6"/>
  <c r="DCB33" i="6"/>
  <c r="DCA33" i="6"/>
  <c r="DBZ33" i="6"/>
  <c r="DBY33" i="6"/>
  <c r="DBX33" i="6"/>
  <c r="DBW33" i="6"/>
  <c r="DBV33" i="6"/>
  <c r="DBU33" i="6"/>
  <c r="DBT33" i="6"/>
  <c r="DBS33" i="6"/>
  <c r="DBR33" i="6"/>
  <c r="DBQ33" i="6"/>
  <c r="DBP33" i="6"/>
  <c r="DBO33" i="6"/>
  <c r="DBN33" i="6"/>
  <c r="DBM33" i="6"/>
  <c r="DBL33" i="6"/>
  <c r="DBK33" i="6"/>
  <c r="DBJ33" i="6"/>
  <c r="DBI33" i="6"/>
  <c r="DBH33" i="6"/>
  <c r="DBG33" i="6"/>
  <c r="DBF33" i="6"/>
  <c r="DBE33" i="6"/>
  <c r="DBD33" i="6"/>
  <c r="DBC33" i="6"/>
  <c r="DBB33" i="6"/>
  <c r="DBA33" i="6"/>
  <c r="DAZ33" i="6"/>
  <c r="DAY33" i="6"/>
  <c r="DAX33" i="6"/>
  <c r="DAW33" i="6"/>
  <c r="DAV33" i="6"/>
  <c r="DAU33" i="6"/>
  <c r="DAT33" i="6"/>
  <c r="DAS33" i="6"/>
  <c r="DAR33" i="6"/>
  <c r="DAQ33" i="6"/>
  <c r="DAP33" i="6"/>
  <c r="DAO33" i="6"/>
  <c r="DAN33" i="6"/>
  <c r="DAM33" i="6"/>
  <c r="DAL33" i="6"/>
  <c r="DAK33" i="6"/>
  <c r="DAJ33" i="6"/>
  <c r="DAI33" i="6"/>
  <c r="DAH33" i="6"/>
  <c r="DAG33" i="6"/>
  <c r="DAF33" i="6"/>
  <c r="DAE33" i="6"/>
  <c r="DAD33" i="6"/>
  <c r="DAC33" i="6"/>
  <c r="DAB33" i="6"/>
  <c r="DAA33" i="6"/>
  <c r="CZZ33" i="6"/>
  <c r="CZY33" i="6"/>
  <c r="CZX33" i="6"/>
  <c r="CZW33" i="6"/>
  <c r="CZV33" i="6"/>
  <c r="CZU33" i="6"/>
  <c r="CZT33" i="6"/>
  <c r="CZS33" i="6"/>
  <c r="CZR33" i="6"/>
  <c r="CZQ33" i="6"/>
  <c r="CZP33" i="6"/>
  <c r="CZO33" i="6"/>
  <c r="CZN33" i="6"/>
  <c r="CZM33" i="6"/>
  <c r="CZL33" i="6"/>
  <c r="CZK33" i="6"/>
  <c r="CZJ33" i="6"/>
  <c r="CZI33" i="6"/>
  <c r="CZH33" i="6"/>
  <c r="CZG33" i="6"/>
  <c r="CZF33" i="6"/>
  <c r="CZE33" i="6"/>
  <c r="CZD33" i="6"/>
  <c r="CZC33" i="6"/>
  <c r="CZB33" i="6"/>
  <c r="CZA33" i="6"/>
  <c r="CYZ33" i="6"/>
  <c r="CYY33" i="6"/>
  <c r="CYX33" i="6"/>
  <c r="CYW33" i="6"/>
  <c r="CYV33" i="6"/>
  <c r="CYU33" i="6"/>
  <c r="CYT33" i="6"/>
  <c r="CYS33" i="6"/>
  <c r="CYR33" i="6"/>
  <c r="CYQ33" i="6"/>
  <c r="CYP33" i="6"/>
  <c r="CYO33" i="6"/>
  <c r="CYN33" i="6"/>
  <c r="CYM33" i="6"/>
  <c r="CYL33" i="6"/>
  <c r="CYK33" i="6"/>
  <c r="CYJ33" i="6"/>
  <c r="CYI33" i="6"/>
  <c r="CYH33" i="6"/>
  <c r="CYG33" i="6"/>
  <c r="CYF33" i="6"/>
  <c r="CYE33" i="6"/>
  <c r="CYD33" i="6"/>
  <c r="CYC33" i="6"/>
  <c r="CYB33" i="6"/>
  <c r="CYA33" i="6"/>
  <c r="CXZ33" i="6"/>
  <c r="CXY33" i="6"/>
  <c r="CXX33" i="6"/>
  <c r="CXW33" i="6"/>
  <c r="CXV33" i="6"/>
  <c r="CXU33" i="6"/>
  <c r="CXT33" i="6"/>
  <c r="CXS33" i="6"/>
  <c r="CXR33" i="6"/>
  <c r="CXQ33" i="6"/>
  <c r="CXP33" i="6"/>
  <c r="CXO33" i="6"/>
  <c r="CXN33" i="6"/>
  <c r="CXM33" i="6"/>
  <c r="CXL33" i="6"/>
  <c r="CXK33" i="6"/>
  <c r="CXJ33" i="6"/>
  <c r="CXI33" i="6"/>
  <c r="CXH33" i="6"/>
  <c r="CXG33" i="6"/>
  <c r="CXF33" i="6"/>
  <c r="CXE33" i="6"/>
  <c r="CXD33" i="6"/>
  <c r="CXC33" i="6"/>
  <c r="CXB33" i="6"/>
  <c r="CXA33" i="6"/>
  <c r="CWZ33" i="6"/>
  <c r="CWY33" i="6"/>
  <c r="CWX33" i="6"/>
  <c r="CWW33" i="6"/>
  <c r="CWV33" i="6"/>
  <c r="CWU33" i="6"/>
  <c r="CWT33" i="6"/>
  <c r="CWS33" i="6"/>
  <c r="CWR33" i="6"/>
  <c r="CWQ33" i="6"/>
  <c r="CWP33" i="6"/>
  <c r="CWO33" i="6"/>
  <c r="CWN33" i="6"/>
  <c r="CWM33" i="6"/>
  <c r="CWL33" i="6"/>
  <c r="CWK33" i="6"/>
  <c r="CWJ33" i="6"/>
  <c r="CWI33" i="6"/>
  <c r="CWH33" i="6"/>
  <c r="CWG33" i="6"/>
  <c r="CWF33" i="6"/>
  <c r="CWE33" i="6"/>
  <c r="CWD33" i="6"/>
  <c r="CWC33" i="6"/>
  <c r="CWB33" i="6"/>
  <c r="CWA33" i="6"/>
  <c r="CVZ33" i="6"/>
  <c r="CVY33" i="6"/>
  <c r="CVX33" i="6"/>
  <c r="CVW33" i="6"/>
  <c r="CVV33" i="6"/>
  <c r="CVU33" i="6"/>
  <c r="CVT33" i="6"/>
  <c r="CVS33" i="6"/>
  <c r="CVR33" i="6"/>
  <c r="CVQ33" i="6"/>
  <c r="CVP33" i="6"/>
  <c r="CVO33" i="6"/>
  <c r="CVN33" i="6"/>
  <c r="CVM33" i="6"/>
  <c r="CVL33" i="6"/>
  <c r="CVK33" i="6"/>
  <c r="CVJ33" i="6"/>
  <c r="CVI33" i="6"/>
  <c r="CVH33" i="6"/>
  <c r="CVG33" i="6"/>
  <c r="CVF33" i="6"/>
  <c r="CVE33" i="6"/>
  <c r="CVD33" i="6"/>
  <c r="CVC33" i="6"/>
  <c r="CVB33" i="6"/>
  <c r="CVA33" i="6"/>
  <c r="CUZ33" i="6"/>
  <c r="CUY33" i="6"/>
  <c r="CUX33" i="6"/>
  <c r="CUW33" i="6"/>
  <c r="CUV33" i="6"/>
  <c r="CUU33" i="6"/>
  <c r="CUT33" i="6"/>
  <c r="CUS33" i="6"/>
  <c r="CUR33" i="6"/>
  <c r="CUQ33" i="6"/>
  <c r="CUP33" i="6"/>
  <c r="CUO33" i="6"/>
  <c r="CUN33" i="6"/>
  <c r="CUM33" i="6"/>
  <c r="CUL33" i="6"/>
  <c r="CUK33" i="6"/>
  <c r="CUJ33" i="6"/>
  <c r="CUI33" i="6"/>
  <c r="CUH33" i="6"/>
  <c r="CUG33" i="6"/>
  <c r="CUF33" i="6"/>
  <c r="CUE33" i="6"/>
  <c r="CUD33" i="6"/>
  <c r="CUC33" i="6"/>
  <c r="CUB33" i="6"/>
  <c r="CUA33" i="6"/>
  <c r="CTZ33" i="6"/>
  <c r="CTY33" i="6"/>
  <c r="CTX33" i="6"/>
  <c r="CTW33" i="6"/>
  <c r="CTV33" i="6"/>
  <c r="CTU33" i="6"/>
  <c r="CTT33" i="6"/>
  <c r="CTS33" i="6"/>
  <c r="CTR33" i="6"/>
  <c r="CTQ33" i="6"/>
  <c r="CTP33" i="6"/>
  <c r="CTO33" i="6"/>
  <c r="CTN33" i="6"/>
  <c r="CTM33" i="6"/>
  <c r="CTL33" i="6"/>
  <c r="CTK33" i="6"/>
  <c r="CTJ33" i="6"/>
  <c r="CTI33" i="6"/>
  <c r="CTH33" i="6"/>
  <c r="CTG33" i="6"/>
  <c r="CTF33" i="6"/>
  <c r="CTE33" i="6"/>
  <c r="CTD33" i="6"/>
  <c r="CTC33" i="6"/>
  <c r="CTB33" i="6"/>
  <c r="CTA33" i="6"/>
  <c r="CSZ33" i="6"/>
  <c r="CSY33" i="6"/>
  <c r="CSX33" i="6"/>
  <c r="CSW33" i="6"/>
  <c r="CSV33" i="6"/>
  <c r="CSU33" i="6"/>
  <c r="CST33" i="6"/>
  <c r="CSS33" i="6"/>
  <c r="CSR33" i="6"/>
  <c r="CSQ33" i="6"/>
  <c r="CSP33" i="6"/>
  <c r="CSO33" i="6"/>
  <c r="CSN33" i="6"/>
  <c r="CSM33" i="6"/>
  <c r="CSL33" i="6"/>
  <c r="CSK33" i="6"/>
  <c r="CSJ33" i="6"/>
  <c r="CSI33" i="6"/>
  <c r="CSH33" i="6"/>
  <c r="CSG33" i="6"/>
  <c r="CSF33" i="6"/>
  <c r="CSE33" i="6"/>
  <c r="CSD33" i="6"/>
  <c r="CSC33" i="6"/>
  <c r="CSB33" i="6"/>
  <c r="CSA33" i="6"/>
  <c r="CRZ33" i="6"/>
  <c r="CRY33" i="6"/>
  <c r="CRX33" i="6"/>
  <c r="CRW33" i="6"/>
  <c r="CRV33" i="6"/>
  <c r="CRU33" i="6"/>
  <c r="CRT33" i="6"/>
  <c r="CRS33" i="6"/>
  <c r="CRR33" i="6"/>
  <c r="CRQ33" i="6"/>
  <c r="CRP33" i="6"/>
  <c r="CRO33" i="6"/>
  <c r="CRN33" i="6"/>
  <c r="CRM33" i="6"/>
  <c r="CRL33" i="6"/>
  <c r="CRK33" i="6"/>
  <c r="CRJ33" i="6"/>
  <c r="CRI33" i="6"/>
  <c r="CRH33" i="6"/>
  <c r="CRG33" i="6"/>
  <c r="CRF33" i="6"/>
  <c r="CRE33" i="6"/>
  <c r="CRD33" i="6"/>
  <c r="CRC33" i="6"/>
  <c r="CRB33" i="6"/>
  <c r="CRA33" i="6"/>
  <c r="CQZ33" i="6"/>
  <c r="CQY33" i="6"/>
  <c r="CQX33" i="6"/>
  <c r="CQW33" i="6"/>
  <c r="CQV33" i="6"/>
  <c r="CQU33" i="6"/>
  <c r="CQT33" i="6"/>
  <c r="CQS33" i="6"/>
  <c r="CQR33" i="6"/>
  <c r="CQQ33" i="6"/>
  <c r="CQP33" i="6"/>
  <c r="CQO33" i="6"/>
  <c r="CQN33" i="6"/>
  <c r="CQM33" i="6"/>
  <c r="CQL33" i="6"/>
  <c r="CQK33" i="6"/>
  <c r="CQJ33" i="6"/>
  <c r="CQI33" i="6"/>
  <c r="CQH33" i="6"/>
  <c r="CQG33" i="6"/>
  <c r="CQF33" i="6"/>
  <c r="CQE33" i="6"/>
  <c r="CQD33" i="6"/>
  <c r="CQC33" i="6"/>
  <c r="CQB33" i="6"/>
  <c r="CQA33" i="6"/>
  <c r="CPZ33" i="6"/>
  <c r="CPY33" i="6"/>
  <c r="CPX33" i="6"/>
  <c r="CPW33" i="6"/>
  <c r="CPV33" i="6"/>
  <c r="CPU33" i="6"/>
  <c r="CPT33" i="6"/>
  <c r="CPS33" i="6"/>
  <c r="CPR33" i="6"/>
  <c r="CPQ33" i="6"/>
  <c r="CPP33" i="6"/>
  <c r="CPO33" i="6"/>
  <c r="CPN33" i="6"/>
  <c r="CPM33" i="6"/>
  <c r="CPL33" i="6"/>
  <c r="CPK33" i="6"/>
  <c r="CPJ33" i="6"/>
  <c r="CPI33" i="6"/>
  <c r="CPH33" i="6"/>
  <c r="CPG33" i="6"/>
  <c r="CPF33" i="6"/>
  <c r="CPE33" i="6"/>
  <c r="CPD33" i="6"/>
  <c r="CPC33" i="6"/>
  <c r="CPB33" i="6"/>
  <c r="CPA33" i="6"/>
  <c r="COZ33" i="6"/>
  <c r="COY33" i="6"/>
  <c r="COX33" i="6"/>
  <c r="COW33" i="6"/>
  <c r="COV33" i="6"/>
  <c r="COU33" i="6"/>
  <c r="COT33" i="6"/>
  <c r="COS33" i="6"/>
  <c r="COR33" i="6"/>
  <c r="COQ33" i="6"/>
  <c r="COP33" i="6"/>
  <c r="COO33" i="6"/>
  <c r="CON33" i="6"/>
  <c r="COM33" i="6"/>
  <c r="COL33" i="6"/>
  <c r="COK33" i="6"/>
  <c r="COJ33" i="6"/>
  <c r="COI33" i="6"/>
  <c r="COH33" i="6"/>
  <c r="COG33" i="6"/>
  <c r="COF33" i="6"/>
  <c r="COE33" i="6"/>
  <c r="COD33" i="6"/>
  <c r="COC33" i="6"/>
  <c r="COB33" i="6"/>
  <c r="COA33" i="6"/>
  <c r="CNZ33" i="6"/>
  <c r="CNY33" i="6"/>
  <c r="CNX33" i="6"/>
  <c r="CNW33" i="6"/>
  <c r="CNV33" i="6"/>
  <c r="CNU33" i="6"/>
  <c r="CNT33" i="6"/>
  <c r="CNS33" i="6"/>
  <c r="CNR33" i="6"/>
  <c r="CNQ33" i="6"/>
  <c r="CNP33" i="6"/>
  <c r="CNO33" i="6"/>
  <c r="CNN33" i="6"/>
  <c r="CNM33" i="6"/>
  <c r="CNL33" i="6"/>
  <c r="CNK33" i="6"/>
  <c r="CNJ33" i="6"/>
  <c r="CNI33" i="6"/>
  <c r="CNH33" i="6"/>
  <c r="CNG33" i="6"/>
  <c r="CNF33" i="6"/>
  <c r="CNE33" i="6"/>
  <c r="CND33" i="6"/>
  <c r="CNC33" i="6"/>
  <c r="CNB33" i="6"/>
  <c r="CNA33" i="6"/>
  <c r="CMZ33" i="6"/>
  <c r="CMY33" i="6"/>
  <c r="CMX33" i="6"/>
  <c r="CMW33" i="6"/>
  <c r="CMV33" i="6"/>
  <c r="CMU33" i="6"/>
  <c r="CMT33" i="6"/>
  <c r="CMS33" i="6"/>
  <c r="CMR33" i="6"/>
  <c r="CMQ33" i="6"/>
  <c r="CMP33" i="6"/>
  <c r="CMO33" i="6"/>
  <c r="CMN33" i="6"/>
  <c r="CMM33" i="6"/>
  <c r="CML33" i="6"/>
  <c r="CMK33" i="6"/>
  <c r="CMJ33" i="6"/>
  <c r="CMI33" i="6"/>
  <c r="CMH33" i="6"/>
  <c r="CMG33" i="6"/>
  <c r="CMF33" i="6"/>
  <c r="CME33" i="6"/>
  <c r="CMD33" i="6"/>
  <c r="CMC33" i="6"/>
  <c r="CMB33" i="6"/>
  <c r="CMA33" i="6"/>
  <c r="CLZ33" i="6"/>
  <c r="CLY33" i="6"/>
  <c r="CLX33" i="6"/>
  <c r="CLW33" i="6"/>
  <c r="CLV33" i="6"/>
  <c r="CLU33" i="6"/>
  <c r="CLT33" i="6"/>
  <c r="CLS33" i="6"/>
  <c r="CLR33" i="6"/>
  <c r="CLQ33" i="6"/>
  <c r="CLP33" i="6"/>
  <c r="CLO33" i="6"/>
  <c r="CLN33" i="6"/>
  <c r="CLM33" i="6"/>
  <c r="CLL33" i="6"/>
  <c r="CLK33" i="6"/>
  <c r="CLJ33" i="6"/>
  <c r="CLI33" i="6"/>
  <c r="CLH33" i="6"/>
  <c r="CLG33" i="6"/>
  <c r="CLF33" i="6"/>
  <c r="CLE33" i="6"/>
  <c r="CLD33" i="6"/>
  <c r="CLC33" i="6"/>
  <c r="CLB33" i="6"/>
  <c r="CLA33" i="6"/>
  <c r="CKZ33" i="6"/>
  <c r="CKY33" i="6"/>
  <c r="CKX33" i="6"/>
  <c r="CKW33" i="6"/>
  <c r="CKV33" i="6"/>
  <c r="CKU33" i="6"/>
  <c r="CKT33" i="6"/>
  <c r="CKS33" i="6"/>
  <c r="CKR33" i="6"/>
  <c r="CKQ33" i="6"/>
  <c r="CKP33" i="6"/>
  <c r="CKO33" i="6"/>
  <c r="CKN33" i="6"/>
  <c r="CKM33" i="6"/>
  <c r="CKL33" i="6"/>
  <c r="CKK33" i="6"/>
  <c r="CKJ33" i="6"/>
  <c r="CKI33" i="6"/>
  <c r="CKH33" i="6"/>
  <c r="CKG33" i="6"/>
  <c r="CKF33" i="6"/>
  <c r="CKE33" i="6"/>
  <c r="CKD33" i="6"/>
  <c r="CKC33" i="6"/>
  <c r="CKB33" i="6"/>
  <c r="CKA33" i="6"/>
  <c r="CJZ33" i="6"/>
  <c r="CJY33" i="6"/>
  <c r="CJX33" i="6"/>
  <c r="CJW33" i="6"/>
  <c r="CJV33" i="6"/>
  <c r="CJU33" i="6"/>
  <c r="CJT33" i="6"/>
  <c r="CJS33" i="6"/>
  <c r="CJR33" i="6"/>
  <c r="CJQ33" i="6"/>
  <c r="CJP33" i="6"/>
  <c r="CJO33" i="6"/>
  <c r="CJN33" i="6"/>
  <c r="CJM33" i="6"/>
  <c r="CJL33" i="6"/>
  <c r="CJK33" i="6"/>
  <c r="CJJ33" i="6"/>
  <c r="CJI33" i="6"/>
  <c r="CJH33" i="6"/>
  <c r="CJG33" i="6"/>
  <c r="CJF33" i="6"/>
  <c r="CJE33" i="6"/>
  <c r="CJD33" i="6"/>
  <c r="CJC33" i="6"/>
  <c r="CJB33" i="6"/>
  <c r="CJA33" i="6"/>
  <c r="CIZ33" i="6"/>
  <c r="CIY33" i="6"/>
  <c r="CIX33" i="6"/>
  <c r="CIW33" i="6"/>
  <c r="CIV33" i="6"/>
  <c r="CIU33" i="6"/>
  <c r="CIT33" i="6"/>
  <c r="CIS33" i="6"/>
  <c r="CIR33" i="6"/>
  <c r="CIQ33" i="6"/>
  <c r="CIP33" i="6"/>
  <c r="CIO33" i="6"/>
  <c r="CIN33" i="6"/>
  <c r="CIM33" i="6"/>
  <c r="CIL33" i="6"/>
  <c r="CIK33" i="6"/>
  <c r="CIJ33" i="6"/>
  <c r="CII33" i="6"/>
  <c r="CIH33" i="6"/>
  <c r="CIG33" i="6"/>
  <c r="CIF33" i="6"/>
  <c r="CIE33" i="6"/>
  <c r="CID33" i="6"/>
  <c r="CIC33" i="6"/>
  <c r="CIB33" i="6"/>
  <c r="CIA33" i="6"/>
  <c r="CHZ33" i="6"/>
  <c r="CHY33" i="6"/>
  <c r="CHX33" i="6"/>
  <c r="CHW33" i="6"/>
  <c r="CHV33" i="6"/>
  <c r="CHU33" i="6"/>
  <c r="CHT33" i="6"/>
  <c r="CHS33" i="6"/>
  <c r="CHR33" i="6"/>
  <c r="CHQ33" i="6"/>
  <c r="CHP33" i="6"/>
  <c r="CHO33" i="6"/>
  <c r="CHN33" i="6"/>
  <c r="CHM33" i="6"/>
  <c r="CHL33" i="6"/>
  <c r="CHK33" i="6"/>
  <c r="CHJ33" i="6"/>
  <c r="CHI33" i="6"/>
  <c r="CHH33" i="6"/>
  <c r="CHG33" i="6"/>
  <c r="CHF33" i="6"/>
  <c r="CHE33" i="6"/>
  <c r="CHD33" i="6"/>
  <c r="CHC33" i="6"/>
  <c r="CHB33" i="6"/>
  <c r="CHA33" i="6"/>
  <c r="CGZ33" i="6"/>
  <c r="CGY33" i="6"/>
  <c r="CGX33" i="6"/>
  <c r="CGW33" i="6"/>
  <c r="CGV33" i="6"/>
  <c r="CGU33" i="6"/>
  <c r="CGT33" i="6"/>
  <c r="CGS33" i="6"/>
  <c r="CGR33" i="6"/>
  <c r="CGQ33" i="6"/>
  <c r="CGP33" i="6"/>
  <c r="CGO33" i="6"/>
  <c r="CGN33" i="6"/>
  <c r="CGM33" i="6"/>
  <c r="CGL33" i="6"/>
  <c r="CGK33" i="6"/>
  <c r="CGJ33" i="6"/>
  <c r="CGI33" i="6"/>
  <c r="CGH33" i="6"/>
  <c r="CGG33" i="6"/>
  <c r="CGF33" i="6"/>
  <c r="CGE33" i="6"/>
  <c r="CGD33" i="6"/>
  <c r="CGC33" i="6"/>
  <c r="CGB33" i="6"/>
  <c r="CGA33" i="6"/>
  <c r="CFZ33" i="6"/>
  <c r="CFY33" i="6"/>
  <c r="CFX33" i="6"/>
  <c r="CFW33" i="6"/>
  <c r="CFV33" i="6"/>
  <c r="CFU33" i="6"/>
  <c r="CFT33" i="6"/>
  <c r="CFS33" i="6"/>
  <c r="CFR33" i="6"/>
  <c r="CFQ33" i="6"/>
  <c r="CFP33" i="6"/>
  <c r="CFO33" i="6"/>
  <c r="CFN33" i="6"/>
  <c r="CFM33" i="6"/>
  <c r="CFL33" i="6"/>
  <c r="CFK33" i="6"/>
  <c r="CFJ33" i="6"/>
  <c r="CFI33" i="6"/>
  <c r="CFH33" i="6"/>
  <c r="CFG33" i="6"/>
  <c r="CFF33" i="6"/>
  <c r="CFE33" i="6"/>
  <c r="CFD33" i="6"/>
  <c r="CFC33" i="6"/>
  <c r="CFB33" i="6"/>
  <c r="CFA33" i="6"/>
  <c r="CEZ33" i="6"/>
  <c r="CEY33" i="6"/>
  <c r="CEX33" i="6"/>
  <c r="CEW33" i="6"/>
  <c r="CEV33" i="6"/>
  <c r="CEU33" i="6"/>
  <c r="CET33" i="6"/>
  <c r="CES33" i="6"/>
  <c r="CER33" i="6"/>
  <c r="CEQ33" i="6"/>
  <c r="CEP33" i="6"/>
  <c r="CEO33" i="6"/>
  <c r="CEN33" i="6"/>
  <c r="CEM33" i="6"/>
  <c r="CEL33" i="6"/>
  <c r="CEK33" i="6"/>
  <c r="CEJ33" i="6"/>
  <c r="CEI33" i="6"/>
  <c r="CEH33" i="6"/>
  <c r="CEG33" i="6"/>
  <c r="CEF33" i="6"/>
  <c r="CEE33" i="6"/>
  <c r="CED33" i="6"/>
  <c r="CEC33" i="6"/>
  <c r="CEB33" i="6"/>
  <c r="CEA33" i="6"/>
  <c r="CDZ33" i="6"/>
  <c r="CDY33" i="6"/>
  <c r="CDX33" i="6"/>
  <c r="CDW33" i="6"/>
  <c r="CDV33" i="6"/>
  <c r="CDU33" i="6"/>
  <c r="CDT33" i="6"/>
  <c r="CDS33" i="6"/>
  <c r="CDR33" i="6"/>
  <c r="CDQ33" i="6"/>
  <c r="CDP33" i="6"/>
  <c r="CDO33" i="6"/>
  <c r="CDN33" i="6"/>
  <c r="CDM33" i="6"/>
  <c r="CDL33" i="6"/>
  <c r="CDK33" i="6"/>
  <c r="CDJ33" i="6"/>
  <c r="CDI33" i="6"/>
  <c r="CDH33" i="6"/>
  <c r="CDG33" i="6"/>
  <c r="CDF33" i="6"/>
  <c r="CDE33" i="6"/>
  <c r="CDD33" i="6"/>
  <c r="CDC33" i="6"/>
  <c r="CDB33" i="6"/>
  <c r="CDA33" i="6"/>
  <c r="CCZ33" i="6"/>
  <c r="CCY33" i="6"/>
  <c r="CCX33" i="6"/>
  <c r="CCW33" i="6"/>
  <c r="CCV33" i="6"/>
  <c r="CCU33" i="6"/>
  <c r="CCT33" i="6"/>
  <c r="CCS33" i="6"/>
  <c r="CCR33" i="6"/>
  <c r="CCQ33" i="6"/>
  <c r="CCP33" i="6"/>
  <c r="CCO33" i="6"/>
  <c r="CCN33" i="6"/>
  <c r="CCM33" i="6"/>
  <c r="CCL33" i="6"/>
  <c r="CCK33" i="6"/>
  <c r="CCJ33" i="6"/>
  <c r="CCI33" i="6"/>
  <c r="CCH33" i="6"/>
  <c r="CCG33" i="6"/>
  <c r="CCF33" i="6"/>
  <c r="CCE33" i="6"/>
  <c r="CCD33" i="6"/>
  <c r="CCC33" i="6"/>
  <c r="CCB33" i="6"/>
  <c r="CCA33" i="6"/>
  <c r="CBZ33" i="6"/>
  <c r="CBY33" i="6"/>
  <c r="CBX33" i="6"/>
  <c r="CBW33" i="6"/>
  <c r="CBV33" i="6"/>
  <c r="CBU33" i="6"/>
  <c r="CBT33" i="6"/>
  <c r="CBS33" i="6"/>
  <c r="CBR33" i="6"/>
  <c r="CBQ33" i="6"/>
  <c r="CBP33" i="6"/>
  <c r="CBO33" i="6"/>
  <c r="CBN33" i="6"/>
  <c r="CBM33" i="6"/>
  <c r="CBL33" i="6"/>
  <c r="CBK33" i="6"/>
  <c r="CBJ33" i="6"/>
  <c r="CBI33" i="6"/>
  <c r="CBH33" i="6"/>
  <c r="CBG33" i="6"/>
  <c r="CBF33" i="6"/>
  <c r="CBE33" i="6"/>
  <c r="CBD33" i="6"/>
  <c r="CBC33" i="6"/>
  <c r="CBB33" i="6"/>
  <c r="CBA33" i="6"/>
  <c r="CAZ33" i="6"/>
  <c r="CAY33" i="6"/>
  <c r="CAX33" i="6"/>
  <c r="CAW33" i="6"/>
  <c r="CAV33" i="6"/>
  <c r="CAU33" i="6"/>
  <c r="CAT33" i="6"/>
  <c r="CAS33" i="6"/>
  <c r="CAR33" i="6"/>
  <c r="CAQ33" i="6"/>
  <c r="CAP33" i="6"/>
  <c r="CAO33" i="6"/>
  <c r="CAN33" i="6"/>
  <c r="CAM33" i="6"/>
  <c r="CAL33" i="6"/>
  <c r="CAK33" i="6"/>
  <c r="CAJ33" i="6"/>
  <c r="CAI33" i="6"/>
  <c r="CAH33" i="6"/>
  <c r="CAG33" i="6"/>
  <c r="CAF33" i="6"/>
  <c r="CAE33" i="6"/>
  <c r="CAD33" i="6"/>
  <c r="CAC33" i="6"/>
  <c r="CAB33" i="6"/>
  <c r="CAA33" i="6"/>
  <c r="BZZ33" i="6"/>
  <c r="BZY33" i="6"/>
  <c r="BZX33" i="6"/>
  <c r="BZW33" i="6"/>
  <c r="BZV33" i="6"/>
  <c r="BZU33" i="6"/>
  <c r="BZT33" i="6"/>
  <c r="BZS33" i="6"/>
  <c r="BZR33" i="6"/>
  <c r="BZQ33" i="6"/>
  <c r="BZP33" i="6"/>
  <c r="BZO33" i="6"/>
  <c r="BZN33" i="6"/>
  <c r="BZM33" i="6"/>
  <c r="BZL33" i="6"/>
  <c r="BZK33" i="6"/>
  <c r="BZJ33" i="6"/>
  <c r="BZI33" i="6"/>
  <c r="BZH33" i="6"/>
  <c r="BZG33" i="6"/>
  <c r="BZF33" i="6"/>
  <c r="BZE33" i="6"/>
  <c r="BZD33" i="6"/>
  <c r="BZC33" i="6"/>
  <c r="BZB33" i="6"/>
  <c r="BZA33" i="6"/>
  <c r="BYZ33" i="6"/>
  <c r="BYY33" i="6"/>
  <c r="BYX33" i="6"/>
  <c r="BYW33" i="6"/>
  <c r="BYV33" i="6"/>
  <c r="BYU33" i="6"/>
  <c r="BYT33" i="6"/>
  <c r="BYS33" i="6"/>
  <c r="BYR33" i="6"/>
  <c r="BYQ33" i="6"/>
  <c r="BYP33" i="6"/>
  <c r="BYO33" i="6"/>
  <c r="BYN33" i="6"/>
  <c r="BYM33" i="6"/>
  <c r="BYL33" i="6"/>
  <c r="BYK33" i="6"/>
  <c r="BYJ33" i="6"/>
  <c r="BYI33" i="6"/>
  <c r="BYH33" i="6"/>
  <c r="BYG33" i="6"/>
  <c r="BYF33" i="6"/>
  <c r="BYE33" i="6"/>
  <c r="BYD33" i="6"/>
  <c r="BYC33" i="6"/>
  <c r="BYB33" i="6"/>
  <c r="BYA33" i="6"/>
  <c r="BXZ33" i="6"/>
  <c r="BXY33" i="6"/>
  <c r="BXX33" i="6"/>
  <c r="BXW33" i="6"/>
  <c r="BXV33" i="6"/>
  <c r="BXU33" i="6"/>
  <c r="BXT33" i="6"/>
  <c r="BXS33" i="6"/>
  <c r="BXR33" i="6"/>
  <c r="BXQ33" i="6"/>
  <c r="BXP33" i="6"/>
  <c r="BXO33" i="6"/>
  <c r="BXN33" i="6"/>
  <c r="BXM33" i="6"/>
  <c r="BXL33" i="6"/>
  <c r="BXK33" i="6"/>
  <c r="BXJ33" i="6"/>
  <c r="BXI33" i="6"/>
  <c r="BXH33" i="6"/>
  <c r="BXG33" i="6"/>
  <c r="BXF33" i="6"/>
  <c r="BXE33" i="6"/>
  <c r="BXD33" i="6"/>
  <c r="BXC33" i="6"/>
  <c r="BXB33" i="6"/>
  <c r="BXA33" i="6"/>
  <c r="BWZ33" i="6"/>
  <c r="BWY33" i="6"/>
  <c r="BWX33" i="6"/>
  <c r="BWW33" i="6"/>
  <c r="BWV33" i="6"/>
  <c r="BWU33" i="6"/>
  <c r="BWT33" i="6"/>
  <c r="BWS33" i="6"/>
  <c r="BWR33" i="6"/>
  <c r="BWQ33" i="6"/>
  <c r="BWP33" i="6"/>
  <c r="BWO33" i="6"/>
  <c r="BWN33" i="6"/>
  <c r="BWM33" i="6"/>
  <c r="BWL33" i="6"/>
  <c r="BWK33" i="6"/>
  <c r="BWJ33" i="6"/>
  <c r="BWI33" i="6"/>
  <c r="BWH33" i="6"/>
  <c r="BWG33" i="6"/>
  <c r="BWF33" i="6"/>
  <c r="BWE33" i="6"/>
  <c r="BWD33" i="6"/>
  <c r="BWC33" i="6"/>
  <c r="BWB33" i="6"/>
  <c r="BWA33" i="6"/>
  <c r="BVZ33" i="6"/>
  <c r="BVY33" i="6"/>
  <c r="BVX33" i="6"/>
  <c r="BVW33" i="6"/>
  <c r="BVV33" i="6"/>
  <c r="BVU33" i="6"/>
  <c r="BVT33" i="6"/>
  <c r="BVS33" i="6"/>
  <c r="BVR33" i="6"/>
  <c r="BVQ33" i="6"/>
  <c r="BVP33" i="6"/>
  <c r="BVO33" i="6"/>
  <c r="BVN33" i="6"/>
  <c r="BVM33" i="6"/>
  <c r="BVL33" i="6"/>
  <c r="BVK33" i="6"/>
  <c r="BVJ33" i="6"/>
  <c r="BVI33" i="6"/>
  <c r="BVH33" i="6"/>
  <c r="BVG33" i="6"/>
  <c r="BVF33" i="6"/>
  <c r="BVE33" i="6"/>
  <c r="BVD33" i="6"/>
  <c r="BVC33" i="6"/>
  <c r="BVB33" i="6"/>
  <c r="BVA33" i="6"/>
  <c r="BUZ33" i="6"/>
  <c r="BUY33" i="6"/>
  <c r="BUX33" i="6"/>
  <c r="BUW33" i="6"/>
  <c r="BUV33" i="6"/>
  <c r="BUU33" i="6"/>
  <c r="BUT33" i="6"/>
  <c r="BUS33" i="6"/>
  <c r="BUR33" i="6"/>
  <c r="BUQ33" i="6"/>
  <c r="BUP33" i="6"/>
  <c r="BUO33" i="6"/>
  <c r="BUN33" i="6"/>
  <c r="BUM33" i="6"/>
  <c r="BUL33" i="6"/>
  <c r="BUK33" i="6"/>
  <c r="BUJ33" i="6"/>
  <c r="BUI33" i="6"/>
  <c r="BUH33" i="6"/>
  <c r="BUG33" i="6"/>
  <c r="BUF33" i="6"/>
  <c r="BUE33" i="6"/>
  <c r="BUD33" i="6"/>
  <c r="BUC33" i="6"/>
  <c r="BUB33" i="6"/>
  <c r="BUA33" i="6"/>
  <c r="BTZ33" i="6"/>
  <c r="BTY33" i="6"/>
  <c r="BTX33" i="6"/>
  <c r="BTW33" i="6"/>
  <c r="BTV33" i="6"/>
  <c r="BTU33" i="6"/>
  <c r="BTT33" i="6"/>
  <c r="BTS33" i="6"/>
  <c r="BTR33" i="6"/>
  <c r="BTQ33" i="6"/>
  <c r="BTP33" i="6"/>
  <c r="BTO33" i="6"/>
  <c r="BTN33" i="6"/>
  <c r="BTM33" i="6"/>
  <c r="BTL33" i="6"/>
  <c r="BTK33" i="6"/>
  <c r="BTJ33" i="6"/>
  <c r="BTI33" i="6"/>
  <c r="BTH33" i="6"/>
  <c r="BTG33" i="6"/>
  <c r="BTF33" i="6"/>
  <c r="BTE33" i="6"/>
  <c r="BTD33" i="6"/>
  <c r="BTC33" i="6"/>
  <c r="BTB33" i="6"/>
  <c r="BTA33" i="6"/>
  <c r="BSZ33" i="6"/>
  <c r="BSY33" i="6"/>
  <c r="BSX33" i="6"/>
  <c r="BSW33" i="6"/>
  <c r="BSV33" i="6"/>
  <c r="BSU33" i="6"/>
  <c r="BST33" i="6"/>
  <c r="BSS33" i="6"/>
  <c r="BSR33" i="6"/>
  <c r="BSQ33" i="6"/>
  <c r="BSP33" i="6"/>
  <c r="BSO33" i="6"/>
  <c r="BSN33" i="6"/>
  <c r="BSM33" i="6"/>
  <c r="BSL33" i="6"/>
  <c r="BSK33" i="6"/>
  <c r="BSJ33" i="6"/>
  <c r="BSI33" i="6"/>
  <c r="BSH33" i="6"/>
  <c r="BSG33" i="6"/>
  <c r="BSF33" i="6"/>
  <c r="BSE33" i="6"/>
  <c r="BSD33" i="6"/>
  <c r="BSC33" i="6"/>
  <c r="BSB33" i="6"/>
  <c r="BSA33" i="6"/>
  <c r="BRZ33" i="6"/>
  <c r="BRY33" i="6"/>
  <c r="BRX33" i="6"/>
  <c r="BRW33" i="6"/>
  <c r="BRV33" i="6"/>
  <c r="BRU33" i="6"/>
  <c r="BRT33" i="6"/>
  <c r="BRS33" i="6"/>
  <c r="BRR33" i="6"/>
  <c r="BRQ33" i="6"/>
  <c r="BRP33" i="6"/>
  <c r="BRO33" i="6"/>
  <c r="BRN33" i="6"/>
  <c r="BRM33" i="6"/>
  <c r="BRL33" i="6"/>
  <c r="BRK33" i="6"/>
  <c r="BRJ33" i="6"/>
  <c r="BRI33" i="6"/>
  <c r="BRH33" i="6"/>
  <c r="BRG33" i="6"/>
  <c r="BRF33" i="6"/>
  <c r="BRE33" i="6"/>
  <c r="BRD33" i="6"/>
  <c r="BRC33" i="6"/>
  <c r="BRB33" i="6"/>
  <c r="BRA33" i="6"/>
  <c r="BQZ33" i="6"/>
  <c r="BQY33" i="6"/>
  <c r="BQX33" i="6"/>
  <c r="BQW33" i="6"/>
  <c r="BQV33" i="6"/>
  <c r="BQU33" i="6"/>
  <c r="BQT33" i="6"/>
  <c r="BQS33" i="6"/>
  <c r="BQR33" i="6"/>
  <c r="BQQ33" i="6"/>
  <c r="BQP33" i="6"/>
  <c r="BQO33" i="6"/>
  <c r="BQN33" i="6"/>
  <c r="BQM33" i="6"/>
  <c r="BQL33" i="6"/>
  <c r="BQK33" i="6"/>
  <c r="BQJ33" i="6"/>
  <c r="BQI33" i="6"/>
  <c r="BQH33" i="6"/>
  <c r="BQG33" i="6"/>
  <c r="BQF33" i="6"/>
  <c r="BQE33" i="6"/>
  <c r="BQD33" i="6"/>
  <c r="BQC33" i="6"/>
  <c r="BQB33" i="6"/>
  <c r="BQA33" i="6"/>
  <c r="BPZ33" i="6"/>
  <c r="BPY33" i="6"/>
  <c r="BPX33" i="6"/>
  <c r="BPW33" i="6"/>
  <c r="BPV33" i="6"/>
  <c r="BPU33" i="6"/>
  <c r="BPT33" i="6"/>
  <c r="BPS33" i="6"/>
  <c r="BPR33" i="6"/>
  <c r="BPQ33" i="6"/>
  <c r="BPP33" i="6"/>
  <c r="BPO33" i="6"/>
  <c r="BPN33" i="6"/>
  <c r="BPM33" i="6"/>
  <c r="BPL33" i="6"/>
  <c r="BPK33" i="6"/>
  <c r="BPJ33" i="6"/>
  <c r="BPI33" i="6"/>
  <c r="BPH33" i="6"/>
  <c r="BPG33" i="6"/>
  <c r="BPF33" i="6"/>
  <c r="BPE33" i="6"/>
  <c r="BPD33" i="6"/>
  <c r="BPC33" i="6"/>
  <c r="BPB33" i="6"/>
  <c r="BPA33" i="6"/>
  <c r="BOZ33" i="6"/>
  <c r="BOY33" i="6"/>
  <c r="BOX33" i="6"/>
  <c r="BOW33" i="6"/>
  <c r="BOV33" i="6"/>
  <c r="BOU33" i="6"/>
  <c r="BOT33" i="6"/>
  <c r="BOS33" i="6"/>
  <c r="BOR33" i="6"/>
  <c r="BOQ33" i="6"/>
  <c r="BOP33" i="6"/>
  <c r="BOO33" i="6"/>
  <c r="BON33" i="6"/>
  <c r="BOM33" i="6"/>
  <c r="BOL33" i="6"/>
  <c r="BOK33" i="6"/>
  <c r="BOJ33" i="6"/>
  <c r="BOI33" i="6"/>
  <c r="BOH33" i="6"/>
  <c r="BOG33" i="6"/>
  <c r="BOF33" i="6"/>
  <c r="BOE33" i="6"/>
  <c r="BOD33" i="6"/>
  <c r="BOC33" i="6"/>
  <c r="BOB33" i="6"/>
  <c r="BOA33" i="6"/>
  <c r="BNZ33" i="6"/>
  <c r="BNY33" i="6"/>
  <c r="BNX33" i="6"/>
  <c r="BNW33" i="6"/>
  <c r="BNV33" i="6"/>
  <c r="BNU33" i="6"/>
  <c r="BNT33" i="6"/>
  <c r="BNS33" i="6"/>
  <c r="BNR33" i="6"/>
  <c r="BNQ33" i="6"/>
  <c r="BNP33" i="6"/>
  <c r="BNO33" i="6"/>
  <c r="BNN33" i="6"/>
  <c r="BNM33" i="6"/>
  <c r="BNL33" i="6"/>
  <c r="BNK33" i="6"/>
  <c r="BNJ33" i="6"/>
  <c r="BNI33" i="6"/>
  <c r="BNH33" i="6"/>
  <c r="BNG33" i="6"/>
  <c r="BNF33" i="6"/>
  <c r="BNE33" i="6"/>
  <c r="BND33" i="6"/>
  <c r="BNC33" i="6"/>
  <c r="BNB33" i="6"/>
  <c r="BNA33" i="6"/>
  <c r="BMZ33" i="6"/>
  <c r="BMY33" i="6"/>
  <c r="BMX33" i="6"/>
  <c r="BMW33" i="6"/>
  <c r="BMV33" i="6"/>
  <c r="BMU33" i="6"/>
  <c r="BMT33" i="6"/>
  <c r="BMS33" i="6"/>
  <c r="BMR33" i="6"/>
  <c r="BMQ33" i="6"/>
  <c r="BMP33" i="6"/>
  <c r="BMO33" i="6"/>
  <c r="BMN33" i="6"/>
  <c r="BMM33" i="6"/>
  <c r="BML33" i="6"/>
  <c r="BMK33" i="6"/>
  <c r="BMJ33" i="6"/>
  <c r="BMI33" i="6"/>
  <c r="BMH33" i="6"/>
  <c r="BMG33" i="6"/>
  <c r="BMF33" i="6"/>
  <c r="BME33" i="6"/>
  <c r="BMD33" i="6"/>
  <c r="BMC33" i="6"/>
  <c r="BMB33" i="6"/>
  <c r="BMA33" i="6"/>
  <c r="BLZ33" i="6"/>
  <c r="BLY33" i="6"/>
  <c r="BLX33" i="6"/>
  <c r="BLW33" i="6"/>
  <c r="BLV33" i="6"/>
  <c r="BLU33" i="6"/>
  <c r="BLT33" i="6"/>
  <c r="BLS33" i="6"/>
  <c r="BLR33" i="6"/>
  <c r="BLQ33" i="6"/>
  <c r="BLP33" i="6"/>
  <c r="BLO33" i="6"/>
  <c r="BLN33" i="6"/>
  <c r="BLM33" i="6"/>
  <c r="BLL33" i="6"/>
  <c r="BLK33" i="6"/>
  <c r="BLJ33" i="6"/>
  <c r="BLI33" i="6"/>
  <c r="BLH33" i="6"/>
  <c r="BLG33" i="6"/>
  <c r="BLF33" i="6"/>
  <c r="BLE33" i="6"/>
  <c r="BLD33" i="6"/>
  <c r="BLC33" i="6"/>
  <c r="BLB33" i="6"/>
  <c r="BLA33" i="6"/>
  <c r="BKZ33" i="6"/>
  <c r="BKY33" i="6"/>
  <c r="BKX33" i="6"/>
  <c r="BKW33" i="6"/>
  <c r="BKV33" i="6"/>
  <c r="BKU33" i="6"/>
  <c r="BKT33" i="6"/>
  <c r="BKS33" i="6"/>
  <c r="BKR33" i="6"/>
  <c r="BKQ33" i="6"/>
  <c r="BKP33" i="6"/>
  <c r="BKO33" i="6"/>
  <c r="BKN33" i="6"/>
  <c r="BKM33" i="6"/>
  <c r="BKL33" i="6"/>
  <c r="BKK33" i="6"/>
  <c r="BKJ33" i="6"/>
  <c r="BKI33" i="6"/>
  <c r="BKH33" i="6"/>
  <c r="BKG33" i="6"/>
  <c r="BKF33" i="6"/>
  <c r="BKE33" i="6"/>
  <c r="BKD33" i="6"/>
  <c r="BKC33" i="6"/>
  <c r="BKB33" i="6"/>
  <c r="BKA33" i="6"/>
  <c r="BJZ33" i="6"/>
  <c r="BJY33" i="6"/>
  <c r="BJX33" i="6"/>
  <c r="BJW33" i="6"/>
  <c r="BJV33" i="6"/>
  <c r="BJU33" i="6"/>
  <c r="BJT33" i="6"/>
  <c r="BJS33" i="6"/>
  <c r="BJR33" i="6"/>
  <c r="BJQ33" i="6"/>
  <c r="BJP33" i="6"/>
  <c r="BJO33" i="6"/>
  <c r="BJN33" i="6"/>
  <c r="BJM33" i="6"/>
  <c r="BJL33" i="6"/>
  <c r="BJK33" i="6"/>
  <c r="BJJ33" i="6"/>
  <c r="BJI33" i="6"/>
  <c r="BJH33" i="6"/>
  <c r="BJG33" i="6"/>
  <c r="BJF33" i="6"/>
  <c r="BJE33" i="6"/>
  <c r="BJD33" i="6"/>
  <c r="BJC33" i="6"/>
  <c r="BJB33" i="6"/>
  <c r="BJA33" i="6"/>
  <c r="BIZ33" i="6"/>
  <c r="BIY33" i="6"/>
  <c r="BIX33" i="6"/>
  <c r="BIW33" i="6"/>
  <c r="BIV33" i="6"/>
  <c r="BIU33" i="6"/>
  <c r="BIT33" i="6"/>
  <c r="BIS33" i="6"/>
  <c r="BIR33" i="6"/>
  <c r="BIQ33" i="6"/>
  <c r="BIP33" i="6"/>
  <c r="BIO33" i="6"/>
  <c r="BIN33" i="6"/>
  <c r="BIM33" i="6"/>
  <c r="BIL33" i="6"/>
  <c r="BIK33" i="6"/>
  <c r="BIJ33" i="6"/>
  <c r="BII33" i="6"/>
  <c r="BIH33" i="6"/>
  <c r="BIG33" i="6"/>
  <c r="BIF33" i="6"/>
  <c r="BIE33" i="6"/>
  <c r="BID33" i="6"/>
  <c r="BIC33" i="6"/>
  <c r="BIB33" i="6"/>
  <c r="BIA33" i="6"/>
  <c r="BHZ33" i="6"/>
  <c r="BHY33" i="6"/>
  <c r="BHX33" i="6"/>
  <c r="BHW33" i="6"/>
  <c r="BHV33" i="6"/>
  <c r="BHU33" i="6"/>
  <c r="BHT33" i="6"/>
  <c r="BHS33" i="6"/>
  <c r="BHR33" i="6"/>
  <c r="BHQ33" i="6"/>
  <c r="BHP33" i="6"/>
  <c r="BHO33" i="6"/>
  <c r="BHN33" i="6"/>
  <c r="BHM33" i="6"/>
  <c r="BHL33" i="6"/>
  <c r="BHK33" i="6"/>
  <c r="BHJ33" i="6"/>
  <c r="BHI33" i="6"/>
  <c r="BHH33" i="6"/>
  <c r="BHG33" i="6"/>
  <c r="BHF33" i="6"/>
  <c r="BHE33" i="6"/>
  <c r="BHD33" i="6"/>
  <c r="BHC33" i="6"/>
  <c r="BHB33" i="6"/>
  <c r="BHA33" i="6"/>
  <c r="BGZ33" i="6"/>
  <c r="BGY33" i="6"/>
  <c r="BGX33" i="6"/>
  <c r="BGW33" i="6"/>
  <c r="BGV33" i="6"/>
  <c r="BGU33" i="6"/>
  <c r="BGT33" i="6"/>
  <c r="BGS33" i="6"/>
  <c r="BGR33" i="6"/>
  <c r="BGQ33" i="6"/>
  <c r="BGP33" i="6"/>
  <c r="BGO33" i="6"/>
  <c r="BGN33" i="6"/>
  <c r="BGM33" i="6"/>
  <c r="BGL33" i="6"/>
  <c r="BGK33" i="6"/>
  <c r="BGJ33" i="6"/>
  <c r="BGI33" i="6"/>
  <c r="BGH33" i="6"/>
  <c r="BGG33" i="6"/>
  <c r="BGF33" i="6"/>
  <c r="BGE33" i="6"/>
  <c r="BGD33" i="6"/>
  <c r="BGC33" i="6"/>
  <c r="BGB33" i="6"/>
  <c r="BGA33" i="6"/>
  <c r="BFZ33" i="6"/>
  <c r="BFY33" i="6"/>
  <c r="BFX33" i="6"/>
  <c r="BFW33" i="6"/>
  <c r="BFV33" i="6"/>
  <c r="BFU33" i="6"/>
  <c r="BFT33" i="6"/>
  <c r="BFS33" i="6"/>
  <c r="BFR33" i="6"/>
  <c r="BFQ33" i="6"/>
  <c r="BFP33" i="6"/>
  <c r="BFO33" i="6"/>
  <c r="BFN33" i="6"/>
  <c r="BFM33" i="6"/>
  <c r="BFL33" i="6"/>
  <c r="BFK33" i="6"/>
  <c r="BFJ33" i="6"/>
  <c r="BFI33" i="6"/>
  <c r="BFH33" i="6"/>
  <c r="BFG33" i="6"/>
  <c r="BFF33" i="6"/>
  <c r="BFE33" i="6"/>
  <c r="BFD33" i="6"/>
  <c r="BFC33" i="6"/>
  <c r="BFB33" i="6"/>
  <c r="BFA33" i="6"/>
  <c r="BEZ33" i="6"/>
  <c r="BEY33" i="6"/>
  <c r="BEX33" i="6"/>
  <c r="BEW33" i="6"/>
  <c r="BEV33" i="6"/>
  <c r="BEU33" i="6"/>
  <c r="BET33" i="6"/>
  <c r="BES33" i="6"/>
  <c r="BER33" i="6"/>
  <c r="BEQ33" i="6"/>
  <c r="BEP33" i="6"/>
  <c r="BEO33" i="6"/>
  <c r="BEN33" i="6"/>
  <c r="BEM33" i="6"/>
  <c r="BEL33" i="6"/>
  <c r="BEK33" i="6"/>
  <c r="BEJ33" i="6"/>
  <c r="BEI33" i="6"/>
  <c r="BEH33" i="6"/>
  <c r="BEG33" i="6"/>
  <c r="BEF33" i="6"/>
  <c r="BEE33" i="6"/>
  <c r="BED33" i="6"/>
  <c r="BEC33" i="6"/>
  <c r="BEB33" i="6"/>
  <c r="BEA33" i="6"/>
  <c r="BDZ33" i="6"/>
  <c r="BDY33" i="6"/>
  <c r="BDX33" i="6"/>
  <c r="BDW33" i="6"/>
  <c r="BDV33" i="6"/>
  <c r="BDU33" i="6"/>
  <c r="BDT33" i="6"/>
  <c r="BDS33" i="6"/>
  <c r="BDR33" i="6"/>
  <c r="BDQ33" i="6"/>
  <c r="BDP33" i="6"/>
  <c r="BDO33" i="6"/>
  <c r="BDN33" i="6"/>
  <c r="BDM33" i="6"/>
  <c r="BDL33" i="6"/>
  <c r="BDK33" i="6"/>
  <c r="BDJ33" i="6"/>
  <c r="BDI33" i="6"/>
  <c r="BDH33" i="6"/>
  <c r="BDG33" i="6"/>
  <c r="BDF33" i="6"/>
  <c r="BDE33" i="6"/>
  <c r="BDD33" i="6"/>
  <c r="BDC33" i="6"/>
  <c r="BDB33" i="6"/>
  <c r="BDA33" i="6"/>
  <c r="BCZ33" i="6"/>
  <c r="BCY33" i="6"/>
  <c r="BCX33" i="6"/>
  <c r="BCW33" i="6"/>
  <c r="BCV33" i="6"/>
  <c r="BCU33" i="6"/>
  <c r="BCT33" i="6"/>
  <c r="BCS33" i="6"/>
  <c r="BCR33" i="6"/>
  <c r="BCQ33" i="6"/>
  <c r="BCP33" i="6"/>
  <c r="BCO33" i="6"/>
  <c r="BCN33" i="6"/>
  <c r="BCM33" i="6"/>
  <c r="BCL33" i="6"/>
  <c r="BCK33" i="6"/>
  <c r="BCJ33" i="6"/>
  <c r="BCI33" i="6"/>
  <c r="BCH33" i="6"/>
  <c r="BCG33" i="6"/>
  <c r="BCF33" i="6"/>
  <c r="BCE33" i="6"/>
  <c r="BCD33" i="6"/>
  <c r="BCC33" i="6"/>
  <c r="BCB33" i="6"/>
  <c r="BCA33" i="6"/>
  <c r="BBZ33" i="6"/>
  <c r="BBY33" i="6"/>
  <c r="BBX33" i="6"/>
  <c r="BBW33" i="6"/>
  <c r="BBV33" i="6"/>
  <c r="BBU33" i="6"/>
  <c r="BBT33" i="6"/>
  <c r="BBS33" i="6"/>
  <c r="BBR33" i="6"/>
  <c r="BBQ33" i="6"/>
  <c r="BBP33" i="6"/>
  <c r="BBO33" i="6"/>
  <c r="BBN33" i="6"/>
  <c r="BBM33" i="6"/>
  <c r="BBL33" i="6"/>
  <c r="BBK33" i="6"/>
  <c r="BBJ33" i="6"/>
  <c r="BBI33" i="6"/>
  <c r="BBH33" i="6"/>
  <c r="BBG33" i="6"/>
  <c r="BBF33" i="6"/>
  <c r="BBE33" i="6"/>
  <c r="BBD33" i="6"/>
  <c r="BBC33" i="6"/>
  <c r="BBB33" i="6"/>
  <c r="BBA33" i="6"/>
  <c r="BAZ33" i="6"/>
  <c r="BAY33" i="6"/>
  <c r="BAX33" i="6"/>
  <c r="BAW33" i="6"/>
  <c r="BAV33" i="6"/>
  <c r="BAU33" i="6"/>
  <c r="BAT33" i="6"/>
  <c r="BAS33" i="6"/>
  <c r="BAR33" i="6"/>
  <c r="BAQ33" i="6"/>
  <c r="BAP33" i="6"/>
  <c r="BAO33" i="6"/>
  <c r="BAN33" i="6"/>
  <c r="BAM33" i="6"/>
  <c r="BAL33" i="6"/>
  <c r="BAK33" i="6"/>
  <c r="BAJ33" i="6"/>
  <c r="BAI33" i="6"/>
  <c r="BAH33" i="6"/>
  <c r="BAG33" i="6"/>
  <c r="BAF33" i="6"/>
  <c r="BAE33" i="6"/>
  <c r="BAD33" i="6"/>
  <c r="BAC33" i="6"/>
  <c r="BAB33" i="6"/>
  <c r="BAA33" i="6"/>
  <c r="AZZ33" i="6"/>
  <c r="AZY33" i="6"/>
  <c r="AZX33" i="6"/>
  <c r="AZW33" i="6"/>
  <c r="AZV33" i="6"/>
  <c r="AZU33" i="6"/>
  <c r="AZT33" i="6"/>
  <c r="AZS33" i="6"/>
  <c r="AZR33" i="6"/>
  <c r="AZQ33" i="6"/>
  <c r="AZP33" i="6"/>
  <c r="AZO33" i="6"/>
  <c r="AZN33" i="6"/>
  <c r="AZM33" i="6"/>
  <c r="AZL33" i="6"/>
  <c r="AZK33" i="6"/>
  <c r="AZJ33" i="6"/>
  <c r="AZI33" i="6"/>
  <c r="AZH33" i="6"/>
  <c r="AZG33" i="6"/>
  <c r="AZF33" i="6"/>
  <c r="AZE33" i="6"/>
  <c r="AZD33" i="6"/>
  <c r="AZC33" i="6"/>
  <c r="AZB33" i="6"/>
  <c r="AZA33" i="6"/>
  <c r="AYZ33" i="6"/>
  <c r="AYY33" i="6"/>
  <c r="AYX33" i="6"/>
  <c r="AYW33" i="6"/>
  <c r="AYV33" i="6"/>
  <c r="AYU33" i="6"/>
  <c r="AYT33" i="6"/>
  <c r="AYS33" i="6"/>
  <c r="AYR33" i="6"/>
  <c r="AYQ33" i="6"/>
  <c r="AYP33" i="6"/>
  <c r="AYO33" i="6"/>
  <c r="AYN33" i="6"/>
  <c r="AYM33" i="6"/>
  <c r="AYL33" i="6"/>
  <c r="AYK33" i="6"/>
  <c r="AYJ33" i="6"/>
  <c r="AYI33" i="6"/>
  <c r="AYH33" i="6"/>
  <c r="AYG33" i="6"/>
  <c r="AYF33" i="6"/>
  <c r="AYE33" i="6"/>
  <c r="AYD33" i="6"/>
  <c r="AYC33" i="6"/>
  <c r="AYB33" i="6"/>
  <c r="AYA33" i="6"/>
  <c r="AXZ33" i="6"/>
  <c r="AXY33" i="6"/>
  <c r="AXX33" i="6"/>
  <c r="AXW33" i="6"/>
  <c r="AXV33" i="6"/>
  <c r="AXU33" i="6"/>
  <c r="AXT33" i="6"/>
  <c r="AXS33" i="6"/>
  <c r="AXR33" i="6"/>
  <c r="AXQ33" i="6"/>
  <c r="AXP33" i="6"/>
  <c r="AXO33" i="6"/>
  <c r="AXN33" i="6"/>
  <c r="AXM33" i="6"/>
  <c r="AXL33" i="6"/>
  <c r="AXK33" i="6"/>
  <c r="AXJ33" i="6"/>
  <c r="AXI33" i="6"/>
  <c r="AXH33" i="6"/>
  <c r="AXG33" i="6"/>
  <c r="AXF33" i="6"/>
  <c r="AXE33" i="6"/>
  <c r="AXD33" i="6"/>
  <c r="AXC33" i="6"/>
  <c r="AXB33" i="6"/>
  <c r="AXA33" i="6"/>
  <c r="AWZ33" i="6"/>
  <c r="AWY33" i="6"/>
  <c r="AWX33" i="6"/>
  <c r="AWW33" i="6"/>
  <c r="AWV33" i="6"/>
  <c r="AWU33" i="6"/>
  <c r="AWT33" i="6"/>
  <c r="AWS33" i="6"/>
  <c r="AWR33" i="6"/>
  <c r="AWQ33" i="6"/>
  <c r="AWP33" i="6"/>
  <c r="AWO33" i="6"/>
  <c r="AWN33" i="6"/>
  <c r="AWM33" i="6"/>
  <c r="AWL33" i="6"/>
  <c r="AWK33" i="6"/>
  <c r="AWJ33" i="6"/>
  <c r="AWI33" i="6"/>
  <c r="AWH33" i="6"/>
  <c r="AWG33" i="6"/>
  <c r="AWF33" i="6"/>
  <c r="AWE33" i="6"/>
  <c r="AWD33" i="6"/>
  <c r="AWC33" i="6"/>
  <c r="AWB33" i="6"/>
  <c r="AWA33" i="6"/>
  <c r="AVZ33" i="6"/>
  <c r="AVY33" i="6"/>
  <c r="AVX33" i="6"/>
  <c r="AVW33" i="6"/>
  <c r="AVV33" i="6"/>
  <c r="AVU33" i="6"/>
  <c r="AVT33" i="6"/>
  <c r="AVS33" i="6"/>
  <c r="AVR33" i="6"/>
  <c r="AVQ33" i="6"/>
  <c r="AVP33" i="6"/>
  <c r="AVO33" i="6"/>
  <c r="AVN33" i="6"/>
  <c r="AVM33" i="6"/>
  <c r="AVL33" i="6"/>
  <c r="AVK33" i="6"/>
  <c r="AVJ33" i="6"/>
  <c r="AVI33" i="6"/>
  <c r="AVH33" i="6"/>
  <c r="AVG33" i="6"/>
  <c r="AVF33" i="6"/>
  <c r="AVE33" i="6"/>
  <c r="AVD33" i="6"/>
  <c r="AVC33" i="6"/>
  <c r="AVB33" i="6"/>
  <c r="AVA33" i="6"/>
  <c r="AUZ33" i="6"/>
  <c r="AUY33" i="6"/>
  <c r="AUX33" i="6"/>
  <c r="AUW33" i="6"/>
  <c r="AUV33" i="6"/>
  <c r="AUU33" i="6"/>
  <c r="AUT33" i="6"/>
  <c r="AUS33" i="6"/>
  <c r="AUR33" i="6"/>
  <c r="AUQ33" i="6"/>
  <c r="AUP33" i="6"/>
  <c r="AUO33" i="6"/>
  <c r="AUN33" i="6"/>
  <c r="AUM33" i="6"/>
  <c r="AUL33" i="6"/>
  <c r="AUK33" i="6"/>
  <c r="AUJ33" i="6"/>
  <c r="AUI33" i="6"/>
  <c r="AUH33" i="6"/>
  <c r="AUG33" i="6"/>
  <c r="AUF33" i="6"/>
  <c r="AUE33" i="6"/>
  <c r="AUD33" i="6"/>
  <c r="AUC33" i="6"/>
  <c r="AUB33" i="6"/>
  <c r="AUA33" i="6"/>
  <c r="ATZ33" i="6"/>
  <c r="ATY33" i="6"/>
  <c r="ATX33" i="6"/>
  <c r="ATW33" i="6"/>
  <c r="ATV33" i="6"/>
  <c r="ATU33" i="6"/>
  <c r="ATT33" i="6"/>
  <c r="ATS33" i="6"/>
  <c r="ATR33" i="6"/>
  <c r="ATQ33" i="6"/>
  <c r="ATP33" i="6"/>
  <c r="ATO33" i="6"/>
  <c r="ATN33" i="6"/>
  <c r="ATM33" i="6"/>
  <c r="ATL33" i="6"/>
  <c r="ATK33" i="6"/>
  <c r="ATJ33" i="6"/>
  <c r="ATI33" i="6"/>
  <c r="ATH33" i="6"/>
  <c r="ATG33" i="6"/>
  <c r="ATF33" i="6"/>
  <c r="ATE33" i="6"/>
  <c r="ATD33" i="6"/>
  <c r="ATC33" i="6"/>
  <c r="ATB33" i="6"/>
  <c r="ATA33" i="6"/>
  <c r="ASZ33" i="6"/>
  <c r="ASY33" i="6"/>
  <c r="ASX33" i="6"/>
  <c r="ASW33" i="6"/>
  <c r="ASV33" i="6"/>
  <c r="ASU33" i="6"/>
  <c r="AST33" i="6"/>
  <c r="ASS33" i="6"/>
  <c r="ASR33" i="6"/>
  <c r="ASQ33" i="6"/>
  <c r="ASP33" i="6"/>
  <c r="ASO33" i="6"/>
  <c r="ASN33" i="6"/>
  <c r="ASM33" i="6"/>
  <c r="ASL33" i="6"/>
  <c r="ASK33" i="6"/>
  <c r="ASJ33" i="6"/>
  <c r="ASI33" i="6"/>
  <c r="ASH33" i="6"/>
  <c r="ASG33" i="6"/>
  <c r="ASF33" i="6"/>
  <c r="ASE33" i="6"/>
  <c r="ASD33" i="6"/>
  <c r="ASC33" i="6"/>
  <c r="ASB33" i="6"/>
  <c r="ASA33" i="6"/>
  <c r="ARZ33" i="6"/>
  <c r="ARY33" i="6"/>
  <c r="ARX33" i="6"/>
  <c r="ARW33" i="6"/>
  <c r="ARV33" i="6"/>
  <c r="ARU33" i="6"/>
  <c r="ART33" i="6"/>
  <c r="ARS33" i="6"/>
  <c r="ARR33" i="6"/>
  <c r="ARQ33" i="6"/>
  <c r="ARP33" i="6"/>
  <c r="ARO33" i="6"/>
  <c r="ARN33" i="6"/>
  <c r="ARM33" i="6"/>
  <c r="ARL33" i="6"/>
  <c r="ARK33" i="6"/>
  <c r="ARJ33" i="6"/>
  <c r="ARI33" i="6"/>
  <c r="ARH33" i="6"/>
  <c r="ARG33" i="6"/>
  <c r="ARF33" i="6"/>
  <c r="ARE33" i="6"/>
  <c r="ARD33" i="6"/>
  <c r="ARC33" i="6"/>
  <c r="ARB33" i="6"/>
  <c r="ARA33" i="6"/>
  <c r="AQZ33" i="6"/>
  <c r="AQY33" i="6"/>
  <c r="AQX33" i="6"/>
  <c r="AQW33" i="6"/>
  <c r="AQV33" i="6"/>
  <c r="AQU33" i="6"/>
  <c r="AQT33" i="6"/>
  <c r="AQS33" i="6"/>
  <c r="AQR33" i="6"/>
  <c r="AQQ33" i="6"/>
  <c r="AQP33" i="6"/>
  <c r="AQO33" i="6"/>
  <c r="AQN33" i="6"/>
  <c r="AQM33" i="6"/>
  <c r="AQL33" i="6"/>
  <c r="AQK33" i="6"/>
  <c r="AQJ33" i="6"/>
  <c r="AQI33" i="6"/>
  <c r="AQH33" i="6"/>
  <c r="AQG33" i="6"/>
  <c r="AQF33" i="6"/>
  <c r="AQE33" i="6"/>
  <c r="AQD33" i="6"/>
  <c r="AQC33" i="6"/>
  <c r="AQB33" i="6"/>
  <c r="AQA33" i="6"/>
  <c r="APZ33" i="6"/>
  <c r="APY33" i="6"/>
  <c r="APX33" i="6"/>
  <c r="APW33" i="6"/>
  <c r="APV33" i="6"/>
  <c r="APU33" i="6"/>
  <c r="APT33" i="6"/>
  <c r="APS33" i="6"/>
  <c r="APR33" i="6"/>
  <c r="APQ33" i="6"/>
  <c r="APP33" i="6"/>
  <c r="APO33" i="6"/>
  <c r="APN33" i="6"/>
  <c r="APM33" i="6"/>
  <c r="APL33" i="6"/>
  <c r="APK33" i="6"/>
  <c r="APJ33" i="6"/>
  <c r="API33" i="6"/>
  <c r="APH33" i="6"/>
  <c r="APG33" i="6"/>
  <c r="APF33" i="6"/>
  <c r="APE33" i="6"/>
  <c r="APD33" i="6"/>
  <c r="APC33" i="6"/>
  <c r="APB33" i="6"/>
  <c r="APA33" i="6"/>
  <c r="AOZ33" i="6"/>
  <c r="AOY33" i="6"/>
  <c r="AOX33" i="6"/>
  <c r="AOW33" i="6"/>
  <c r="AOV33" i="6"/>
  <c r="AOU33" i="6"/>
  <c r="AOT33" i="6"/>
  <c r="AOS33" i="6"/>
  <c r="AOR33" i="6"/>
  <c r="AOQ33" i="6"/>
  <c r="AOP33" i="6"/>
  <c r="AOO33" i="6"/>
  <c r="AON33" i="6"/>
  <c r="AOM33" i="6"/>
  <c r="AOL33" i="6"/>
  <c r="AOK33" i="6"/>
  <c r="AOJ33" i="6"/>
  <c r="AOI33" i="6"/>
  <c r="AOH33" i="6"/>
  <c r="AOG33" i="6"/>
  <c r="AOF33" i="6"/>
  <c r="AOE33" i="6"/>
  <c r="AOD33" i="6"/>
  <c r="AOC33" i="6"/>
  <c r="AOB33" i="6"/>
  <c r="AOA33" i="6"/>
  <c r="ANZ33" i="6"/>
  <c r="ANY33" i="6"/>
  <c r="ANX33" i="6"/>
  <c r="ANW33" i="6"/>
  <c r="ANV33" i="6"/>
  <c r="ANU33" i="6"/>
  <c r="ANT33" i="6"/>
  <c r="ANS33" i="6"/>
  <c r="ANR33" i="6"/>
  <c r="ANQ33" i="6"/>
  <c r="ANP33" i="6"/>
  <c r="ANO33" i="6"/>
  <c r="ANN33" i="6"/>
  <c r="ANM33" i="6"/>
  <c r="ANL33" i="6"/>
  <c r="ANK33" i="6"/>
  <c r="ANJ33" i="6"/>
  <c r="ANI33" i="6"/>
  <c r="ANH33" i="6"/>
  <c r="ANG33" i="6"/>
  <c r="ANF33" i="6"/>
  <c r="ANE33" i="6"/>
  <c r="AND33" i="6"/>
  <c r="ANC33" i="6"/>
  <c r="ANB33" i="6"/>
  <c r="ANA33" i="6"/>
  <c r="AMZ33" i="6"/>
  <c r="AMY33" i="6"/>
  <c r="AMX33" i="6"/>
  <c r="AMW33" i="6"/>
  <c r="AMV33" i="6"/>
  <c r="AMU33" i="6"/>
  <c r="AMT33" i="6"/>
  <c r="AMS33" i="6"/>
  <c r="AMR33" i="6"/>
  <c r="AMQ33" i="6"/>
  <c r="AMP33" i="6"/>
  <c r="AMO33" i="6"/>
  <c r="AMN33" i="6"/>
  <c r="AMM33" i="6"/>
  <c r="AML33" i="6"/>
  <c r="AMK33" i="6"/>
  <c r="AMJ33" i="6"/>
  <c r="AMI33" i="6"/>
  <c r="AMH33" i="6"/>
  <c r="AMG33" i="6"/>
  <c r="AMF33" i="6"/>
  <c r="AME33" i="6"/>
  <c r="AMD33" i="6"/>
  <c r="AMC33" i="6"/>
  <c r="AMB33" i="6"/>
  <c r="AMA33" i="6"/>
  <c r="ALZ33" i="6"/>
  <c r="ALY33" i="6"/>
  <c r="ALX33" i="6"/>
  <c r="ALW33" i="6"/>
  <c r="ALV33" i="6"/>
  <c r="ALU33" i="6"/>
  <c r="ALT33" i="6"/>
  <c r="ALS33" i="6"/>
  <c r="ALR33" i="6"/>
  <c r="ALQ33" i="6"/>
  <c r="ALP33" i="6"/>
  <c r="ALO33" i="6"/>
  <c r="ALN33" i="6"/>
  <c r="ALM33" i="6"/>
  <c r="ALL33" i="6"/>
  <c r="ALK33" i="6"/>
  <c r="ALJ33" i="6"/>
  <c r="ALI33" i="6"/>
  <c r="ALH33" i="6"/>
  <c r="ALG33" i="6"/>
  <c r="ALF33" i="6"/>
  <c r="ALE33" i="6"/>
  <c r="ALD33" i="6"/>
  <c r="ALC33" i="6"/>
  <c r="ALB33" i="6"/>
  <c r="ALA33" i="6"/>
  <c r="AKZ33" i="6"/>
  <c r="AKY33" i="6"/>
  <c r="AKX33" i="6"/>
  <c r="AKW33" i="6"/>
  <c r="AKV33" i="6"/>
  <c r="AKU33" i="6"/>
  <c r="AKT33" i="6"/>
  <c r="AKS33" i="6"/>
  <c r="AKR33" i="6"/>
  <c r="AKQ33" i="6"/>
  <c r="AKP33" i="6"/>
  <c r="AKO33" i="6"/>
  <c r="AKN33" i="6"/>
  <c r="AKM33" i="6"/>
  <c r="AKL33" i="6"/>
  <c r="AKK33" i="6"/>
  <c r="AKJ33" i="6"/>
  <c r="AKI33" i="6"/>
  <c r="AKH33" i="6"/>
  <c r="AKG33" i="6"/>
  <c r="AKF33" i="6"/>
  <c r="AKE33" i="6"/>
  <c r="AKD33" i="6"/>
  <c r="AKC33" i="6"/>
  <c r="AKB33" i="6"/>
  <c r="AKA33" i="6"/>
  <c r="AJZ33" i="6"/>
  <c r="AJY33" i="6"/>
  <c r="AJX33" i="6"/>
  <c r="AJW33" i="6"/>
  <c r="AJV33" i="6"/>
  <c r="AJU33" i="6"/>
  <c r="AJT33" i="6"/>
  <c r="AJS33" i="6"/>
  <c r="AJR33" i="6"/>
  <c r="AJQ33" i="6"/>
  <c r="AJP33" i="6"/>
  <c r="AJO33" i="6"/>
  <c r="AJN33" i="6"/>
  <c r="AJM33" i="6"/>
  <c r="AJL33" i="6"/>
  <c r="AJK33" i="6"/>
  <c r="AJJ33" i="6"/>
  <c r="AJI33" i="6"/>
  <c r="AJH33" i="6"/>
  <c r="AJG33" i="6"/>
  <c r="AJF33" i="6"/>
  <c r="AJE33" i="6"/>
  <c r="AJD33" i="6"/>
  <c r="AJC33" i="6"/>
  <c r="AJB33" i="6"/>
  <c r="AJA33" i="6"/>
  <c r="AIZ33" i="6"/>
  <c r="AIY33" i="6"/>
  <c r="AIX33" i="6"/>
  <c r="AIW33" i="6"/>
  <c r="AIV33" i="6"/>
  <c r="AIU33" i="6"/>
  <c r="AIT33" i="6"/>
  <c r="AIS33" i="6"/>
  <c r="AIR33" i="6"/>
  <c r="AIQ33" i="6"/>
  <c r="AIP33" i="6"/>
  <c r="AIO33" i="6"/>
  <c r="AIN33" i="6"/>
  <c r="AIM33" i="6"/>
  <c r="AIL33" i="6"/>
  <c r="AIK33" i="6"/>
  <c r="AIJ33" i="6"/>
  <c r="AII33" i="6"/>
  <c r="AIH33" i="6"/>
  <c r="AIG33" i="6"/>
  <c r="AIF33" i="6"/>
  <c r="AIE33" i="6"/>
  <c r="AID33" i="6"/>
  <c r="AIC33" i="6"/>
  <c r="AIB33" i="6"/>
  <c r="AIA33" i="6"/>
  <c r="AHZ33" i="6"/>
  <c r="AHY33" i="6"/>
  <c r="AHX33" i="6"/>
  <c r="AHW33" i="6"/>
  <c r="AHV33" i="6"/>
  <c r="AHU33" i="6"/>
  <c r="AHT33" i="6"/>
  <c r="AHS33" i="6"/>
  <c r="AHR33" i="6"/>
  <c r="AHQ33" i="6"/>
  <c r="AHP33" i="6"/>
  <c r="AHO33" i="6"/>
  <c r="AHN33" i="6"/>
  <c r="AHM33" i="6"/>
  <c r="AHL33" i="6"/>
  <c r="AHK33" i="6"/>
  <c r="AHJ33" i="6"/>
  <c r="AHI33" i="6"/>
  <c r="AHH33" i="6"/>
  <c r="AHG33" i="6"/>
  <c r="AHF33" i="6"/>
  <c r="AHE33" i="6"/>
  <c r="AHD33" i="6"/>
  <c r="AHC33" i="6"/>
  <c r="AHB33" i="6"/>
  <c r="AHA33" i="6"/>
  <c r="AGZ33" i="6"/>
  <c r="AGY33" i="6"/>
  <c r="AGX33" i="6"/>
  <c r="AGW33" i="6"/>
  <c r="AGV33" i="6"/>
  <c r="AGU33" i="6"/>
  <c r="AGT33" i="6"/>
  <c r="AGS33" i="6"/>
  <c r="AGR33" i="6"/>
  <c r="AGQ33" i="6"/>
  <c r="AGP33" i="6"/>
  <c r="AGO33" i="6"/>
  <c r="AGN33" i="6"/>
  <c r="AGM33" i="6"/>
  <c r="AGL33" i="6"/>
  <c r="AGK33" i="6"/>
  <c r="AGJ33" i="6"/>
  <c r="AGI33" i="6"/>
  <c r="AGH33" i="6"/>
  <c r="AGG33" i="6"/>
  <c r="AGF33" i="6"/>
  <c r="AGE33" i="6"/>
  <c r="AGD33" i="6"/>
  <c r="AGC33" i="6"/>
  <c r="AGB33" i="6"/>
  <c r="AGA33" i="6"/>
  <c r="AFZ33" i="6"/>
  <c r="AFY33" i="6"/>
  <c r="AFX33" i="6"/>
  <c r="AFW33" i="6"/>
  <c r="AFV33" i="6"/>
  <c r="AFU33" i="6"/>
  <c r="AFT33" i="6"/>
  <c r="AFS33" i="6"/>
  <c r="AFR33" i="6"/>
  <c r="AFQ33" i="6"/>
  <c r="AFP33" i="6"/>
  <c r="AFO33" i="6"/>
  <c r="AFN33" i="6"/>
  <c r="AFM33" i="6"/>
  <c r="AFL33" i="6"/>
  <c r="AFK33" i="6"/>
  <c r="AFJ33" i="6"/>
  <c r="AFI33" i="6"/>
  <c r="AFH33" i="6"/>
  <c r="AFG33" i="6"/>
  <c r="AFF33" i="6"/>
  <c r="AFE33" i="6"/>
  <c r="AFD33" i="6"/>
  <c r="AFC33" i="6"/>
  <c r="AFB33" i="6"/>
  <c r="AFA33" i="6"/>
  <c r="AEZ33" i="6"/>
  <c r="AEY33" i="6"/>
  <c r="AEX33" i="6"/>
  <c r="AEW33" i="6"/>
  <c r="AEV33" i="6"/>
  <c r="AEU33" i="6"/>
  <c r="AET33" i="6"/>
  <c r="AES33" i="6"/>
  <c r="AER33" i="6"/>
  <c r="AEQ33" i="6"/>
  <c r="AEP33" i="6"/>
  <c r="AEO33" i="6"/>
  <c r="AEN33" i="6"/>
  <c r="AEM33" i="6"/>
  <c r="AEL33" i="6"/>
  <c r="AEK33" i="6"/>
  <c r="AEJ33" i="6"/>
  <c r="AEI33" i="6"/>
  <c r="AEH33" i="6"/>
  <c r="AEG33" i="6"/>
  <c r="AEF33" i="6"/>
  <c r="AEE33" i="6"/>
  <c r="AED33" i="6"/>
  <c r="AEC33" i="6"/>
  <c r="AEB33" i="6"/>
  <c r="AEA33" i="6"/>
  <c r="ADZ33" i="6"/>
  <c r="ADY33" i="6"/>
  <c r="ADX33" i="6"/>
  <c r="ADW33" i="6"/>
  <c r="ADV33" i="6"/>
  <c r="ADU33" i="6"/>
  <c r="ADT33" i="6"/>
  <c r="ADS33" i="6"/>
  <c r="ADR33" i="6"/>
  <c r="ADQ33" i="6"/>
  <c r="ADP33" i="6"/>
  <c r="ADO33" i="6"/>
  <c r="ADN33" i="6"/>
  <c r="ADM33" i="6"/>
  <c r="ADL33" i="6"/>
  <c r="ADK33" i="6"/>
  <c r="ADJ33" i="6"/>
  <c r="ADI33" i="6"/>
  <c r="ADH33" i="6"/>
  <c r="ADG33" i="6"/>
  <c r="ADF33" i="6"/>
  <c r="ADE33" i="6"/>
  <c r="ADD33" i="6"/>
  <c r="ADC33" i="6"/>
  <c r="ADB33" i="6"/>
  <c r="ADA33" i="6"/>
  <c r="ACZ33" i="6"/>
  <c r="ACY33" i="6"/>
  <c r="ACX33" i="6"/>
  <c r="ACW33" i="6"/>
  <c r="ACV33" i="6"/>
  <c r="ACU33" i="6"/>
  <c r="ACT33" i="6"/>
  <c r="ACS33" i="6"/>
  <c r="ACR33" i="6"/>
  <c r="ACQ33" i="6"/>
  <c r="ACP33" i="6"/>
  <c r="ACO33" i="6"/>
  <c r="ACN33" i="6"/>
  <c r="ACM33" i="6"/>
  <c r="ACL33" i="6"/>
  <c r="ACK33" i="6"/>
  <c r="ACJ33" i="6"/>
  <c r="ACI33" i="6"/>
  <c r="ACH33" i="6"/>
  <c r="ACG33" i="6"/>
  <c r="ACF33" i="6"/>
  <c r="ACE33" i="6"/>
  <c r="ACD33" i="6"/>
  <c r="ACC33" i="6"/>
  <c r="ACB33" i="6"/>
  <c r="ACA33" i="6"/>
  <c r="ABZ33" i="6"/>
  <c r="ABY33" i="6"/>
  <c r="ABX33" i="6"/>
  <c r="ABW33" i="6"/>
  <c r="ABV33" i="6"/>
  <c r="ABU33" i="6"/>
  <c r="ABT33" i="6"/>
  <c r="ABS33" i="6"/>
  <c r="ABR33" i="6"/>
  <c r="ABQ33" i="6"/>
  <c r="ABP33" i="6"/>
  <c r="ABO33" i="6"/>
  <c r="ABN33" i="6"/>
  <c r="ABM33" i="6"/>
  <c r="ABL33" i="6"/>
  <c r="ABK33" i="6"/>
  <c r="ABJ33" i="6"/>
  <c r="ABI33" i="6"/>
  <c r="ABH33" i="6"/>
  <c r="ABG33" i="6"/>
  <c r="ABF33" i="6"/>
  <c r="ABE33" i="6"/>
  <c r="ABD33" i="6"/>
  <c r="ABC33" i="6"/>
  <c r="ABB33" i="6"/>
  <c r="ABA33" i="6"/>
  <c r="AAZ33" i="6"/>
  <c r="AAY33" i="6"/>
  <c r="AAX33" i="6"/>
  <c r="AAW33" i="6"/>
  <c r="AAV33" i="6"/>
  <c r="AAU33" i="6"/>
  <c r="AAT33" i="6"/>
  <c r="AAS33" i="6"/>
  <c r="AAR33" i="6"/>
  <c r="AAQ33" i="6"/>
  <c r="AAP33" i="6"/>
  <c r="AAO33" i="6"/>
  <c r="AAN33" i="6"/>
  <c r="AAM33" i="6"/>
  <c r="AAL33" i="6"/>
  <c r="AAK33" i="6"/>
  <c r="AAJ33" i="6"/>
  <c r="AAI33" i="6"/>
  <c r="AAH33" i="6"/>
  <c r="AAG33" i="6"/>
  <c r="AAF33" i="6"/>
  <c r="AAE33" i="6"/>
  <c r="AAD33" i="6"/>
  <c r="AAC33" i="6"/>
  <c r="AAB33" i="6"/>
  <c r="AAA33" i="6"/>
  <c r="ZZ33" i="6"/>
  <c r="ZY33" i="6"/>
  <c r="ZX33" i="6"/>
  <c r="ZW33" i="6"/>
  <c r="ZV33" i="6"/>
  <c r="ZU33" i="6"/>
  <c r="ZT33" i="6"/>
  <c r="ZS33" i="6"/>
  <c r="ZR33" i="6"/>
  <c r="ZQ33" i="6"/>
  <c r="ZP33" i="6"/>
  <c r="ZO33" i="6"/>
  <c r="ZN33" i="6"/>
  <c r="ZM33" i="6"/>
  <c r="ZL33" i="6"/>
  <c r="ZK33" i="6"/>
  <c r="ZJ33" i="6"/>
  <c r="ZI33" i="6"/>
  <c r="ZH33" i="6"/>
  <c r="ZG33" i="6"/>
  <c r="ZF33" i="6"/>
  <c r="ZE33" i="6"/>
  <c r="ZD33" i="6"/>
  <c r="ZC33" i="6"/>
  <c r="ZB33" i="6"/>
  <c r="ZA33" i="6"/>
  <c r="YZ33" i="6"/>
  <c r="YY33" i="6"/>
  <c r="YX33" i="6"/>
  <c r="YW33" i="6"/>
  <c r="YV33" i="6"/>
  <c r="YU33" i="6"/>
  <c r="YT33" i="6"/>
  <c r="YS33" i="6"/>
  <c r="YR33" i="6"/>
  <c r="YQ33" i="6"/>
  <c r="YP33" i="6"/>
  <c r="YO33" i="6"/>
  <c r="YN33" i="6"/>
  <c r="YM33" i="6"/>
  <c r="YL33" i="6"/>
  <c r="YK33" i="6"/>
  <c r="YJ33" i="6"/>
  <c r="YI33" i="6"/>
  <c r="YH33" i="6"/>
  <c r="YG33" i="6"/>
  <c r="YF33" i="6"/>
  <c r="YE33" i="6"/>
  <c r="YD33" i="6"/>
  <c r="YC33" i="6"/>
  <c r="YB33" i="6"/>
  <c r="YA33" i="6"/>
  <c r="XZ33" i="6"/>
  <c r="XY33" i="6"/>
  <c r="XX33" i="6"/>
  <c r="XW33" i="6"/>
  <c r="XV33" i="6"/>
  <c r="XU33" i="6"/>
  <c r="XT33" i="6"/>
  <c r="XS33" i="6"/>
  <c r="XR33" i="6"/>
  <c r="XQ33" i="6"/>
  <c r="XP33" i="6"/>
  <c r="XO33" i="6"/>
  <c r="XN33" i="6"/>
  <c r="XM33" i="6"/>
  <c r="XL33" i="6"/>
  <c r="XK33" i="6"/>
  <c r="XJ33" i="6"/>
  <c r="XI33" i="6"/>
  <c r="XH33" i="6"/>
  <c r="XG33" i="6"/>
  <c r="XF33" i="6"/>
  <c r="XE33" i="6"/>
  <c r="XD33" i="6"/>
  <c r="XC33" i="6"/>
  <c r="XB33" i="6"/>
  <c r="XA33" i="6"/>
  <c r="WZ33" i="6"/>
  <c r="WY33" i="6"/>
  <c r="WX33" i="6"/>
  <c r="WW33" i="6"/>
  <c r="WV33" i="6"/>
  <c r="WU33" i="6"/>
  <c r="WT33" i="6"/>
  <c r="WS33" i="6"/>
  <c r="WR33" i="6"/>
  <c r="WQ33" i="6"/>
  <c r="WP33" i="6"/>
  <c r="WO33" i="6"/>
  <c r="WN33" i="6"/>
  <c r="WM33" i="6"/>
  <c r="WL33" i="6"/>
  <c r="WK33" i="6"/>
  <c r="WJ33" i="6"/>
  <c r="WI33" i="6"/>
  <c r="WH33" i="6"/>
  <c r="WG33" i="6"/>
  <c r="WF33" i="6"/>
  <c r="WE33" i="6"/>
  <c r="WD33" i="6"/>
  <c r="WC33" i="6"/>
  <c r="WB33" i="6"/>
  <c r="WA33" i="6"/>
  <c r="VZ33" i="6"/>
  <c r="VY33" i="6"/>
  <c r="VX33" i="6"/>
  <c r="VW33" i="6"/>
  <c r="VV33" i="6"/>
  <c r="VU33" i="6"/>
  <c r="VT33" i="6"/>
  <c r="VS33" i="6"/>
  <c r="VR33" i="6"/>
  <c r="VQ33" i="6"/>
  <c r="VP33" i="6"/>
  <c r="VO33" i="6"/>
  <c r="VN33" i="6"/>
  <c r="VM33" i="6"/>
  <c r="VL33" i="6"/>
  <c r="VK33" i="6"/>
  <c r="VJ33" i="6"/>
  <c r="VI33" i="6"/>
  <c r="VH33" i="6"/>
  <c r="VG33" i="6"/>
  <c r="VF33" i="6"/>
  <c r="VE33" i="6"/>
  <c r="VD33" i="6"/>
  <c r="VC33" i="6"/>
  <c r="VB33" i="6"/>
  <c r="VA33" i="6"/>
  <c r="UZ33" i="6"/>
  <c r="UY33" i="6"/>
  <c r="UX33" i="6"/>
  <c r="UW33" i="6"/>
  <c r="UV33" i="6"/>
  <c r="UU33" i="6"/>
  <c r="UT33" i="6"/>
  <c r="US33" i="6"/>
  <c r="UR33" i="6"/>
  <c r="UQ33" i="6"/>
  <c r="UP33" i="6"/>
  <c r="UO33" i="6"/>
  <c r="UN33" i="6"/>
  <c r="UM33" i="6"/>
  <c r="UL33" i="6"/>
  <c r="UK33" i="6"/>
  <c r="UJ33" i="6"/>
  <c r="UI33" i="6"/>
  <c r="UH33" i="6"/>
  <c r="UG33" i="6"/>
  <c r="UF33" i="6"/>
  <c r="UE33" i="6"/>
  <c r="UD33" i="6"/>
  <c r="UC33" i="6"/>
  <c r="UB33" i="6"/>
  <c r="UA33" i="6"/>
  <c r="TZ33" i="6"/>
  <c r="TY33" i="6"/>
  <c r="TX33" i="6"/>
  <c r="TW33" i="6"/>
  <c r="TV33" i="6"/>
  <c r="TU33" i="6"/>
  <c r="TT33" i="6"/>
  <c r="TS33" i="6"/>
  <c r="TR33" i="6"/>
  <c r="TQ33" i="6"/>
  <c r="TP33" i="6"/>
  <c r="TO33" i="6"/>
  <c r="TN33" i="6"/>
  <c r="TM33" i="6"/>
  <c r="TL33" i="6"/>
  <c r="TK33" i="6"/>
  <c r="TJ33" i="6"/>
  <c r="TI33" i="6"/>
  <c r="TH33" i="6"/>
  <c r="TG33" i="6"/>
  <c r="TF33" i="6"/>
  <c r="TE33" i="6"/>
  <c r="TD33" i="6"/>
  <c r="TC33" i="6"/>
  <c r="TB33" i="6"/>
  <c r="TA33" i="6"/>
  <c r="SZ33" i="6"/>
  <c r="SY33" i="6"/>
  <c r="SX33" i="6"/>
  <c r="SW33" i="6"/>
  <c r="SV33" i="6"/>
  <c r="SU33" i="6"/>
  <c r="ST33" i="6"/>
  <c r="SS33" i="6"/>
  <c r="SR33" i="6"/>
  <c r="SQ33" i="6"/>
  <c r="SP33" i="6"/>
  <c r="SO33" i="6"/>
  <c r="SN33" i="6"/>
  <c r="SM33" i="6"/>
  <c r="SL33" i="6"/>
  <c r="SK33" i="6"/>
  <c r="SJ33" i="6"/>
  <c r="SI33" i="6"/>
  <c r="SH33" i="6"/>
  <c r="SG33" i="6"/>
  <c r="SF33" i="6"/>
  <c r="SE33" i="6"/>
  <c r="SD33" i="6"/>
  <c r="SC33" i="6"/>
  <c r="SB33" i="6"/>
  <c r="SA33" i="6"/>
  <c r="RZ33" i="6"/>
  <c r="RY33" i="6"/>
  <c r="RX33" i="6"/>
  <c r="RW33" i="6"/>
  <c r="RV33" i="6"/>
  <c r="RU33" i="6"/>
  <c r="RT33" i="6"/>
  <c r="RS33" i="6"/>
  <c r="RR33" i="6"/>
  <c r="RQ33" i="6"/>
  <c r="RP33" i="6"/>
  <c r="RO33" i="6"/>
  <c r="RN33" i="6"/>
  <c r="RM33" i="6"/>
  <c r="RL33" i="6"/>
  <c r="RK33" i="6"/>
  <c r="RJ33" i="6"/>
  <c r="RI33" i="6"/>
  <c r="RH33" i="6"/>
  <c r="RG33" i="6"/>
  <c r="RF33" i="6"/>
  <c r="RE33" i="6"/>
  <c r="RD33" i="6"/>
  <c r="RC33" i="6"/>
  <c r="RB33" i="6"/>
  <c r="RA33" i="6"/>
  <c r="QZ33" i="6"/>
  <c r="QY33" i="6"/>
  <c r="QX33" i="6"/>
  <c r="QW33" i="6"/>
  <c r="QV33" i="6"/>
  <c r="QU33" i="6"/>
  <c r="QT33" i="6"/>
  <c r="QS33" i="6"/>
  <c r="QR33" i="6"/>
  <c r="QQ33" i="6"/>
  <c r="QP33" i="6"/>
  <c r="QO33" i="6"/>
  <c r="QN33" i="6"/>
  <c r="QM33" i="6"/>
  <c r="QL33" i="6"/>
  <c r="QK33" i="6"/>
  <c r="QJ33" i="6"/>
  <c r="QI33" i="6"/>
  <c r="QH33" i="6"/>
  <c r="QG33" i="6"/>
  <c r="QF33" i="6"/>
  <c r="QE33" i="6"/>
  <c r="QD33" i="6"/>
  <c r="QC33" i="6"/>
  <c r="QB33" i="6"/>
  <c r="QA33" i="6"/>
  <c r="PZ33" i="6"/>
  <c r="PY33" i="6"/>
  <c r="PX33" i="6"/>
  <c r="PW33" i="6"/>
  <c r="PV33" i="6"/>
  <c r="PU33" i="6"/>
  <c r="PT33" i="6"/>
  <c r="PS33" i="6"/>
  <c r="PR33" i="6"/>
  <c r="PQ33" i="6"/>
  <c r="PP33" i="6"/>
  <c r="PO33" i="6"/>
  <c r="PN33" i="6"/>
  <c r="PM33" i="6"/>
  <c r="PL33" i="6"/>
  <c r="PK33" i="6"/>
  <c r="PJ33" i="6"/>
  <c r="PI33" i="6"/>
  <c r="PH33" i="6"/>
  <c r="PG33" i="6"/>
  <c r="PF33" i="6"/>
  <c r="PE33" i="6"/>
  <c r="PD33" i="6"/>
  <c r="PC33" i="6"/>
  <c r="PB33" i="6"/>
  <c r="PA33" i="6"/>
  <c r="OZ33" i="6"/>
  <c r="OY33" i="6"/>
  <c r="OX33" i="6"/>
  <c r="OW33" i="6"/>
  <c r="OV33" i="6"/>
  <c r="OU33" i="6"/>
  <c r="OT33" i="6"/>
  <c r="OS33" i="6"/>
  <c r="OR33" i="6"/>
  <c r="OQ33" i="6"/>
  <c r="OP33" i="6"/>
  <c r="OO33" i="6"/>
  <c r="ON33" i="6"/>
  <c r="OM33" i="6"/>
  <c r="OL33" i="6"/>
  <c r="OK33" i="6"/>
  <c r="OJ33" i="6"/>
  <c r="OI33" i="6"/>
  <c r="OH33" i="6"/>
  <c r="OG33" i="6"/>
  <c r="OF33" i="6"/>
  <c r="OE33" i="6"/>
  <c r="OD33" i="6"/>
  <c r="OC33" i="6"/>
  <c r="OB33" i="6"/>
  <c r="OA33" i="6"/>
  <c r="NZ33" i="6"/>
  <c r="NY33" i="6"/>
  <c r="NX33" i="6"/>
  <c r="NW33" i="6"/>
  <c r="NV33" i="6"/>
  <c r="NU33" i="6"/>
  <c r="NT33" i="6"/>
  <c r="NS33" i="6"/>
  <c r="NR33" i="6"/>
  <c r="NQ33" i="6"/>
  <c r="NP33" i="6"/>
  <c r="NO33" i="6"/>
  <c r="NN33" i="6"/>
  <c r="NM33" i="6"/>
  <c r="NL33" i="6"/>
  <c r="NK33" i="6"/>
  <c r="NJ33" i="6"/>
  <c r="NI33" i="6"/>
  <c r="NH33" i="6"/>
  <c r="NG33" i="6"/>
  <c r="NF33" i="6"/>
  <c r="NE33" i="6"/>
  <c r="ND33" i="6"/>
  <c r="NC33" i="6"/>
  <c r="NB33" i="6"/>
  <c r="NA33" i="6"/>
  <c r="MZ33" i="6"/>
  <c r="MY33" i="6"/>
  <c r="MX33" i="6"/>
  <c r="MW33" i="6"/>
  <c r="MV33" i="6"/>
  <c r="MU33" i="6"/>
  <c r="MT33" i="6"/>
  <c r="MS33" i="6"/>
  <c r="MR33" i="6"/>
  <c r="MQ33" i="6"/>
  <c r="MP33" i="6"/>
  <c r="MO33" i="6"/>
  <c r="MN33" i="6"/>
  <c r="MM33" i="6"/>
  <c r="ML33" i="6"/>
  <c r="MK33" i="6"/>
  <c r="MJ33" i="6"/>
  <c r="MI33" i="6"/>
  <c r="MH33" i="6"/>
  <c r="MG33" i="6"/>
  <c r="MF33" i="6"/>
  <c r="ME33" i="6"/>
  <c r="MD33" i="6"/>
  <c r="MC33" i="6"/>
  <c r="MB33" i="6"/>
  <c r="MA33" i="6"/>
  <c r="LZ33" i="6"/>
  <c r="LY33" i="6"/>
  <c r="LX33" i="6"/>
  <c r="LW33" i="6"/>
  <c r="LV33" i="6"/>
  <c r="LU33" i="6"/>
  <c r="LT33" i="6"/>
  <c r="LS33" i="6"/>
  <c r="LR33" i="6"/>
  <c r="LQ33" i="6"/>
  <c r="LP33" i="6"/>
  <c r="LO33" i="6"/>
  <c r="LN33" i="6"/>
  <c r="LM33" i="6"/>
  <c r="LL33" i="6"/>
  <c r="LK33" i="6"/>
  <c r="LJ33" i="6"/>
  <c r="LI33" i="6"/>
  <c r="LH33" i="6"/>
  <c r="LG33" i="6"/>
  <c r="LF33" i="6"/>
  <c r="LE33" i="6"/>
  <c r="LD33" i="6"/>
  <c r="LC33" i="6"/>
  <c r="LB33" i="6"/>
  <c r="LA33" i="6"/>
  <c r="KZ33" i="6"/>
  <c r="KY33" i="6"/>
  <c r="KX33" i="6"/>
  <c r="KW33" i="6"/>
  <c r="KV33" i="6"/>
  <c r="KU33" i="6"/>
  <c r="KT33" i="6"/>
  <c r="KS33" i="6"/>
  <c r="KR33" i="6"/>
  <c r="KQ33" i="6"/>
  <c r="KP33" i="6"/>
  <c r="KO33" i="6"/>
  <c r="KN33" i="6"/>
  <c r="KM33" i="6"/>
  <c r="KL33" i="6"/>
  <c r="KK33" i="6"/>
  <c r="KJ33" i="6"/>
  <c r="KI33" i="6"/>
  <c r="KH33" i="6"/>
  <c r="KG33" i="6"/>
  <c r="KF33" i="6"/>
  <c r="KE33" i="6"/>
  <c r="KD33" i="6"/>
  <c r="KC33" i="6"/>
  <c r="KB33" i="6"/>
  <c r="KA33" i="6"/>
  <c r="JZ33" i="6"/>
  <c r="JY33" i="6"/>
  <c r="JX33" i="6"/>
  <c r="JW33" i="6"/>
  <c r="JV33" i="6"/>
  <c r="JU33" i="6"/>
  <c r="JT33" i="6"/>
  <c r="JS33" i="6"/>
  <c r="JR33" i="6"/>
  <c r="JQ33" i="6"/>
  <c r="JP33" i="6"/>
  <c r="JO33" i="6"/>
  <c r="JN33" i="6"/>
  <c r="JM33" i="6"/>
  <c r="JL33" i="6"/>
  <c r="JK33" i="6"/>
  <c r="JJ33" i="6"/>
  <c r="JI33" i="6"/>
  <c r="JH33" i="6"/>
  <c r="JG33" i="6"/>
  <c r="JF33" i="6"/>
  <c r="JE33" i="6"/>
  <c r="JD33" i="6"/>
  <c r="JC33" i="6"/>
  <c r="JB33" i="6"/>
  <c r="JA33" i="6"/>
  <c r="IZ33" i="6"/>
  <c r="IY33" i="6"/>
  <c r="IX33" i="6"/>
  <c r="IW33" i="6"/>
  <c r="IV33" i="6"/>
  <c r="IU33" i="6"/>
  <c r="IT33" i="6"/>
  <c r="IS33" i="6"/>
  <c r="IR33" i="6"/>
  <c r="IQ33" i="6"/>
  <c r="IP33" i="6"/>
  <c r="IO33" i="6"/>
  <c r="IN33" i="6"/>
  <c r="IM33" i="6"/>
  <c r="IL33" i="6"/>
  <c r="IK33" i="6"/>
  <c r="IJ33" i="6"/>
  <c r="II33" i="6"/>
  <c r="IH33" i="6"/>
  <c r="IG33" i="6"/>
  <c r="IF33" i="6"/>
  <c r="IE33" i="6"/>
  <c r="ID33" i="6"/>
  <c r="IC33" i="6"/>
  <c r="IB33" i="6"/>
  <c r="IA33" i="6"/>
  <c r="HZ33" i="6"/>
  <c r="HY33" i="6"/>
  <c r="HX33" i="6"/>
  <c r="HW33" i="6"/>
  <c r="HV33" i="6"/>
  <c r="HU33" i="6"/>
  <c r="HT33" i="6"/>
  <c r="HS33" i="6"/>
  <c r="HR33" i="6"/>
  <c r="HQ33" i="6"/>
  <c r="HP33" i="6"/>
  <c r="HO33" i="6"/>
  <c r="HN33" i="6"/>
  <c r="HM33" i="6"/>
  <c r="HL33" i="6"/>
  <c r="HK33" i="6"/>
  <c r="HJ33" i="6"/>
  <c r="HI33" i="6"/>
  <c r="HH33" i="6"/>
  <c r="HG33" i="6"/>
  <c r="HF33" i="6"/>
  <c r="HE33" i="6"/>
  <c r="HD33" i="6"/>
  <c r="HC33" i="6"/>
  <c r="HB33" i="6"/>
  <c r="HA33" i="6"/>
  <c r="GZ33" i="6"/>
  <c r="GY33" i="6"/>
  <c r="GX33" i="6"/>
  <c r="GW33" i="6"/>
  <c r="GV33" i="6"/>
  <c r="GU33" i="6"/>
  <c r="GT33" i="6"/>
  <c r="GS33" i="6"/>
  <c r="GR33" i="6"/>
  <c r="GQ33" i="6"/>
  <c r="GP33" i="6"/>
  <c r="GO33" i="6"/>
  <c r="GN33" i="6"/>
  <c r="GM33" i="6"/>
  <c r="GL33" i="6"/>
  <c r="GK33" i="6"/>
  <c r="GJ33" i="6"/>
  <c r="GI33" i="6"/>
  <c r="GH33" i="6"/>
  <c r="GG33" i="6"/>
  <c r="GF33" i="6"/>
  <c r="GE33" i="6"/>
  <c r="GD33" i="6"/>
  <c r="GC33" i="6"/>
  <c r="GB33" i="6"/>
  <c r="GA33" i="6"/>
  <c r="FZ33" i="6"/>
  <c r="FY33" i="6"/>
  <c r="FX33" i="6"/>
  <c r="FW33" i="6"/>
  <c r="FV33" i="6"/>
  <c r="FU33" i="6"/>
  <c r="FT33" i="6"/>
  <c r="FS33" i="6"/>
  <c r="FR33" i="6"/>
  <c r="FQ33" i="6"/>
  <c r="FP33" i="6"/>
  <c r="FO33" i="6"/>
  <c r="FN33" i="6"/>
  <c r="FM33" i="6"/>
  <c r="FL33" i="6"/>
  <c r="FK33" i="6"/>
  <c r="FJ33" i="6"/>
  <c r="FI33" i="6"/>
  <c r="FH33" i="6"/>
  <c r="FG33" i="6"/>
  <c r="FF33" i="6"/>
  <c r="FE33" i="6"/>
  <c r="FD33" i="6"/>
  <c r="FC33" i="6"/>
  <c r="FB33" i="6"/>
  <c r="FA33" i="6"/>
  <c r="EZ33" i="6"/>
  <c r="EY33" i="6"/>
  <c r="EX33" i="6"/>
  <c r="EW33" i="6"/>
  <c r="EV33" i="6"/>
  <c r="EU33" i="6"/>
  <c r="ET33" i="6"/>
  <c r="ES33" i="6"/>
  <c r="ER33" i="6"/>
  <c r="EQ33" i="6"/>
  <c r="EP33" i="6"/>
  <c r="EO33" i="6"/>
  <c r="EN33" i="6"/>
  <c r="EM33" i="6"/>
  <c r="EL33" i="6"/>
  <c r="EK33" i="6"/>
  <c r="EJ33" i="6"/>
  <c r="EI33" i="6"/>
  <c r="EH33" i="6"/>
  <c r="EG33" i="6"/>
  <c r="EF33" i="6"/>
  <c r="EE33" i="6"/>
  <c r="ED33" i="6"/>
  <c r="EC33" i="6"/>
  <c r="EB33" i="6"/>
  <c r="EA33" i="6"/>
  <c r="DZ33" i="6"/>
  <c r="DY33" i="6"/>
  <c r="DX33" i="6"/>
  <c r="DW33" i="6"/>
  <c r="DV33" i="6"/>
  <c r="DU33" i="6"/>
  <c r="DT33" i="6"/>
  <c r="DS33" i="6"/>
  <c r="DR33" i="6"/>
  <c r="DQ33" i="6"/>
  <c r="DP33" i="6"/>
  <c r="DO33" i="6"/>
  <c r="DN33" i="6"/>
  <c r="DM33" i="6"/>
  <c r="DL33" i="6"/>
  <c r="DK33" i="6"/>
  <c r="DJ33" i="6"/>
  <c r="DI33" i="6"/>
  <c r="DH33" i="6"/>
  <c r="DG33" i="6"/>
  <c r="DF33" i="6"/>
  <c r="DE33" i="6"/>
  <c r="DD33" i="6"/>
  <c r="DC33" i="6"/>
  <c r="DB33" i="6"/>
  <c r="DA33" i="6"/>
  <c r="CZ33" i="6"/>
  <c r="CY33" i="6"/>
  <c r="CX33" i="6"/>
  <c r="CW33" i="6"/>
  <c r="CV33" i="6"/>
  <c r="CU33" i="6"/>
  <c r="CT33" i="6"/>
  <c r="CS33" i="6"/>
  <c r="CR33" i="6"/>
  <c r="CQ33" i="6"/>
  <c r="CP33" i="6"/>
  <c r="CO33" i="6"/>
  <c r="CN33" i="6"/>
  <c r="CM33" i="6"/>
  <c r="CL33" i="6"/>
  <c r="CK33" i="6"/>
  <c r="CJ33" i="6"/>
  <c r="CI33" i="6"/>
  <c r="CH33" i="6"/>
  <c r="CG33" i="6"/>
  <c r="CF33" i="6"/>
  <c r="CE33" i="6"/>
  <c r="CD33" i="6"/>
  <c r="CC33" i="6"/>
  <c r="CB33" i="6"/>
  <c r="CA33" i="6"/>
  <c r="BZ33" i="6"/>
  <c r="BY33" i="6"/>
  <c r="BX33" i="6"/>
  <c r="BW33" i="6"/>
  <c r="BV33" i="6"/>
  <c r="BU33" i="6"/>
  <c r="BT33" i="6"/>
  <c r="BS33" i="6"/>
  <c r="BR33" i="6"/>
  <c r="BQ33" i="6"/>
  <c r="BP33" i="6"/>
  <c r="BO33" i="6"/>
  <c r="BN33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J33" i="6"/>
  <c r="I33" i="6"/>
  <c r="H33" i="6"/>
  <c r="XDY30" i="6"/>
  <c r="XDX30" i="6"/>
  <c r="XDW30" i="6"/>
  <c r="XDV30" i="6"/>
  <c r="XDU30" i="6"/>
  <c r="XDT30" i="6"/>
  <c r="XDS30" i="6"/>
  <c r="XDR30" i="6"/>
  <c r="XDQ30" i="6"/>
  <c r="XDP30" i="6"/>
  <c r="XDO30" i="6"/>
  <c r="XDN30" i="6"/>
  <c r="XDM30" i="6"/>
  <c r="XDL30" i="6"/>
  <c r="XDK30" i="6"/>
  <c r="XDJ30" i="6"/>
  <c r="XDI30" i="6"/>
  <c r="XDH30" i="6"/>
  <c r="XDG30" i="6"/>
  <c r="XDF30" i="6"/>
  <c r="XDE30" i="6"/>
  <c r="XDD30" i="6"/>
  <c r="XDC30" i="6"/>
  <c r="XDB30" i="6"/>
  <c r="XDA30" i="6"/>
  <c r="XCZ30" i="6"/>
  <c r="XCY30" i="6"/>
  <c r="XCX30" i="6"/>
  <c r="XCW30" i="6"/>
  <c r="XCV30" i="6"/>
  <c r="XCU30" i="6"/>
  <c r="XCT30" i="6"/>
  <c r="XCS30" i="6"/>
  <c r="XCR30" i="6"/>
  <c r="XCQ30" i="6"/>
  <c r="XCP30" i="6"/>
  <c r="XCO30" i="6"/>
  <c r="XCN30" i="6"/>
  <c r="XCM30" i="6"/>
  <c r="XCL30" i="6"/>
  <c r="XCK30" i="6"/>
  <c r="XCJ30" i="6"/>
  <c r="XCI30" i="6"/>
  <c r="XCH30" i="6"/>
  <c r="XCG30" i="6"/>
  <c r="XCF30" i="6"/>
  <c r="XCE30" i="6"/>
  <c r="XCD30" i="6"/>
  <c r="XCC30" i="6"/>
  <c r="XCB30" i="6"/>
  <c r="XCA30" i="6"/>
  <c r="XBZ30" i="6"/>
  <c r="XBY30" i="6"/>
  <c r="XBX30" i="6"/>
  <c r="XBW30" i="6"/>
  <c r="XBV30" i="6"/>
  <c r="XBU30" i="6"/>
  <c r="XBT30" i="6"/>
  <c r="XBS30" i="6"/>
  <c r="XBR30" i="6"/>
  <c r="XBQ30" i="6"/>
  <c r="XBP30" i="6"/>
  <c r="XBO30" i="6"/>
  <c r="XBN30" i="6"/>
  <c r="XBM30" i="6"/>
  <c r="XBL30" i="6"/>
  <c r="XBK30" i="6"/>
  <c r="XBJ30" i="6"/>
  <c r="XBI30" i="6"/>
  <c r="XBH30" i="6"/>
  <c r="XBG30" i="6"/>
  <c r="XBF30" i="6"/>
  <c r="XBE30" i="6"/>
  <c r="XBD30" i="6"/>
  <c r="XBC30" i="6"/>
  <c r="XBB30" i="6"/>
  <c r="XBA30" i="6"/>
  <c r="XAZ30" i="6"/>
  <c r="XAY30" i="6"/>
  <c r="XAX30" i="6"/>
  <c r="XAW30" i="6"/>
  <c r="XAV30" i="6"/>
  <c r="XAU30" i="6"/>
  <c r="XAT30" i="6"/>
  <c r="XAS30" i="6"/>
  <c r="XAR30" i="6"/>
  <c r="XAQ30" i="6"/>
  <c r="XAP30" i="6"/>
  <c r="XAO30" i="6"/>
  <c r="XAN30" i="6"/>
  <c r="XAM30" i="6"/>
  <c r="XAL30" i="6"/>
  <c r="XAK30" i="6"/>
  <c r="XAJ30" i="6"/>
  <c r="XAI30" i="6"/>
  <c r="XAH30" i="6"/>
  <c r="XAG30" i="6"/>
  <c r="XAF30" i="6"/>
  <c r="XAE30" i="6"/>
  <c r="XAD30" i="6"/>
  <c r="XAC30" i="6"/>
  <c r="XAB30" i="6"/>
  <c r="XAA30" i="6"/>
  <c r="WZZ30" i="6"/>
  <c r="WZY30" i="6"/>
  <c r="WZX30" i="6"/>
  <c r="WZW30" i="6"/>
  <c r="WZV30" i="6"/>
  <c r="WZU30" i="6"/>
  <c r="WZT30" i="6"/>
  <c r="WZS30" i="6"/>
  <c r="WZR30" i="6"/>
  <c r="WZQ30" i="6"/>
  <c r="WZP30" i="6"/>
  <c r="WZO30" i="6"/>
  <c r="WZN30" i="6"/>
  <c r="WZM30" i="6"/>
  <c r="WZL30" i="6"/>
  <c r="WZK30" i="6"/>
  <c r="WZJ30" i="6"/>
  <c r="WZI30" i="6"/>
  <c r="WZH30" i="6"/>
  <c r="WZG30" i="6"/>
  <c r="WZF30" i="6"/>
  <c r="WZE30" i="6"/>
  <c r="WZD30" i="6"/>
  <c r="WZC30" i="6"/>
  <c r="WZB30" i="6"/>
  <c r="WZA30" i="6"/>
  <c r="WYZ30" i="6"/>
  <c r="WYY30" i="6"/>
  <c r="WYX30" i="6"/>
  <c r="WYW30" i="6"/>
  <c r="WYV30" i="6"/>
  <c r="WYU30" i="6"/>
  <c r="WYT30" i="6"/>
  <c r="WYS30" i="6"/>
  <c r="WYR30" i="6"/>
  <c r="WYQ30" i="6"/>
  <c r="WYP30" i="6"/>
  <c r="WYO30" i="6"/>
  <c r="WYN30" i="6"/>
  <c r="WYM30" i="6"/>
  <c r="WYL30" i="6"/>
  <c r="WYK30" i="6"/>
  <c r="WYJ30" i="6"/>
  <c r="WYI30" i="6"/>
  <c r="WYH30" i="6"/>
  <c r="WYG30" i="6"/>
  <c r="WYF30" i="6"/>
  <c r="WYE30" i="6"/>
  <c r="WYD30" i="6"/>
  <c r="WYC30" i="6"/>
  <c r="WYB30" i="6"/>
  <c r="WYA30" i="6"/>
  <c r="WXZ30" i="6"/>
  <c r="WXY30" i="6"/>
  <c r="WXX30" i="6"/>
  <c r="WXW30" i="6"/>
  <c r="WXV30" i="6"/>
  <c r="WXU30" i="6"/>
  <c r="WXT30" i="6"/>
  <c r="WXS30" i="6"/>
  <c r="WXR30" i="6"/>
  <c r="WXQ30" i="6"/>
  <c r="WXP30" i="6"/>
  <c r="WXO30" i="6"/>
  <c r="WXN30" i="6"/>
  <c r="WXM30" i="6"/>
  <c r="WXL30" i="6"/>
  <c r="WXK30" i="6"/>
  <c r="WXJ30" i="6"/>
  <c r="WXI30" i="6"/>
  <c r="WXH30" i="6"/>
  <c r="WXG30" i="6"/>
  <c r="WXF30" i="6"/>
  <c r="WXE30" i="6"/>
  <c r="WXD30" i="6"/>
  <c r="WXC30" i="6"/>
  <c r="WXB30" i="6"/>
  <c r="WXA30" i="6"/>
  <c r="WWZ30" i="6"/>
  <c r="WWY30" i="6"/>
  <c r="WWX30" i="6"/>
  <c r="WWW30" i="6"/>
  <c r="WWV30" i="6"/>
  <c r="WWU30" i="6"/>
  <c r="WWT30" i="6"/>
  <c r="WWS30" i="6"/>
  <c r="WWR30" i="6"/>
  <c r="WWQ30" i="6"/>
  <c r="WWP30" i="6"/>
  <c r="WWO30" i="6"/>
  <c r="WWN30" i="6"/>
  <c r="WWM30" i="6"/>
  <c r="WWL30" i="6"/>
  <c r="WWK30" i="6"/>
  <c r="WWJ30" i="6"/>
  <c r="WWI30" i="6"/>
  <c r="WWH30" i="6"/>
  <c r="WWG30" i="6"/>
  <c r="WWF30" i="6"/>
  <c r="WWE30" i="6"/>
  <c r="WWD30" i="6"/>
  <c r="WWC30" i="6"/>
  <c r="WWB30" i="6"/>
  <c r="WWA30" i="6"/>
  <c r="WVZ30" i="6"/>
  <c r="WVY30" i="6"/>
  <c r="WVX30" i="6"/>
  <c r="WVW30" i="6"/>
  <c r="WVV30" i="6"/>
  <c r="WVU30" i="6"/>
  <c r="WVT30" i="6"/>
  <c r="WVS30" i="6"/>
  <c r="WVR30" i="6"/>
  <c r="WVQ30" i="6"/>
  <c r="WVP30" i="6"/>
  <c r="WVO30" i="6"/>
  <c r="WVN30" i="6"/>
  <c r="WVM30" i="6"/>
  <c r="WVL30" i="6"/>
  <c r="WVK30" i="6"/>
  <c r="WVJ30" i="6"/>
  <c r="WVI30" i="6"/>
  <c r="WVH30" i="6"/>
  <c r="WVG30" i="6"/>
  <c r="WVF30" i="6"/>
  <c r="WVE30" i="6"/>
  <c r="WVD30" i="6"/>
  <c r="WVC30" i="6"/>
  <c r="WVB30" i="6"/>
  <c r="WVA30" i="6"/>
  <c r="WUZ30" i="6"/>
  <c r="WUY30" i="6"/>
  <c r="WUX30" i="6"/>
  <c r="WUW30" i="6"/>
  <c r="WUV30" i="6"/>
  <c r="WUU30" i="6"/>
  <c r="WUT30" i="6"/>
  <c r="WUS30" i="6"/>
  <c r="WUR30" i="6"/>
  <c r="WUQ30" i="6"/>
  <c r="WUP30" i="6"/>
  <c r="WUO30" i="6"/>
  <c r="WUN30" i="6"/>
  <c r="WUM30" i="6"/>
  <c r="WUL30" i="6"/>
  <c r="WUK30" i="6"/>
  <c r="WUJ30" i="6"/>
  <c r="WUI30" i="6"/>
  <c r="WUH30" i="6"/>
  <c r="WUG30" i="6"/>
  <c r="WUF30" i="6"/>
  <c r="WUE30" i="6"/>
  <c r="WUD30" i="6"/>
  <c r="WUC30" i="6"/>
  <c r="WUB30" i="6"/>
  <c r="WUA30" i="6"/>
  <c r="WTZ30" i="6"/>
  <c r="WTY30" i="6"/>
  <c r="WTX30" i="6"/>
  <c r="WTW30" i="6"/>
  <c r="WTV30" i="6"/>
  <c r="WTU30" i="6"/>
  <c r="WTT30" i="6"/>
  <c r="WTS30" i="6"/>
  <c r="WTR30" i="6"/>
  <c r="WTQ30" i="6"/>
  <c r="WTP30" i="6"/>
  <c r="WTO30" i="6"/>
  <c r="WTN30" i="6"/>
  <c r="WTM30" i="6"/>
  <c r="WTL30" i="6"/>
  <c r="WTK30" i="6"/>
  <c r="WTJ30" i="6"/>
  <c r="WTI30" i="6"/>
  <c r="WTH30" i="6"/>
  <c r="WTG30" i="6"/>
  <c r="WTF30" i="6"/>
  <c r="WTE30" i="6"/>
  <c r="WTD30" i="6"/>
  <c r="WTC30" i="6"/>
  <c r="WTB30" i="6"/>
  <c r="WTA30" i="6"/>
  <c r="WSZ30" i="6"/>
  <c r="WSY30" i="6"/>
  <c r="WSX30" i="6"/>
  <c r="WSW30" i="6"/>
  <c r="WSV30" i="6"/>
  <c r="WSU30" i="6"/>
  <c r="WST30" i="6"/>
  <c r="WSS30" i="6"/>
  <c r="WSR30" i="6"/>
  <c r="WSQ30" i="6"/>
  <c r="WSP30" i="6"/>
  <c r="WSO30" i="6"/>
  <c r="WSN30" i="6"/>
  <c r="WSM30" i="6"/>
  <c r="WSL30" i="6"/>
  <c r="WSK30" i="6"/>
  <c r="WSJ30" i="6"/>
  <c r="WSI30" i="6"/>
  <c r="WSH30" i="6"/>
  <c r="WSG30" i="6"/>
  <c r="WSF30" i="6"/>
  <c r="WSE30" i="6"/>
  <c r="WSD30" i="6"/>
  <c r="WSC30" i="6"/>
  <c r="WSB30" i="6"/>
  <c r="WSA30" i="6"/>
  <c r="WRZ30" i="6"/>
  <c r="WRY30" i="6"/>
  <c r="WRX30" i="6"/>
  <c r="WRW30" i="6"/>
  <c r="WRV30" i="6"/>
  <c r="WRU30" i="6"/>
  <c r="WRT30" i="6"/>
  <c r="WRS30" i="6"/>
  <c r="WRR30" i="6"/>
  <c r="WRQ30" i="6"/>
  <c r="WRP30" i="6"/>
  <c r="WRO30" i="6"/>
  <c r="WRN30" i="6"/>
  <c r="WRM30" i="6"/>
  <c r="WRL30" i="6"/>
  <c r="WRK30" i="6"/>
  <c r="WRJ30" i="6"/>
  <c r="WRI30" i="6"/>
  <c r="WRH30" i="6"/>
  <c r="WRG30" i="6"/>
  <c r="WRF30" i="6"/>
  <c r="WRE30" i="6"/>
  <c r="WRD30" i="6"/>
  <c r="WRC30" i="6"/>
  <c r="WRB30" i="6"/>
  <c r="WRA30" i="6"/>
  <c r="WQZ30" i="6"/>
  <c r="WQY30" i="6"/>
  <c r="WQX30" i="6"/>
  <c r="WQW30" i="6"/>
  <c r="WQV30" i="6"/>
  <c r="WQU30" i="6"/>
  <c r="WQT30" i="6"/>
  <c r="WQS30" i="6"/>
  <c r="WQR30" i="6"/>
  <c r="WQQ30" i="6"/>
  <c r="WQP30" i="6"/>
  <c r="WQO30" i="6"/>
  <c r="WQN30" i="6"/>
  <c r="WQM30" i="6"/>
  <c r="WQL30" i="6"/>
  <c r="WQK30" i="6"/>
  <c r="WQJ30" i="6"/>
  <c r="WQI30" i="6"/>
  <c r="WQH30" i="6"/>
  <c r="WQG30" i="6"/>
  <c r="WQF30" i="6"/>
  <c r="WQE30" i="6"/>
  <c r="WQD30" i="6"/>
  <c r="WQC30" i="6"/>
  <c r="WQB30" i="6"/>
  <c r="WQA30" i="6"/>
  <c r="WPZ30" i="6"/>
  <c r="WPY30" i="6"/>
  <c r="WPX30" i="6"/>
  <c r="WPW30" i="6"/>
  <c r="WPV30" i="6"/>
  <c r="WPU30" i="6"/>
  <c r="WPT30" i="6"/>
  <c r="WPS30" i="6"/>
  <c r="WPR30" i="6"/>
  <c r="WPQ30" i="6"/>
  <c r="WPP30" i="6"/>
  <c r="WPO30" i="6"/>
  <c r="WPN30" i="6"/>
  <c r="WPM30" i="6"/>
  <c r="WPL30" i="6"/>
  <c r="WPK30" i="6"/>
  <c r="WPJ30" i="6"/>
  <c r="WPI30" i="6"/>
  <c r="WPH30" i="6"/>
  <c r="WPG30" i="6"/>
  <c r="WPF30" i="6"/>
  <c r="WPE30" i="6"/>
  <c r="WPD30" i="6"/>
  <c r="WPC30" i="6"/>
  <c r="WPB30" i="6"/>
  <c r="WPA30" i="6"/>
  <c r="WOZ30" i="6"/>
  <c r="WOY30" i="6"/>
  <c r="WOX30" i="6"/>
  <c r="WOW30" i="6"/>
  <c r="WOV30" i="6"/>
  <c r="WOU30" i="6"/>
  <c r="WOT30" i="6"/>
  <c r="WOS30" i="6"/>
  <c r="WOR30" i="6"/>
  <c r="WOQ30" i="6"/>
  <c r="WOP30" i="6"/>
  <c r="WOO30" i="6"/>
  <c r="WON30" i="6"/>
  <c r="WOM30" i="6"/>
  <c r="WOL30" i="6"/>
  <c r="WOK30" i="6"/>
  <c r="WOJ30" i="6"/>
  <c r="WOI30" i="6"/>
  <c r="WOH30" i="6"/>
  <c r="WOG30" i="6"/>
  <c r="WOF30" i="6"/>
  <c r="WOE30" i="6"/>
  <c r="WOD30" i="6"/>
  <c r="WOC30" i="6"/>
  <c r="WOB30" i="6"/>
  <c r="WOA30" i="6"/>
  <c r="WNZ30" i="6"/>
  <c r="WNY30" i="6"/>
  <c r="WNX30" i="6"/>
  <c r="WNW30" i="6"/>
  <c r="WNV30" i="6"/>
  <c r="WNU30" i="6"/>
  <c r="WNT30" i="6"/>
  <c r="WNS30" i="6"/>
  <c r="WNR30" i="6"/>
  <c r="WNQ30" i="6"/>
  <c r="WNP30" i="6"/>
  <c r="WNO30" i="6"/>
  <c r="WNN30" i="6"/>
  <c r="WNM30" i="6"/>
  <c r="WNL30" i="6"/>
  <c r="WNK30" i="6"/>
  <c r="WNJ30" i="6"/>
  <c r="WNI30" i="6"/>
  <c r="WNH30" i="6"/>
  <c r="WNG30" i="6"/>
  <c r="WNF30" i="6"/>
  <c r="WNE30" i="6"/>
  <c r="WND30" i="6"/>
  <c r="WNC30" i="6"/>
  <c r="WNB30" i="6"/>
  <c r="WNA30" i="6"/>
  <c r="WMZ30" i="6"/>
  <c r="WMY30" i="6"/>
  <c r="WMX30" i="6"/>
  <c r="WMW30" i="6"/>
  <c r="WMV30" i="6"/>
  <c r="WMU30" i="6"/>
  <c r="WMT30" i="6"/>
  <c r="WMS30" i="6"/>
  <c r="WMR30" i="6"/>
  <c r="WMQ30" i="6"/>
  <c r="WMP30" i="6"/>
  <c r="WMO30" i="6"/>
  <c r="WMN30" i="6"/>
  <c r="WMM30" i="6"/>
  <c r="WML30" i="6"/>
  <c r="WMK30" i="6"/>
  <c r="WMJ30" i="6"/>
  <c r="WMI30" i="6"/>
  <c r="WMH30" i="6"/>
  <c r="WMG30" i="6"/>
  <c r="WMF30" i="6"/>
  <c r="WME30" i="6"/>
  <c r="WMD30" i="6"/>
  <c r="WMC30" i="6"/>
  <c r="WMB30" i="6"/>
  <c r="WMA30" i="6"/>
  <c r="WLZ30" i="6"/>
  <c r="WLY30" i="6"/>
  <c r="WLX30" i="6"/>
  <c r="WLW30" i="6"/>
  <c r="WLV30" i="6"/>
  <c r="WLU30" i="6"/>
  <c r="WLT30" i="6"/>
  <c r="WLS30" i="6"/>
  <c r="WLR30" i="6"/>
  <c r="WLQ30" i="6"/>
  <c r="WLP30" i="6"/>
  <c r="WLO30" i="6"/>
  <c r="WLN30" i="6"/>
  <c r="WLM30" i="6"/>
  <c r="WLL30" i="6"/>
  <c r="WLK30" i="6"/>
  <c r="WLJ30" i="6"/>
  <c r="WLI30" i="6"/>
  <c r="WLH30" i="6"/>
  <c r="WLG30" i="6"/>
  <c r="WLF30" i="6"/>
  <c r="WLE30" i="6"/>
  <c r="WLD30" i="6"/>
  <c r="WLC30" i="6"/>
  <c r="WLB30" i="6"/>
  <c r="WLA30" i="6"/>
  <c r="WKZ30" i="6"/>
  <c r="WKY30" i="6"/>
  <c r="WKX30" i="6"/>
  <c r="WKW30" i="6"/>
  <c r="WKV30" i="6"/>
  <c r="WKU30" i="6"/>
  <c r="WKT30" i="6"/>
  <c r="WKS30" i="6"/>
  <c r="WKR30" i="6"/>
  <c r="WKQ30" i="6"/>
  <c r="WKP30" i="6"/>
  <c r="WKO30" i="6"/>
  <c r="WKN30" i="6"/>
  <c r="WKM30" i="6"/>
  <c r="WKL30" i="6"/>
  <c r="WKK30" i="6"/>
  <c r="WKJ30" i="6"/>
  <c r="WKI30" i="6"/>
  <c r="WKH30" i="6"/>
  <c r="WKG30" i="6"/>
  <c r="WKF30" i="6"/>
  <c r="WKE30" i="6"/>
  <c r="WKD30" i="6"/>
  <c r="WKC30" i="6"/>
  <c r="WKB30" i="6"/>
  <c r="WKA30" i="6"/>
  <c r="WJZ30" i="6"/>
  <c r="WJY30" i="6"/>
  <c r="WJX30" i="6"/>
  <c r="WJW30" i="6"/>
  <c r="WJV30" i="6"/>
  <c r="WJU30" i="6"/>
  <c r="WJT30" i="6"/>
  <c r="WJS30" i="6"/>
  <c r="WJR30" i="6"/>
  <c r="WJQ30" i="6"/>
  <c r="WJP30" i="6"/>
  <c r="WJO30" i="6"/>
  <c r="WJN30" i="6"/>
  <c r="WJM30" i="6"/>
  <c r="WJL30" i="6"/>
  <c r="WJK30" i="6"/>
  <c r="WJJ30" i="6"/>
  <c r="WJI30" i="6"/>
  <c r="WJH30" i="6"/>
  <c r="WJG30" i="6"/>
  <c r="WJF30" i="6"/>
  <c r="WJE30" i="6"/>
  <c r="WJD30" i="6"/>
  <c r="WJC30" i="6"/>
  <c r="WJB30" i="6"/>
  <c r="WJA30" i="6"/>
  <c r="WIZ30" i="6"/>
  <c r="WIY30" i="6"/>
  <c r="WIX30" i="6"/>
  <c r="WIW30" i="6"/>
  <c r="WIV30" i="6"/>
  <c r="WIU30" i="6"/>
  <c r="WIT30" i="6"/>
  <c r="WIS30" i="6"/>
  <c r="WIR30" i="6"/>
  <c r="WIQ30" i="6"/>
  <c r="WIP30" i="6"/>
  <c r="WIO30" i="6"/>
  <c r="WIN30" i="6"/>
  <c r="WIM30" i="6"/>
  <c r="WIL30" i="6"/>
  <c r="WIK30" i="6"/>
  <c r="WIJ30" i="6"/>
  <c r="WII30" i="6"/>
  <c r="WIH30" i="6"/>
  <c r="WIG30" i="6"/>
  <c r="WIF30" i="6"/>
  <c r="WIE30" i="6"/>
  <c r="WID30" i="6"/>
  <c r="WIC30" i="6"/>
  <c r="WIB30" i="6"/>
  <c r="WIA30" i="6"/>
  <c r="WHZ30" i="6"/>
  <c r="WHY30" i="6"/>
  <c r="WHX30" i="6"/>
  <c r="WHW30" i="6"/>
  <c r="WHV30" i="6"/>
  <c r="WHU30" i="6"/>
  <c r="WHT30" i="6"/>
  <c r="WHS30" i="6"/>
  <c r="WHR30" i="6"/>
  <c r="WHQ30" i="6"/>
  <c r="WHP30" i="6"/>
  <c r="WHO30" i="6"/>
  <c r="WHN30" i="6"/>
  <c r="WHM30" i="6"/>
  <c r="WHL30" i="6"/>
  <c r="WHK30" i="6"/>
  <c r="WHJ30" i="6"/>
  <c r="WHI30" i="6"/>
  <c r="WHH30" i="6"/>
  <c r="WHG30" i="6"/>
  <c r="WHF30" i="6"/>
  <c r="WHE30" i="6"/>
  <c r="WHD30" i="6"/>
  <c r="WHC30" i="6"/>
  <c r="WHB30" i="6"/>
  <c r="WHA30" i="6"/>
  <c r="WGZ30" i="6"/>
  <c r="WGY30" i="6"/>
  <c r="WGX30" i="6"/>
  <c r="WGW30" i="6"/>
  <c r="WGV30" i="6"/>
  <c r="WGU30" i="6"/>
  <c r="WGT30" i="6"/>
  <c r="WGS30" i="6"/>
  <c r="WGR30" i="6"/>
  <c r="WGQ30" i="6"/>
  <c r="WGP30" i="6"/>
  <c r="WGO30" i="6"/>
  <c r="WGN30" i="6"/>
  <c r="WGM30" i="6"/>
  <c r="WGL30" i="6"/>
  <c r="WGK30" i="6"/>
  <c r="WGJ30" i="6"/>
  <c r="WGI30" i="6"/>
  <c r="WGH30" i="6"/>
  <c r="WGG30" i="6"/>
  <c r="WGF30" i="6"/>
  <c r="WGE30" i="6"/>
  <c r="WGD30" i="6"/>
  <c r="WGC30" i="6"/>
  <c r="WGB30" i="6"/>
  <c r="WGA30" i="6"/>
  <c r="WFZ30" i="6"/>
  <c r="WFY30" i="6"/>
  <c r="WFX30" i="6"/>
  <c r="WFW30" i="6"/>
  <c r="WFV30" i="6"/>
  <c r="WFU30" i="6"/>
  <c r="WFT30" i="6"/>
  <c r="WFS30" i="6"/>
  <c r="WFR30" i="6"/>
  <c r="WFQ30" i="6"/>
  <c r="WFP30" i="6"/>
  <c r="WFO30" i="6"/>
  <c r="WFN30" i="6"/>
  <c r="WFM30" i="6"/>
  <c r="WFL30" i="6"/>
  <c r="WFK30" i="6"/>
  <c r="WFJ30" i="6"/>
  <c r="WFI30" i="6"/>
  <c r="WFH30" i="6"/>
  <c r="WFG30" i="6"/>
  <c r="WFF30" i="6"/>
  <c r="WFE30" i="6"/>
  <c r="WFD30" i="6"/>
  <c r="WFC30" i="6"/>
  <c r="WFB30" i="6"/>
  <c r="WFA30" i="6"/>
  <c r="WEZ30" i="6"/>
  <c r="WEY30" i="6"/>
  <c r="WEX30" i="6"/>
  <c r="WEW30" i="6"/>
  <c r="WEV30" i="6"/>
  <c r="WEU30" i="6"/>
  <c r="WET30" i="6"/>
  <c r="WES30" i="6"/>
  <c r="WER30" i="6"/>
  <c r="WEQ30" i="6"/>
  <c r="WEP30" i="6"/>
  <c r="WEO30" i="6"/>
  <c r="WEN30" i="6"/>
  <c r="WEM30" i="6"/>
  <c r="WEL30" i="6"/>
  <c r="WEK30" i="6"/>
  <c r="WEJ30" i="6"/>
  <c r="WEI30" i="6"/>
  <c r="WEH30" i="6"/>
  <c r="WEG30" i="6"/>
  <c r="WEF30" i="6"/>
  <c r="WEE30" i="6"/>
  <c r="WED30" i="6"/>
  <c r="WEC30" i="6"/>
  <c r="WEB30" i="6"/>
  <c r="WEA30" i="6"/>
  <c r="WDZ30" i="6"/>
  <c r="WDY30" i="6"/>
  <c r="WDX30" i="6"/>
  <c r="WDW30" i="6"/>
  <c r="WDV30" i="6"/>
  <c r="WDU30" i="6"/>
  <c r="WDT30" i="6"/>
  <c r="WDS30" i="6"/>
  <c r="WDR30" i="6"/>
  <c r="WDQ30" i="6"/>
  <c r="WDP30" i="6"/>
  <c r="WDO30" i="6"/>
  <c r="WDN30" i="6"/>
  <c r="WDM30" i="6"/>
  <c r="WDL30" i="6"/>
  <c r="WDK30" i="6"/>
  <c r="WDJ30" i="6"/>
  <c r="WDI30" i="6"/>
  <c r="WDH30" i="6"/>
  <c r="WDG30" i="6"/>
  <c r="WDF30" i="6"/>
  <c r="WDE30" i="6"/>
  <c r="WDD30" i="6"/>
  <c r="WDC30" i="6"/>
  <c r="WDB30" i="6"/>
  <c r="WDA30" i="6"/>
  <c r="WCZ30" i="6"/>
  <c r="WCY30" i="6"/>
  <c r="WCX30" i="6"/>
  <c r="WCW30" i="6"/>
  <c r="WCV30" i="6"/>
  <c r="WCU30" i="6"/>
  <c r="WCT30" i="6"/>
  <c r="WCS30" i="6"/>
  <c r="WCR30" i="6"/>
  <c r="WCQ30" i="6"/>
  <c r="WCP30" i="6"/>
  <c r="WCO30" i="6"/>
  <c r="WCN30" i="6"/>
  <c r="WCM30" i="6"/>
  <c r="WCL30" i="6"/>
  <c r="WCK30" i="6"/>
  <c r="WCJ30" i="6"/>
  <c r="WCI30" i="6"/>
  <c r="WCH30" i="6"/>
  <c r="WCG30" i="6"/>
  <c r="WCF30" i="6"/>
  <c r="WCE30" i="6"/>
  <c r="WCD30" i="6"/>
  <c r="WCC30" i="6"/>
  <c r="WCB30" i="6"/>
  <c r="WCA30" i="6"/>
  <c r="WBZ30" i="6"/>
  <c r="WBY30" i="6"/>
  <c r="WBX30" i="6"/>
  <c r="WBW30" i="6"/>
  <c r="WBV30" i="6"/>
  <c r="WBU30" i="6"/>
  <c r="WBT30" i="6"/>
  <c r="WBS30" i="6"/>
  <c r="WBR30" i="6"/>
  <c r="WBQ30" i="6"/>
  <c r="WBP30" i="6"/>
  <c r="WBO30" i="6"/>
  <c r="WBN30" i="6"/>
  <c r="WBM30" i="6"/>
  <c r="WBL30" i="6"/>
  <c r="WBK30" i="6"/>
  <c r="WBJ30" i="6"/>
  <c r="WBI30" i="6"/>
  <c r="WBH30" i="6"/>
  <c r="WBG30" i="6"/>
  <c r="WBF30" i="6"/>
  <c r="WBE30" i="6"/>
  <c r="WBD30" i="6"/>
  <c r="WBC30" i="6"/>
  <c r="WBB30" i="6"/>
  <c r="WBA30" i="6"/>
  <c r="WAZ30" i="6"/>
  <c r="WAY30" i="6"/>
  <c r="WAX30" i="6"/>
  <c r="WAW30" i="6"/>
  <c r="WAV30" i="6"/>
  <c r="WAU30" i="6"/>
  <c r="WAT30" i="6"/>
  <c r="WAS30" i="6"/>
  <c r="WAR30" i="6"/>
  <c r="WAQ30" i="6"/>
  <c r="WAP30" i="6"/>
  <c r="WAO30" i="6"/>
  <c r="WAN30" i="6"/>
  <c r="WAM30" i="6"/>
  <c r="WAL30" i="6"/>
  <c r="WAK30" i="6"/>
  <c r="WAJ30" i="6"/>
  <c r="WAI30" i="6"/>
  <c r="WAH30" i="6"/>
  <c r="WAG30" i="6"/>
  <c r="WAF30" i="6"/>
  <c r="WAE30" i="6"/>
  <c r="WAD30" i="6"/>
  <c r="WAC30" i="6"/>
  <c r="WAB30" i="6"/>
  <c r="WAA30" i="6"/>
  <c r="VZZ30" i="6"/>
  <c r="VZY30" i="6"/>
  <c r="VZX30" i="6"/>
  <c r="VZW30" i="6"/>
  <c r="VZV30" i="6"/>
  <c r="VZU30" i="6"/>
  <c r="VZT30" i="6"/>
  <c r="VZS30" i="6"/>
  <c r="VZR30" i="6"/>
  <c r="VZQ30" i="6"/>
  <c r="VZP30" i="6"/>
  <c r="VZO30" i="6"/>
  <c r="VZN30" i="6"/>
  <c r="VZM30" i="6"/>
  <c r="VZL30" i="6"/>
  <c r="VZK30" i="6"/>
  <c r="VZJ30" i="6"/>
  <c r="VZI30" i="6"/>
  <c r="VZH30" i="6"/>
  <c r="VZG30" i="6"/>
  <c r="VZF30" i="6"/>
  <c r="VZE30" i="6"/>
  <c r="VZD30" i="6"/>
  <c r="VZC30" i="6"/>
  <c r="VZB30" i="6"/>
  <c r="VZA30" i="6"/>
  <c r="VYZ30" i="6"/>
  <c r="VYY30" i="6"/>
  <c r="VYX30" i="6"/>
  <c r="VYW30" i="6"/>
  <c r="VYV30" i="6"/>
  <c r="VYU30" i="6"/>
  <c r="VYT30" i="6"/>
  <c r="VYS30" i="6"/>
  <c r="VYR30" i="6"/>
  <c r="VYQ30" i="6"/>
  <c r="VYP30" i="6"/>
  <c r="VYO30" i="6"/>
  <c r="VYN30" i="6"/>
  <c r="VYM30" i="6"/>
  <c r="VYL30" i="6"/>
  <c r="VYK30" i="6"/>
  <c r="VYJ30" i="6"/>
  <c r="VYI30" i="6"/>
  <c r="VYH30" i="6"/>
  <c r="VYG30" i="6"/>
  <c r="VYF30" i="6"/>
  <c r="VYE30" i="6"/>
  <c r="VYD30" i="6"/>
  <c r="VYC30" i="6"/>
  <c r="VYB30" i="6"/>
  <c r="VYA30" i="6"/>
  <c r="VXZ30" i="6"/>
  <c r="VXY30" i="6"/>
  <c r="VXX30" i="6"/>
  <c r="VXW30" i="6"/>
  <c r="VXV30" i="6"/>
  <c r="VXU30" i="6"/>
  <c r="VXT30" i="6"/>
  <c r="VXS30" i="6"/>
  <c r="VXR30" i="6"/>
  <c r="VXQ30" i="6"/>
  <c r="VXP30" i="6"/>
  <c r="VXO30" i="6"/>
  <c r="VXN30" i="6"/>
  <c r="VXM30" i="6"/>
  <c r="VXL30" i="6"/>
  <c r="VXK30" i="6"/>
  <c r="VXJ30" i="6"/>
  <c r="VXI30" i="6"/>
  <c r="VXH30" i="6"/>
  <c r="VXG30" i="6"/>
  <c r="VXF30" i="6"/>
  <c r="VXE30" i="6"/>
  <c r="VXD30" i="6"/>
  <c r="VXC30" i="6"/>
  <c r="VXB30" i="6"/>
  <c r="VXA30" i="6"/>
  <c r="VWZ30" i="6"/>
  <c r="VWY30" i="6"/>
  <c r="VWX30" i="6"/>
  <c r="VWW30" i="6"/>
  <c r="VWV30" i="6"/>
  <c r="VWU30" i="6"/>
  <c r="VWT30" i="6"/>
  <c r="VWS30" i="6"/>
  <c r="VWR30" i="6"/>
  <c r="VWQ30" i="6"/>
  <c r="VWP30" i="6"/>
  <c r="VWO30" i="6"/>
  <c r="VWN30" i="6"/>
  <c r="VWM30" i="6"/>
  <c r="VWL30" i="6"/>
  <c r="VWK30" i="6"/>
  <c r="VWJ30" i="6"/>
  <c r="VWI30" i="6"/>
  <c r="VWH30" i="6"/>
  <c r="VWG30" i="6"/>
  <c r="VWF30" i="6"/>
  <c r="VWE30" i="6"/>
  <c r="VWD30" i="6"/>
  <c r="VWC30" i="6"/>
  <c r="VWB30" i="6"/>
  <c r="VWA30" i="6"/>
  <c r="VVZ30" i="6"/>
  <c r="VVY30" i="6"/>
  <c r="VVX30" i="6"/>
  <c r="VVW30" i="6"/>
  <c r="VVV30" i="6"/>
  <c r="VVU30" i="6"/>
  <c r="VVT30" i="6"/>
  <c r="VVS30" i="6"/>
  <c r="VVR30" i="6"/>
  <c r="VVQ30" i="6"/>
  <c r="VVP30" i="6"/>
  <c r="VVO30" i="6"/>
  <c r="VVN30" i="6"/>
  <c r="VVM30" i="6"/>
  <c r="VVL30" i="6"/>
  <c r="VVK30" i="6"/>
  <c r="VVJ30" i="6"/>
  <c r="VVI30" i="6"/>
  <c r="VVH30" i="6"/>
  <c r="VVG30" i="6"/>
  <c r="VVF30" i="6"/>
  <c r="VVE30" i="6"/>
  <c r="VVD30" i="6"/>
  <c r="VVC30" i="6"/>
  <c r="VVB30" i="6"/>
  <c r="VVA30" i="6"/>
  <c r="VUZ30" i="6"/>
  <c r="VUY30" i="6"/>
  <c r="VUX30" i="6"/>
  <c r="VUW30" i="6"/>
  <c r="VUV30" i="6"/>
  <c r="VUU30" i="6"/>
  <c r="VUT30" i="6"/>
  <c r="VUS30" i="6"/>
  <c r="VUR30" i="6"/>
  <c r="VUQ30" i="6"/>
  <c r="VUP30" i="6"/>
  <c r="VUO30" i="6"/>
  <c r="VUN30" i="6"/>
  <c r="VUM30" i="6"/>
  <c r="VUL30" i="6"/>
  <c r="VUK30" i="6"/>
  <c r="VUJ30" i="6"/>
  <c r="VUI30" i="6"/>
  <c r="VUH30" i="6"/>
  <c r="VUG30" i="6"/>
  <c r="VUF30" i="6"/>
  <c r="VUE30" i="6"/>
  <c r="VUD30" i="6"/>
  <c r="VUC30" i="6"/>
  <c r="VUB30" i="6"/>
  <c r="VUA30" i="6"/>
  <c r="VTZ30" i="6"/>
  <c r="VTY30" i="6"/>
  <c r="VTX30" i="6"/>
  <c r="VTW30" i="6"/>
  <c r="VTV30" i="6"/>
  <c r="VTU30" i="6"/>
  <c r="VTT30" i="6"/>
  <c r="VTS30" i="6"/>
  <c r="VTR30" i="6"/>
  <c r="VTQ30" i="6"/>
  <c r="VTP30" i="6"/>
  <c r="VTO30" i="6"/>
  <c r="VTN30" i="6"/>
  <c r="VTM30" i="6"/>
  <c r="VTL30" i="6"/>
  <c r="VTK30" i="6"/>
  <c r="VTJ30" i="6"/>
  <c r="VTI30" i="6"/>
  <c r="VTH30" i="6"/>
  <c r="VTG30" i="6"/>
  <c r="VTF30" i="6"/>
  <c r="VTE30" i="6"/>
  <c r="VTD30" i="6"/>
  <c r="VTC30" i="6"/>
  <c r="VTB30" i="6"/>
  <c r="VTA30" i="6"/>
  <c r="VSZ30" i="6"/>
  <c r="VSY30" i="6"/>
  <c r="VSX30" i="6"/>
  <c r="VSW30" i="6"/>
  <c r="VSV30" i="6"/>
  <c r="VSU30" i="6"/>
  <c r="VST30" i="6"/>
  <c r="VSS30" i="6"/>
  <c r="VSR30" i="6"/>
  <c r="VSQ30" i="6"/>
  <c r="VSP30" i="6"/>
  <c r="VSO30" i="6"/>
  <c r="VSN30" i="6"/>
  <c r="VSM30" i="6"/>
  <c r="VSL30" i="6"/>
  <c r="VSK30" i="6"/>
  <c r="VSJ30" i="6"/>
  <c r="VSI30" i="6"/>
  <c r="VSH30" i="6"/>
  <c r="VSG30" i="6"/>
  <c r="VSF30" i="6"/>
  <c r="VSE30" i="6"/>
  <c r="VSD30" i="6"/>
  <c r="VSC30" i="6"/>
  <c r="VSB30" i="6"/>
  <c r="VSA30" i="6"/>
  <c r="VRZ30" i="6"/>
  <c r="VRY30" i="6"/>
  <c r="VRX30" i="6"/>
  <c r="VRW30" i="6"/>
  <c r="VRV30" i="6"/>
  <c r="VRU30" i="6"/>
  <c r="VRT30" i="6"/>
  <c r="VRS30" i="6"/>
  <c r="VRR30" i="6"/>
  <c r="VRQ30" i="6"/>
  <c r="VRP30" i="6"/>
  <c r="VRO30" i="6"/>
  <c r="VRN30" i="6"/>
  <c r="VRM30" i="6"/>
  <c r="VRL30" i="6"/>
  <c r="VRK30" i="6"/>
  <c r="VRJ30" i="6"/>
  <c r="VRI30" i="6"/>
  <c r="VRH30" i="6"/>
  <c r="VRG30" i="6"/>
  <c r="VRF30" i="6"/>
  <c r="VRE30" i="6"/>
  <c r="VRD30" i="6"/>
  <c r="VRC30" i="6"/>
  <c r="VRB30" i="6"/>
  <c r="VRA30" i="6"/>
  <c r="VQZ30" i="6"/>
  <c r="VQY30" i="6"/>
  <c r="VQX30" i="6"/>
  <c r="VQW30" i="6"/>
  <c r="VQV30" i="6"/>
  <c r="VQU30" i="6"/>
  <c r="VQT30" i="6"/>
  <c r="VQS30" i="6"/>
  <c r="VQR30" i="6"/>
  <c r="VQQ30" i="6"/>
  <c r="VQP30" i="6"/>
  <c r="VQO30" i="6"/>
  <c r="VQN30" i="6"/>
  <c r="VQM30" i="6"/>
  <c r="VQL30" i="6"/>
  <c r="VQK30" i="6"/>
  <c r="VQJ30" i="6"/>
  <c r="VQI30" i="6"/>
  <c r="VQH30" i="6"/>
  <c r="VQG30" i="6"/>
  <c r="VQF30" i="6"/>
  <c r="VQE30" i="6"/>
  <c r="VQD30" i="6"/>
  <c r="VQC30" i="6"/>
  <c r="VQB30" i="6"/>
  <c r="VQA30" i="6"/>
  <c r="VPZ30" i="6"/>
  <c r="VPY30" i="6"/>
  <c r="VPX30" i="6"/>
  <c r="VPW30" i="6"/>
  <c r="VPV30" i="6"/>
  <c r="VPU30" i="6"/>
  <c r="VPT30" i="6"/>
  <c r="VPS30" i="6"/>
  <c r="VPR30" i="6"/>
  <c r="VPQ30" i="6"/>
  <c r="VPP30" i="6"/>
  <c r="VPO30" i="6"/>
  <c r="VPN30" i="6"/>
  <c r="VPM30" i="6"/>
  <c r="VPL30" i="6"/>
  <c r="VPK30" i="6"/>
  <c r="VPJ30" i="6"/>
  <c r="VPI30" i="6"/>
  <c r="VPH30" i="6"/>
  <c r="VPG30" i="6"/>
  <c r="VPF30" i="6"/>
  <c r="VPE30" i="6"/>
  <c r="VPD30" i="6"/>
  <c r="VPC30" i="6"/>
  <c r="VPB30" i="6"/>
  <c r="VPA30" i="6"/>
  <c r="VOZ30" i="6"/>
  <c r="VOY30" i="6"/>
  <c r="VOX30" i="6"/>
  <c r="VOW30" i="6"/>
  <c r="VOV30" i="6"/>
  <c r="VOU30" i="6"/>
  <c r="VOT30" i="6"/>
  <c r="VOS30" i="6"/>
  <c r="VOR30" i="6"/>
  <c r="VOQ30" i="6"/>
  <c r="VOP30" i="6"/>
  <c r="VOO30" i="6"/>
  <c r="VON30" i="6"/>
  <c r="VOM30" i="6"/>
  <c r="VOL30" i="6"/>
  <c r="VOK30" i="6"/>
  <c r="VOJ30" i="6"/>
  <c r="VOI30" i="6"/>
  <c r="VOH30" i="6"/>
  <c r="VOG30" i="6"/>
  <c r="VOF30" i="6"/>
  <c r="VOE30" i="6"/>
  <c r="VOD30" i="6"/>
  <c r="VOC30" i="6"/>
  <c r="VOB30" i="6"/>
  <c r="VOA30" i="6"/>
  <c r="VNZ30" i="6"/>
  <c r="VNY30" i="6"/>
  <c r="VNX30" i="6"/>
  <c r="VNW30" i="6"/>
  <c r="VNV30" i="6"/>
  <c r="VNU30" i="6"/>
  <c r="VNT30" i="6"/>
  <c r="VNS30" i="6"/>
  <c r="VNR30" i="6"/>
  <c r="VNQ30" i="6"/>
  <c r="VNP30" i="6"/>
  <c r="VNO30" i="6"/>
  <c r="VNN30" i="6"/>
  <c r="VNM30" i="6"/>
  <c r="VNL30" i="6"/>
  <c r="VNK30" i="6"/>
  <c r="VNJ30" i="6"/>
  <c r="VNI30" i="6"/>
  <c r="VNH30" i="6"/>
  <c r="VNG30" i="6"/>
  <c r="VNF30" i="6"/>
  <c r="VNE30" i="6"/>
  <c r="VND30" i="6"/>
  <c r="VNC30" i="6"/>
  <c r="VNB30" i="6"/>
  <c r="VNA30" i="6"/>
  <c r="VMZ30" i="6"/>
  <c r="VMY30" i="6"/>
  <c r="VMX30" i="6"/>
  <c r="VMW30" i="6"/>
  <c r="VMV30" i="6"/>
  <c r="VMU30" i="6"/>
  <c r="VMT30" i="6"/>
  <c r="VMS30" i="6"/>
  <c r="VMR30" i="6"/>
  <c r="VMQ30" i="6"/>
  <c r="VMP30" i="6"/>
  <c r="VMO30" i="6"/>
  <c r="VMN30" i="6"/>
  <c r="VMM30" i="6"/>
  <c r="VML30" i="6"/>
  <c r="VMK30" i="6"/>
  <c r="VMJ30" i="6"/>
  <c r="VMI30" i="6"/>
  <c r="VMH30" i="6"/>
  <c r="VMG30" i="6"/>
  <c r="VMF30" i="6"/>
  <c r="VME30" i="6"/>
  <c r="VMD30" i="6"/>
  <c r="VMC30" i="6"/>
  <c r="VMB30" i="6"/>
  <c r="VMA30" i="6"/>
  <c r="VLZ30" i="6"/>
  <c r="VLY30" i="6"/>
  <c r="VLX30" i="6"/>
  <c r="VLW30" i="6"/>
  <c r="VLV30" i="6"/>
  <c r="VLU30" i="6"/>
  <c r="VLT30" i="6"/>
  <c r="VLS30" i="6"/>
  <c r="VLR30" i="6"/>
  <c r="VLQ30" i="6"/>
  <c r="VLP30" i="6"/>
  <c r="VLO30" i="6"/>
  <c r="VLN30" i="6"/>
  <c r="VLM30" i="6"/>
  <c r="VLL30" i="6"/>
  <c r="VLK30" i="6"/>
  <c r="VLJ30" i="6"/>
  <c r="VLI30" i="6"/>
  <c r="VLH30" i="6"/>
  <c r="VLG30" i="6"/>
  <c r="VLF30" i="6"/>
  <c r="VLE30" i="6"/>
  <c r="VLD30" i="6"/>
  <c r="VLC30" i="6"/>
  <c r="VLB30" i="6"/>
  <c r="VLA30" i="6"/>
  <c r="VKZ30" i="6"/>
  <c r="VKY30" i="6"/>
  <c r="VKX30" i="6"/>
  <c r="VKW30" i="6"/>
  <c r="VKV30" i="6"/>
  <c r="VKU30" i="6"/>
  <c r="VKT30" i="6"/>
  <c r="VKS30" i="6"/>
  <c r="VKR30" i="6"/>
  <c r="VKQ30" i="6"/>
  <c r="VKP30" i="6"/>
  <c r="VKO30" i="6"/>
  <c r="VKN30" i="6"/>
  <c r="VKM30" i="6"/>
  <c r="VKL30" i="6"/>
  <c r="VKK30" i="6"/>
  <c r="VKJ30" i="6"/>
  <c r="VKI30" i="6"/>
  <c r="VKH30" i="6"/>
  <c r="VKG30" i="6"/>
  <c r="VKF30" i="6"/>
  <c r="VKE30" i="6"/>
  <c r="VKD30" i="6"/>
  <c r="VKC30" i="6"/>
  <c r="VKB30" i="6"/>
  <c r="VKA30" i="6"/>
  <c r="VJZ30" i="6"/>
  <c r="VJY30" i="6"/>
  <c r="VJX30" i="6"/>
  <c r="VJW30" i="6"/>
  <c r="VJV30" i="6"/>
  <c r="VJU30" i="6"/>
  <c r="VJT30" i="6"/>
  <c r="VJS30" i="6"/>
  <c r="VJR30" i="6"/>
  <c r="VJQ30" i="6"/>
  <c r="VJP30" i="6"/>
  <c r="VJO30" i="6"/>
  <c r="VJN30" i="6"/>
  <c r="VJM30" i="6"/>
  <c r="VJL30" i="6"/>
  <c r="VJK30" i="6"/>
  <c r="VJJ30" i="6"/>
  <c r="VJI30" i="6"/>
  <c r="VJH30" i="6"/>
  <c r="VJG30" i="6"/>
  <c r="VJF30" i="6"/>
  <c r="VJE30" i="6"/>
  <c r="VJD30" i="6"/>
  <c r="VJC30" i="6"/>
  <c r="VJB30" i="6"/>
  <c r="VJA30" i="6"/>
  <c r="VIZ30" i="6"/>
  <c r="VIY30" i="6"/>
  <c r="VIX30" i="6"/>
  <c r="VIW30" i="6"/>
  <c r="VIV30" i="6"/>
  <c r="VIU30" i="6"/>
  <c r="VIT30" i="6"/>
  <c r="VIS30" i="6"/>
  <c r="VIR30" i="6"/>
  <c r="VIQ30" i="6"/>
  <c r="VIP30" i="6"/>
  <c r="VIO30" i="6"/>
  <c r="VIN30" i="6"/>
  <c r="VIM30" i="6"/>
  <c r="VIL30" i="6"/>
  <c r="VIK30" i="6"/>
  <c r="VIJ30" i="6"/>
  <c r="VII30" i="6"/>
  <c r="VIH30" i="6"/>
  <c r="VIG30" i="6"/>
  <c r="VIF30" i="6"/>
  <c r="VIE30" i="6"/>
  <c r="VID30" i="6"/>
  <c r="VIC30" i="6"/>
  <c r="VIB30" i="6"/>
  <c r="VIA30" i="6"/>
  <c r="VHZ30" i="6"/>
  <c r="VHY30" i="6"/>
  <c r="VHX30" i="6"/>
  <c r="VHW30" i="6"/>
  <c r="VHV30" i="6"/>
  <c r="VHU30" i="6"/>
  <c r="VHT30" i="6"/>
  <c r="VHS30" i="6"/>
  <c r="VHR30" i="6"/>
  <c r="VHQ30" i="6"/>
  <c r="VHP30" i="6"/>
  <c r="VHO30" i="6"/>
  <c r="VHN30" i="6"/>
  <c r="VHM30" i="6"/>
  <c r="VHL30" i="6"/>
  <c r="VHK30" i="6"/>
  <c r="VHJ30" i="6"/>
  <c r="VHI30" i="6"/>
  <c r="VHH30" i="6"/>
  <c r="VHG30" i="6"/>
  <c r="VHF30" i="6"/>
  <c r="VHE30" i="6"/>
  <c r="VHD30" i="6"/>
  <c r="VHC30" i="6"/>
  <c r="VHB30" i="6"/>
  <c r="VHA30" i="6"/>
  <c r="VGZ30" i="6"/>
  <c r="VGY30" i="6"/>
  <c r="VGX30" i="6"/>
  <c r="VGW30" i="6"/>
  <c r="VGV30" i="6"/>
  <c r="VGU30" i="6"/>
  <c r="VGT30" i="6"/>
  <c r="VGS30" i="6"/>
  <c r="VGR30" i="6"/>
  <c r="VGQ30" i="6"/>
  <c r="VGP30" i="6"/>
  <c r="VGO30" i="6"/>
  <c r="VGN30" i="6"/>
  <c r="VGM30" i="6"/>
  <c r="VGL30" i="6"/>
  <c r="VGK30" i="6"/>
  <c r="VGJ30" i="6"/>
  <c r="VGI30" i="6"/>
  <c r="VGH30" i="6"/>
  <c r="VGG30" i="6"/>
  <c r="VGF30" i="6"/>
  <c r="VGE30" i="6"/>
  <c r="VGD30" i="6"/>
  <c r="VGC30" i="6"/>
  <c r="VGB30" i="6"/>
  <c r="VGA30" i="6"/>
  <c r="VFZ30" i="6"/>
  <c r="VFY30" i="6"/>
  <c r="VFX30" i="6"/>
  <c r="VFW30" i="6"/>
  <c r="VFV30" i="6"/>
  <c r="VFU30" i="6"/>
  <c r="VFT30" i="6"/>
  <c r="VFS30" i="6"/>
  <c r="VFR30" i="6"/>
  <c r="VFQ30" i="6"/>
  <c r="VFP30" i="6"/>
  <c r="VFO30" i="6"/>
  <c r="VFN30" i="6"/>
  <c r="VFM30" i="6"/>
  <c r="VFL30" i="6"/>
  <c r="VFK30" i="6"/>
  <c r="VFJ30" i="6"/>
  <c r="VFI30" i="6"/>
  <c r="VFH30" i="6"/>
  <c r="VFG30" i="6"/>
  <c r="VFF30" i="6"/>
  <c r="VFE30" i="6"/>
  <c r="VFD30" i="6"/>
  <c r="VFC30" i="6"/>
  <c r="VFB30" i="6"/>
  <c r="VFA30" i="6"/>
  <c r="VEZ30" i="6"/>
  <c r="VEY30" i="6"/>
  <c r="VEX30" i="6"/>
  <c r="VEW30" i="6"/>
  <c r="VEV30" i="6"/>
  <c r="VEU30" i="6"/>
  <c r="VET30" i="6"/>
  <c r="VES30" i="6"/>
  <c r="VER30" i="6"/>
  <c r="VEQ30" i="6"/>
  <c r="VEP30" i="6"/>
  <c r="VEO30" i="6"/>
  <c r="VEN30" i="6"/>
  <c r="VEM30" i="6"/>
  <c r="VEL30" i="6"/>
  <c r="VEK30" i="6"/>
  <c r="VEJ30" i="6"/>
  <c r="VEI30" i="6"/>
  <c r="VEH30" i="6"/>
  <c r="VEG30" i="6"/>
  <c r="VEF30" i="6"/>
  <c r="VEE30" i="6"/>
  <c r="VED30" i="6"/>
  <c r="VEC30" i="6"/>
  <c r="VEB30" i="6"/>
  <c r="VEA30" i="6"/>
  <c r="VDZ30" i="6"/>
  <c r="VDY30" i="6"/>
  <c r="VDX30" i="6"/>
  <c r="VDW30" i="6"/>
  <c r="VDV30" i="6"/>
  <c r="VDU30" i="6"/>
  <c r="VDT30" i="6"/>
  <c r="VDS30" i="6"/>
  <c r="VDR30" i="6"/>
  <c r="VDQ30" i="6"/>
  <c r="VDP30" i="6"/>
  <c r="VDO30" i="6"/>
  <c r="VDN30" i="6"/>
  <c r="VDM30" i="6"/>
  <c r="VDL30" i="6"/>
  <c r="VDK30" i="6"/>
  <c r="VDJ30" i="6"/>
  <c r="VDI30" i="6"/>
  <c r="VDH30" i="6"/>
  <c r="VDG30" i="6"/>
  <c r="VDF30" i="6"/>
  <c r="VDE30" i="6"/>
  <c r="VDD30" i="6"/>
  <c r="VDC30" i="6"/>
  <c r="VDB30" i="6"/>
  <c r="VDA30" i="6"/>
  <c r="VCZ30" i="6"/>
  <c r="VCY30" i="6"/>
  <c r="VCX30" i="6"/>
  <c r="VCW30" i="6"/>
  <c r="VCV30" i="6"/>
  <c r="VCU30" i="6"/>
  <c r="VCT30" i="6"/>
  <c r="VCS30" i="6"/>
  <c r="VCR30" i="6"/>
  <c r="VCQ30" i="6"/>
  <c r="VCP30" i="6"/>
  <c r="VCO30" i="6"/>
  <c r="VCN30" i="6"/>
  <c r="VCM30" i="6"/>
  <c r="VCL30" i="6"/>
  <c r="VCK30" i="6"/>
  <c r="VCJ30" i="6"/>
  <c r="VCI30" i="6"/>
  <c r="VCH30" i="6"/>
  <c r="VCG30" i="6"/>
  <c r="VCF30" i="6"/>
  <c r="VCE30" i="6"/>
  <c r="VCD30" i="6"/>
  <c r="VCC30" i="6"/>
  <c r="VCB30" i="6"/>
  <c r="VCA30" i="6"/>
  <c r="VBZ30" i="6"/>
  <c r="VBY30" i="6"/>
  <c r="VBX30" i="6"/>
  <c r="VBW30" i="6"/>
  <c r="VBV30" i="6"/>
  <c r="VBU30" i="6"/>
  <c r="VBT30" i="6"/>
  <c r="VBS30" i="6"/>
  <c r="VBR30" i="6"/>
  <c r="VBQ30" i="6"/>
  <c r="VBP30" i="6"/>
  <c r="VBO30" i="6"/>
  <c r="VBN30" i="6"/>
  <c r="VBM30" i="6"/>
  <c r="VBL30" i="6"/>
  <c r="VBK30" i="6"/>
  <c r="VBJ30" i="6"/>
  <c r="VBI30" i="6"/>
  <c r="VBH30" i="6"/>
  <c r="VBG30" i="6"/>
  <c r="VBF30" i="6"/>
  <c r="VBE30" i="6"/>
  <c r="VBD30" i="6"/>
  <c r="VBC30" i="6"/>
  <c r="VBB30" i="6"/>
  <c r="VBA30" i="6"/>
  <c r="VAZ30" i="6"/>
  <c r="VAY30" i="6"/>
  <c r="VAX30" i="6"/>
  <c r="VAW30" i="6"/>
  <c r="VAV30" i="6"/>
  <c r="VAU30" i="6"/>
  <c r="VAT30" i="6"/>
  <c r="VAS30" i="6"/>
  <c r="VAR30" i="6"/>
  <c r="VAQ30" i="6"/>
  <c r="VAP30" i="6"/>
  <c r="VAO30" i="6"/>
  <c r="VAN30" i="6"/>
  <c r="VAM30" i="6"/>
  <c r="VAL30" i="6"/>
  <c r="VAK30" i="6"/>
  <c r="VAJ30" i="6"/>
  <c r="VAI30" i="6"/>
  <c r="VAH30" i="6"/>
  <c r="VAG30" i="6"/>
  <c r="VAF30" i="6"/>
  <c r="VAE30" i="6"/>
  <c r="VAD30" i="6"/>
  <c r="VAC30" i="6"/>
  <c r="VAB30" i="6"/>
  <c r="VAA30" i="6"/>
  <c r="UZZ30" i="6"/>
  <c r="UZY30" i="6"/>
  <c r="UZX30" i="6"/>
  <c r="UZW30" i="6"/>
  <c r="UZV30" i="6"/>
  <c r="UZU30" i="6"/>
  <c r="UZT30" i="6"/>
  <c r="UZS30" i="6"/>
  <c r="UZR30" i="6"/>
  <c r="UZQ30" i="6"/>
  <c r="UZP30" i="6"/>
  <c r="UZO30" i="6"/>
  <c r="UZN30" i="6"/>
  <c r="UZM30" i="6"/>
  <c r="UZL30" i="6"/>
  <c r="UZK30" i="6"/>
  <c r="UZJ30" i="6"/>
  <c r="UZI30" i="6"/>
  <c r="UZH30" i="6"/>
  <c r="UZG30" i="6"/>
  <c r="UZF30" i="6"/>
  <c r="UZE30" i="6"/>
  <c r="UZD30" i="6"/>
  <c r="UZC30" i="6"/>
  <c r="UZB30" i="6"/>
  <c r="UZA30" i="6"/>
  <c r="UYZ30" i="6"/>
  <c r="UYY30" i="6"/>
  <c r="UYX30" i="6"/>
  <c r="UYW30" i="6"/>
  <c r="UYV30" i="6"/>
  <c r="UYU30" i="6"/>
  <c r="UYT30" i="6"/>
  <c r="UYS30" i="6"/>
  <c r="UYR30" i="6"/>
  <c r="UYQ30" i="6"/>
  <c r="UYP30" i="6"/>
  <c r="UYO30" i="6"/>
  <c r="UYN30" i="6"/>
  <c r="UYM30" i="6"/>
  <c r="UYL30" i="6"/>
  <c r="UYK30" i="6"/>
  <c r="UYJ30" i="6"/>
  <c r="UYI30" i="6"/>
  <c r="UYH30" i="6"/>
  <c r="UYG30" i="6"/>
  <c r="UYF30" i="6"/>
  <c r="UYE30" i="6"/>
  <c r="UYD30" i="6"/>
  <c r="UYC30" i="6"/>
  <c r="UYB30" i="6"/>
  <c r="UYA30" i="6"/>
  <c r="UXZ30" i="6"/>
  <c r="UXY30" i="6"/>
  <c r="UXX30" i="6"/>
  <c r="UXW30" i="6"/>
  <c r="UXV30" i="6"/>
  <c r="UXU30" i="6"/>
  <c r="UXT30" i="6"/>
  <c r="UXS30" i="6"/>
  <c r="UXR30" i="6"/>
  <c r="UXQ30" i="6"/>
  <c r="UXP30" i="6"/>
  <c r="UXO30" i="6"/>
  <c r="UXN30" i="6"/>
  <c r="UXM30" i="6"/>
  <c r="UXL30" i="6"/>
  <c r="UXK30" i="6"/>
  <c r="UXJ30" i="6"/>
  <c r="UXI30" i="6"/>
  <c r="UXH30" i="6"/>
  <c r="UXG30" i="6"/>
  <c r="UXF30" i="6"/>
  <c r="UXE30" i="6"/>
  <c r="UXD30" i="6"/>
  <c r="UXC30" i="6"/>
  <c r="UXB30" i="6"/>
  <c r="UXA30" i="6"/>
  <c r="UWZ30" i="6"/>
  <c r="UWY30" i="6"/>
  <c r="UWX30" i="6"/>
  <c r="UWW30" i="6"/>
  <c r="UWV30" i="6"/>
  <c r="UWU30" i="6"/>
  <c r="UWT30" i="6"/>
  <c r="UWS30" i="6"/>
  <c r="UWR30" i="6"/>
  <c r="UWQ30" i="6"/>
  <c r="UWP30" i="6"/>
  <c r="UWO30" i="6"/>
  <c r="UWN30" i="6"/>
  <c r="UWM30" i="6"/>
  <c r="UWL30" i="6"/>
  <c r="UWK30" i="6"/>
  <c r="UWJ30" i="6"/>
  <c r="UWI30" i="6"/>
  <c r="UWH30" i="6"/>
  <c r="UWG30" i="6"/>
  <c r="UWF30" i="6"/>
  <c r="UWE30" i="6"/>
  <c r="UWD30" i="6"/>
  <c r="UWC30" i="6"/>
  <c r="UWB30" i="6"/>
  <c r="UWA30" i="6"/>
  <c r="UVZ30" i="6"/>
  <c r="UVY30" i="6"/>
  <c r="UVX30" i="6"/>
  <c r="UVW30" i="6"/>
  <c r="UVV30" i="6"/>
  <c r="UVU30" i="6"/>
  <c r="UVT30" i="6"/>
  <c r="UVS30" i="6"/>
  <c r="UVR30" i="6"/>
  <c r="UVQ30" i="6"/>
  <c r="UVP30" i="6"/>
  <c r="UVO30" i="6"/>
  <c r="UVN30" i="6"/>
  <c r="UVM30" i="6"/>
  <c r="UVL30" i="6"/>
  <c r="UVK30" i="6"/>
  <c r="UVJ30" i="6"/>
  <c r="UVI30" i="6"/>
  <c r="UVH30" i="6"/>
  <c r="UVG30" i="6"/>
  <c r="UVF30" i="6"/>
  <c r="UVE30" i="6"/>
  <c r="UVD30" i="6"/>
  <c r="UVC30" i="6"/>
  <c r="UVB30" i="6"/>
  <c r="UVA30" i="6"/>
  <c r="UUZ30" i="6"/>
  <c r="UUY30" i="6"/>
  <c r="UUX30" i="6"/>
  <c r="UUW30" i="6"/>
  <c r="UUV30" i="6"/>
  <c r="UUU30" i="6"/>
  <c r="UUT30" i="6"/>
  <c r="UUS30" i="6"/>
  <c r="UUR30" i="6"/>
  <c r="UUQ30" i="6"/>
  <c r="UUP30" i="6"/>
  <c r="UUO30" i="6"/>
  <c r="UUN30" i="6"/>
  <c r="UUM30" i="6"/>
  <c r="UUL30" i="6"/>
  <c r="UUK30" i="6"/>
  <c r="UUJ30" i="6"/>
  <c r="UUI30" i="6"/>
  <c r="UUH30" i="6"/>
  <c r="UUG30" i="6"/>
  <c r="UUF30" i="6"/>
  <c r="UUE30" i="6"/>
  <c r="UUD30" i="6"/>
  <c r="UUC30" i="6"/>
  <c r="UUB30" i="6"/>
  <c r="UUA30" i="6"/>
  <c r="UTZ30" i="6"/>
  <c r="UTY30" i="6"/>
  <c r="UTX30" i="6"/>
  <c r="UTW30" i="6"/>
  <c r="UTV30" i="6"/>
  <c r="UTU30" i="6"/>
  <c r="UTT30" i="6"/>
  <c r="UTS30" i="6"/>
  <c r="UTR30" i="6"/>
  <c r="UTQ30" i="6"/>
  <c r="UTP30" i="6"/>
  <c r="UTO30" i="6"/>
  <c r="UTN30" i="6"/>
  <c r="UTM30" i="6"/>
  <c r="UTL30" i="6"/>
  <c r="UTK30" i="6"/>
  <c r="UTJ30" i="6"/>
  <c r="UTI30" i="6"/>
  <c r="UTH30" i="6"/>
  <c r="UTG30" i="6"/>
  <c r="UTF30" i="6"/>
  <c r="UTE30" i="6"/>
  <c r="UTD30" i="6"/>
  <c r="UTC30" i="6"/>
  <c r="UTB30" i="6"/>
  <c r="UTA30" i="6"/>
  <c r="USZ30" i="6"/>
  <c r="USY30" i="6"/>
  <c r="USX30" i="6"/>
  <c r="USW30" i="6"/>
  <c r="USV30" i="6"/>
  <c r="USU30" i="6"/>
  <c r="UST30" i="6"/>
  <c r="USS30" i="6"/>
  <c r="USR30" i="6"/>
  <c r="USQ30" i="6"/>
  <c r="USP30" i="6"/>
  <c r="USO30" i="6"/>
  <c r="USN30" i="6"/>
  <c r="USM30" i="6"/>
  <c r="USL30" i="6"/>
  <c r="USK30" i="6"/>
  <c r="USJ30" i="6"/>
  <c r="USI30" i="6"/>
  <c r="USH30" i="6"/>
  <c r="USG30" i="6"/>
  <c r="USF30" i="6"/>
  <c r="USE30" i="6"/>
  <c r="USD30" i="6"/>
  <c r="USC30" i="6"/>
  <c r="USB30" i="6"/>
  <c r="USA30" i="6"/>
  <c r="URZ30" i="6"/>
  <c r="URY30" i="6"/>
  <c r="URX30" i="6"/>
  <c r="URW30" i="6"/>
  <c r="URV30" i="6"/>
  <c r="URU30" i="6"/>
  <c r="URT30" i="6"/>
  <c r="URS30" i="6"/>
  <c r="URR30" i="6"/>
  <c r="URQ30" i="6"/>
  <c r="URP30" i="6"/>
  <c r="URO30" i="6"/>
  <c r="URN30" i="6"/>
  <c r="URM30" i="6"/>
  <c r="URL30" i="6"/>
  <c r="URK30" i="6"/>
  <c r="URJ30" i="6"/>
  <c r="URI30" i="6"/>
  <c r="URH30" i="6"/>
  <c r="URG30" i="6"/>
  <c r="URF30" i="6"/>
  <c r="URE30" i="6"/>
  <c r="URD30" i="6"/>
  <c r="URC30" i="6"/>
  <c r="URB30" i="6"/>
  <c r="URA30" i="6"/>
  <c r="UQZ30" i="6"/>
  <c r="UQY30" i="6"/>
  <c r="UQX30" i="6"/>
  <c r="UQW30" i="6"/>
  <c r="UQV30" i="6"/>
  <c r="UQU30" i="6"/>
  <c r="UQT30" i="6"/>
  <c r="UQS30" i="6"/>
  <c r="UQR30" i="6"/>
  <c r="UQQ30" i="6"/>
  <c r="UQP30" i="6"/>
  <c r="UQO30" i="6"/>
  <c r="UQN30" i="6"/>
  <c r="UQM30" i="6"/>
  <c r="UQL30" i="6"/>
  <c r="UQK30" i="6"/>
  <c r="UQJ30" i="6"/>
  <c r="UQI30" i="6"/>
  <c r="UQH30" i="6"/>
  <c r="UQG30" i="6"/>
  <c r="UQF30" i="6"/>
  <c r="UQE30" i="6"/>
  <c r="UQD30" i="6"/>
  <c r="UQC30" i="6"/>
  <c r="UQB30" i="6"/>
  <c r="UQA30" i="6"/>
  <c r="UPZ30" i="6"/>
  <c r="UPY30" i="6"/>
  <c r="UPX30" i="6"/>
  <c r="UPW30" i="6"/>
  <c r="UPV30" i="6"/>
  <c r="UPU30" i="6"/>
  <c r="UPT30" i="6"/>
  <c r="UPS30" i="6"/>
  <c r="UPR30" i="6"/>
  <c r="UPQ30" i="6"/>
  <c r="UPP30" i="6"/>
  <c r="UPO30" i="6"/>
  <c r="UPN30" i="6"/>
  <c r="UPM30" i="6"/>
  <c r="UPL30" i="6"/>
  <c r="UPK30" i="6"/>
  <c r="UPJ30" i="6"/>
  <c r="UPI30" i="6"/>
  <c r="UPH30" i="6"/>
  <c r="UPG30" i="6"/>
  <c r="UPF30" i="6"/>
  <c r="UPE30" i="6"/>
  <c r="UPD30" i="6"/>
  <c r="UPC30" i="6"/>
  <c r="UPB30" i="6"/>
  <c r="UPA30" i="6"/>
  <c r="UOZ30" i="6"/>
  <c r="UOY30" i="6"/>
  <c r="UOX30" i="6"/>
  <c r="UOW30" i="6"/>
  <c r="UOV30" i="6"/>
  <c r="UOU30" i="6"/>
  <c r="UOT30" i="6"/>
  <c r="UOS30" i="6"/>
  <c r="UOR30" i="6"/>
  <c r="UOQ30" i="6"/>
  <c r="UOP30" i="6"/>
  <c r="UOO30" i="6"/>
  <c r="UON30" i="6"/>
  <c r="UOM30" i="6"/>
  <c r="UOL30" i="6"/>
  <c r="UOK30" i="6"/>
  <c r="UOJ30" i="6"/>
  <c r="UOI30" i="6"/>
  <c r="UOH30" i="6"/>
  <c r="UOG30" i="6"/>
  <c r="UOF30" i="6"/>
  <c r="UOE30" i="6"/>
  <c r="UOD30" i="6"/>
  <c r="UOC30" i="6"/>
  <c r="UOB30" i="6"/>
  <c r="UOA30" i="6"/>
  <c r="UNZ30" i="6"/>
  <c r="UNY30" i="6"/>
  <c r="UNX30" i="6"/>
  <c r="UNW30" i="6"/>
  <c r="UNV30" i="6"/>
  <c r="UNU30" i="6"/>
  <c r="UNT30" i="6"/>
  <c r="UNS30" i="6"/>
  <c r="UNR30" i="6"/>
  <c r="UNQ30" i="6"/>
  <c r="UNP30" i="6"/>
  <c r="UNO30" i="6"/>
  <c r="UNN30" i="6"/>
  <c r="UNM30" i="6"/>
  <c r="UNL30" i="6"/>
  <c r="UNK30" i="6"/>
  <c r="UNJ30" i="6"/>
  <c r="UNI30" i="6"/>
  <c r="UNH30" i="6"/>
  <c r="UNG30" i="6"/>
  <c r="UNF30" i="6"/>
  <c r="UNE30" i="6"/>
  <c r="UND30" i="6"/>
  <c r="UNC30" i="6"/>
  <c r="UNB30" i="6"/>
  <c r="UNA30" i="6"/>
  <c r="UMZ30" i="6"/>
  <c r="UMY30" i="6"/>
  <c r="UMX30" i="6"/>
  <c r="UMW30" i="6"/>
  <c r="UMV30" i="6"/>
  <c r="UMU30" i="6"/>
  <c r="UMT30" i="6"/>
  <c r="UMS30" i="6"/>
  <c r="UMR30" i="6"/>
  <c r="UMQ30" i="6"/>
  <c r="UMP30" i="6"/>
  <c r="UMO30" i="6"/>
  <c r="UMN30" i="6"/>
  <c r="UMM30" i="6"/>
  <c r="UML30" i="6"/>
  <c r="UMK30" i="6"/>
  <c r="UMJ30" i="6"/>
  <c r="UMI30" i="6"/>
  <c r="UMH30" i="6"/>
  <c r="UMG30" i="6"/>
  <c r="UMF30" i="6"/>
  <c r="UME30" i="6"/>
  <c r="UMD30" i="6"/>
  <c r="UMC30" i="6"/>
  <c r="UMB30" i="6"/>
  <c r="UMA30" i="6"/>
  <c r="ULZ30" i="6"/>
  <c r="ULY30" i="6"/>
  <c r="ULX30" i="6"/>
  <c r="ULW30" i="6"/>
  <c r="ULV30" i="6"/>
  <c r="ULU30" i="6"/>
  <c r="ULT30" i="6"/>
  <c r="ULS30" i="6"/>
  <c r="ULR30" i="6"/>
  <c r="ULQ30" i="6"/>
  <c r="ULP30" i="6"/>
  <c r="ULO30" i="6"/>
  <c r="ULN30" i="6"/>
  <c r="ULM30" i="6"/>
  <c r="ULL30" i="6"/>
  <c r="ULK30" i="6"/>
  <c r="ULJ30" i="6"/>
  <c r="ULI30" i="6"/>
  <c r="ULH30" i="6"/>
  <c r="ULG30" i="6"/>
  <c r="ULF30" i="6"/>
  <c r="ULE30" i="6"/>
  <c r="ULD30" i="6"/>
  <c r="ULC30" i="6"/>
  <c r="ULB30" i="6"/>
  <c r="ULA30" i="6"/>
  <c r="UKZ30" i="6"/>
  <c r="UKY30" i="6"/>
  <c r="UKX30" i="6"/>
  <c r="UKW30" i="6"/>
  <c r="UKV30" i="6"/>
  <c r="UKU30" i="6"/>
  <c r="UKT30" i="6"/>
  <c r="UKS30" i="6"/>
  <c r="UKR30" i="6"/>
  <c r="UKQ30" i="6"/>
  <c r="UKP30" i="6"/>
  <c r="UKO30" i="6"/>
  <c r="UKN30" i="6"/>
  <c r="UKM30" i="6"/>
  <c r="UKL30" i="6"/>
  <c r="UKK30" i="6"/>
  <c r="UKJ30" i="6"/>
  <c r="UKI30" i="6"/>
  <c r="UKH30" i="6"/>
  <c r="UKG30" i="6"/>
  <c r="UKF30" i="6"/>
  <c r="UKE30" i="6"/>
  <c r="UKD30" i="6"/>
  <c r="UKC30" i="6"/>
  <c r="UKB30" i="6"/>
  <c r="UKA30" i="6"/>
  <c r="UJZ30" i="6"/>
  <c r="UJY30" i="6"/>
  <c r="UJX30" i="6"/>
  <c r="UJW30" i="6"/>
  <c r="UJV30" i="6"/>
  <c r="UJU30" i="6"/>
  <c r="UJT30" i="6"/>
  <c r="UJS30" i="6"/>
  <c r="UJR30" i="6"/>
  <c r="UJQ30" i="6"/>
  <c r="UJP30" i="6"/>
  <c r="UJO30" i="6"/>
  <c r="UJN30" i="6"/>
  <c r="UJM30" i="6"/>
  <c r="UJL30" i="6"/>
  <c r="UJK30" i="6"/>
  <c r="UJJ30" i="6"/>
  <c r="UJI30" i="6"/>
  <c r="UJH30" i="6"/>
  <c r="UJG30" i="6"/>
  <c r="UJF30" i="6"/>
  <c r="UJE30" i="6"/>
  <c r="UJD30" i="6"/>
  <c r="UJC30" i="6"/>
  <c r="UJB30" i="6"/>
  <c r="UJA30" i="6"/>
  <c r="UIZ30" i="6"/>
  <c r="UIY30" i="6"/>
  <c r="UIX30" i="6"/>
  <c r="UIW30" i="6"/>
  <c r="UIV30" i="6"/>
  <c r="UIU30" i="6"/>
  <c r="UIT30" i="6"/>
  <c r="UIS30" i="6"/>
  <c r="UIR30" i="6"/>
  <c r="UIQ30" i="6"/>
  <c r="UIP30" i="6"/>
  <c r="UIO30" i="6"/>
  <c r="UIN30" i="6"/>
  <c r="UIM30" i="6"/>
  <c r="UIL30" i="6"/>
  <c r="UIK30" i="6"/>
  <c r="UIJ30" i="6"/>
  <c r="UII30" i="6"/>
  <c r="UIH30" i="6"/>
  <c r="UIG30" i="6"/>
  <c r="UIF30" i="6"/>
  <c r="UIE30" i="6"/>
  <c r="UID30" i="6"/>
  <c r="UIC30" i="6"/>
  <c r="UIB30" i="6"/>
  <c r="UIA30" i="6"/>
  <c r="UHZ30" i="6"/>
  <c r="UHY30" i="6"/>
  <c r="UHX30" i="6"/>
  <c r="UHW30" i="6"/>
  <c r="UHV30" i="6"/>
  <c r="UHU30" i="6"/>
  <c r="UHT30" i="6"/>
  <c r="UHS30" i="6"/>
  <c r="UHR30" i="6"/>
  <c r="UHQ30" i="6"/>
  <c r="UHP30" i="6"/>
  <c r="UHO30" i="6"/>
  <c r="UHN30" i="6"/>
  <c r="UHM30" i="6"/>
  <c r="UHL30" i="6"/>
  <c r="UHK30" i="6"/>
  <c r="UHJ30" i="6"/>
  <c r="UHI30" i="6"/>
  <c r="UHH30" i="6"/>
  <c r="UHG30" i="6"/>
  <c r="UHF30" i="6"/>
  <c r="UHE30" i="6"/>
  <c r="UHD30" i="6"/>
  <c r="UHC30" i="6"/>
  <c r="UHB30" i="6"/>
  <c r="UHA30" i="6"/>
  <c r="UGZ30" i="6"/>
  <c r="UGY30" i="6"/>
  <c r="UGX30" i="6"/>
  <c r="UGW30" i="6"/>
  <c r="UGV30" i="6"/>
  <c r="UGU30" i="6"/>
  <c r="UGT30" i="6"/>
  <c r="UGS30" i="6"/>
  <c r="UGR30" i="6"/>
  <c r="UGQ30" i="6"/>
  <c r="UGP30" i="6"/>
  <c r="UGO30" i="6"/>
  <c r="UGN30" i="6"/>
  <c r="UGM30" i="6"/>
  <c r="UGL30" i="6"/>
  <c r="UGK30" i="6"/>
  <c r="UGJ30" i="6"/>
  <c r="UGI30" i="6"/>
  <c r="UGH30" i="6"/>
  <c r="UGG30" i="6"/>
  <c r="UGF30" i="6"/>
  <c r="UGE30" i="6"/>
  <c r="UGD30" i="6"/>
  <c r="UGC30" i="6"/>
  <c r="UGB30" i="6"/>
  <c r="UGA30" i="6"/>
  <c r="UFZ30" i="6"/>
  <c r="UFY30" i="6"/>
  <c r="UFX30" i="6"/>
  <c r="UFW30" i="6"/>
  <c r="UFV30" i="6"/>
  <c r="UFU30" i="6"/>
  <c r="UFT30" i="6"/>
  <c r="UFS30" i="6"/>
  <c r="UFR30" i="6"/>
  <c r="UFQ30" i="6"/>
  <c r="UFP30" i="6"/>
  <c r="UFO30" i="6"/>
  <c r="UFN30" i="6"/>
  <c r="UFM30" i="6"/>
  <c r="UFL30" i="6"/>
  <c r="UFK30" i="6"/>
  <c r="UFJ30" i="6"/>
  <c r="UFI30" i="6"/>
  <c r="UFH30" i="6"/>
  <c r="UFG30" i="6"/>
  <c r="UFF30" i="6"/>
  <c r="UFE30" i="6"/>
  <c r="UFD30" i="6"/>
  <c r="UFC30" i="6"/>
  <c r="UFB30" i="6"/>
  <c r="UFA30" i="6"/>
  <c r="UEZ30" i="6"/>
  <c r="UEY30" i="6"/>
  <c r="UEX30" i="6"/>
  <c r="UEW30" i="6"/>
  <c r="UEV30" i="6"/>
  <c r="UEU30" i="6"/>
  <c r="UET30" i="6"/>
  <c r="UES30" i="6"/>
  <c r="UER30" i="6"/>
  <c r="UEQ30" i="6"/>
  <c r="UEP30" i="6"/>
  <c r="UEO30" i="6"/>
  <c r="UEN30" i="6"/>
  <c r="UEM30" i="6"/>
  <c r="UEL30" i="6"/>
  <c r="UEK30" i="6"/>
  <c r="UEJ30" i="6"/>
  <c r="UEI30" i="6"/>
  <c r="UEH30" i="6"/>
  <c r="UEG30" i="6"/>
  <c r="UEF30" i="6"/>
  <c r="UEE30" i="6"/>
  <c r="UED30" i="6"/>
  <c r="UEC30" i="6"/>
  <c r="UEB30" i="6"/>
  <c r="UEA30" i="6"/>
  <c r="UDZ30" i="6"/>
  <c r="UDY30" i="6"/>
  <c r="UDX30" i="6"/>
  <c r="UDW30" i="6"/>
  <c r="UDV30" i="6"/>
  <c r="UDU30" i="6"/>
  <c r="UDT30" i="6"/>
  <c r="UDS30" i="6"/>
  <c r="UDR30" i="6"/>
  <c r="UDQ30" i="6"/>
  <c r="UDP30" i="6"/>
  <c r="UDO30" i="6"/>
  <c r="UDN30" i="6"/>
  <c r="UDM30" i="6"/>
  <c r="UDL30" i="6"/>
  <c r="UDK30" i="6"/>
  <c r="UDJ30" i="6"/>
  <c r="UDI30" i="6"/>
  <c r="UDH30" i="6"/>
  <c r="UDG30" i="6"/>
  <c r="UDF30" i="6"/>
  <c r="UDE30" i="6"/>
  <c r="UDD30" i="6"/>
  <c r="UDC30" i="6"/>
  <c r="UDB30" i="6"/>
  <c r="UDA30" i="6"/>
  <c r="UCZ30" i="6"/>
  <c r="UCY30" i="6"/>
  <c r="UCX30" i="6"/>
  <c r="UCW30" i="6"/>
  <c r="UCV30" i="6"/>
  <c r="UCU30" i="6"/>
  <c r="UCT30" i="6"/>
  <c r="UCS30" i="6"/>
  <c r="UCR30" i="6"/>
  <c r="UCQ30" i="6"/>
  <c r="UCP30" i="6"/>
  <c r="UCO30" i="6"/>
  <c r="UCN30" i="6"/>
  <c r="UCM30" i="6"/>
  <c r="UCL30" i="6"/>
  <c r="UCK30" i="6"/>
  <c r="UCJ30" i="6"/>
  <c r="UCI30" i="6"/>
  <c r="UCH30" i="6"/>
  <c r="UCG30" i="6"/>
  <c r="UCF30" i="6"/>
  <c r="UCE30" i="6"/>
  <c r="UCD30" i="6"/>
  <c r="UCC30" i="6"/>
  <c r="UCB30" i="6"/>
  <c r="UCA30" i="6"/>
  <c r="UBZ30" i="6"/>
  <c r="UBY30" i="6"/>
  <c r="UBX30" i="6"/>
  <c r="UBW30" i="6"/>
  <c r="UBV30" i="6"/>
  <c r="UBU30" i="6"/>
  <c r="UBT30" i="6"/>
  <c r="UBS30" i="6"/>
  <c r="UBR30" i="6"/>
  <c r="UBQ30" i="6"/>
  <c r="UBP30" i="6"/>
  <c r="UBO30" i="6"/>
  <c r="UBN30" i="6"/>
  <c r="UBM30" i="6"/>
  <c r="UBL30" i="6"/>
  <c r="UBK30" i="6"/>
  <c r="UBJ30" i="6"/>
  <c r="UBI30" i="6"/>
  <c r="UBH30" i="6"/>
  <c r="UBG30" i="6"/>
  <c r="UBF30" i="6"/>
  <c r="UBE30" i="6"/>
  <c r="UBD30" i="6"/>
  <c r="UBC30" i="6"/>
  <c r="UBB30" i="6"/>
  <c r="UBA30" i="6"/>
  <c r="UAZ30" i="6"/>
  <c r="UAY30" i="6"/>
  <c r="UAX30" i="6"/>
  <c r="UAW30" i="6"/>
  <c r="UAV30" i="6"/>
  <c r="UAU30" i="6"/>
  <c r="UAT30" i="6"/>
  <c r="UAS30" i="6"/>
  <c r="UAR30" i="6"/>
  <c r="UAQ30" i="6"/>
  <c r="UAP30" i="6"/>
  <c r="UAO30" i="6"/>
  <c r="UAN30" i="6"/>
  <c r="UAM30" i="6"/>
  <c r="UAL30" i="6"/>
  <c r="UAK30" i="6"/>
  <c r="UAJ30" i="6"/>
  <c r="UAI30" i="6"/>
  <c r="UAH30" i="6"/>
  <c r="UAG30" i="6"/>
  <c r="UAF30" i="6"/>
  <c r="UAE30" i="6"/>
  <c r="UAD30" i="6"/>
  <c r="UAC30" i="6"/>
  <c r="UAB30" i="6"/>
  <c r="UAA30" i="6"/>
  <c r="TZZ30" i="6"/>
  <c r="TZY30" i="6"/>
  <c r="TZX30" i="6"/>
  <c r="TZW30" i="6"/>
  <c r="TZV30" i="6"/>
  <c r="TZU30" i="6"/>
  <c r="TZT30" i="6"/>
  <c r="TZS30" i="6"/>
  <c r="TZR30" i="6"/>
  <c r="TZQ30" i="6"/>
  <c r="TZP30" i="6"/>
  <c r="TZO30" i="6"/>
  <c r="TZN30" i="6"/>
  <c r="TZM30" i="6"/>
  <c r="TZL30" i="6"/>
  <c r="TZK30" i="6"/>
  <c r="TZJ30" i="6"/>
  <c r="TZI30" i="6"/>
  <c r="TZH30" i="6"/>
  <c r="TZG30" i="6"/>
  <c r="TZF30" i="6"/>
  <c r="TZE30" i="6"/>
  <c r="TZD30" i="6"/>
  <c r="TZC30" i="6"/>
  <c r="TZB30" i="6"/>
  <c r="TZA30" i="6"/>
  <c r="TYZ30" i="6"/>
  <c r="TYY30" i="6"/>
  <c r="TYX30" i="6"/>
  <c r="TYW30" i="6"/>
  <c r="TYV30" i="6"/>
  <c r="TYU30" i="6"/>
  <c r="TYT30" i="6"/>
  <c r="TYS30" i="6"/>
  <c r="TYR30" i="6"/>
  <c r="TYQ30" i="6"/>
  <c r="TYP30" i="6"/>
  <c r="TYO30" i="6"/>
  <c r="TYN30" i="6"/>
  <c r="TYM30" i="6"/>
  <c r="TYL30" i="6"/>
  <c r="TYK30" i="6"/>
  <c r="TYJ30" i="6"/>
  <c r="TYI30" i="6"/>
  <c r="TYH30" i="6"/>
  <c r="TYG30" i="6"/>
  <c r="TYF30" i="6"/>
  <c r="TYE30" i="6"/>
  <c r="TYD30" i="6"/>
  <c r="TYC30" i="6"/>
  <c r="TYB30" i="6"/>
  <c r="TYA30" i="6"/>
  <c r="TXZ30" i="6"/>
  <c r="TXY30" i="6"/>
  <c r="TXX30" i="6"/>
  <c r="TXW30" i="6"/>
  <c r="TXV30" i="6"/>
  <c r="TXU30" i="6"/>
  <c r="TXT30" i="6"/>
  <c r="TXS30" i="6"/>
  <c r="TXR30" i="6"/>
  <c r="TXQ30" i="6"/>
  <c r="TXP30" i="6"/>
  <c r="TXO30" i="6"/>
  <c r="TXN30" i="6"/>
  <c r="TXM30" i="6"/>
  <c r="TXL30" i="6"/>
  <c r="TXK30" i="6"/>
  <c r="TXJ30" i="6"/>
  <c r="TXI30" i="6"/>
  <c r="TXH30" i="6"/>
  <c r="TXG30" i="6"/>
  <c r="TXF30" i="6"/>
  <c r="TXE30" i="6"/>
  <c r="TXD30" i="6"/>
  <c r="TXC30" i="6"/>
  <c r="TXB30" i="6"/>
  <c r="TXA30" i="6"/>
  <c r="TWZ30" i="6"/>
  <c r="TWY30" i="6"/>
  <c r="TWX30" i="6"/>
  <c r="TWW30" i="6"/>
  <c r="TWV30" i="6"/>
  <c r="TWU30" i="6"/>
  <c r="TWT30" i="6"/>
  <c r="TWS30" i="6"/>
  <c r="TWR30" i="6"/>
  <c r="TWQ30" i="6"/>
  <c r="TWP30" i="6"/>
  <c r="TWO30" i="6"/>
  <c r="TWN30" i="6"/>
  <c r="TWM30" i="6"/>
  <c r="TWL30" i="6"/>
  <c r="TWK30" i="6"/>
  <c r="TWJ30" i="6"/>
  <c r="TWI30" i="6"/>
  <c r="TWH30" i="6"/>
  <c r="TWG30" i="6"/>
  <c r="TWF30" i="6"/>
  <c r="TWE30" i="6"/>
  <c r="TWD30" i="6"/>
  <c r="TWC30" i="6"/>
  <c r="TWB30" i="6"/>
  <c r="TWA30" i="6"/>
  <c r="TVZ30" i="6"/>
  <c r="TVY30" i="6"/>
  <c r="TVX30" i="6"/>
  <c r="TVW30" i="6"/>
  <c r="TVV30" i="6"/>
  <c r="TVU30" i="6"/>
  <c r="TVT30" i="6"/>
  <c r="TVS30" i="6"/>
  <c r="TVR30" i="6"/>
  <c r="TVQ30" i="6"/>
  <c r="TVP30" i="6"/>
  <c r="TVO30" i="6"/>
  <c r="TVN30" i="6"/>
  <c r="TVM30" i="6"/>
  <c r="TVL30" i="6"/>
  <c r="TVK30" i="6"/>
  <c r="TVJ30" i="6"/>
  <c r="TVI30" i="6"/>
  <c r="TVH30" i="6"/>
  <c r="TVG30" i="6"/>
  <c r="TVF30" i="6"/>
  <c r="TVE30" i="6"/>
  <c r="TVD30" i="6"/>
  <c r="TVC30" i="6"/>
  <c r="TVB30" i="6"/>
  <c r="TVA30" i="6"/>
  <c r="TUZ30" i="6"/>
  <c r="TUY30" i="6"/>
  <c r="TUX30" i="6"/>
  <c r="TUW30" i="6"/>
  <c r="TUV30" i="6"/>
  <c r="TUU30" i="6"/>
  <c r="TUT30" i="6"/>
  <c r="TUS30" i="6"/>
  <c r="TUR30" i="6"/>
  <c r="TUQ30" i="6"/>
  <c r="TUP30" i="6"/>
  <c r="TUO30" i="6"/>
  <c r="TUN30" i="6"/>
  <c r="TUM30" i="6"/>
  <c r="TUL30" i="6"/>
  <c r="TUK30" i="6"/>
  <c r="TUJ30" i="6"/>
  <c r="TUI30" i="6"/>
  <c r="TUH30" i="6"/>
  <c r="TUG30" i="6"/>
  <c r="TUF30" i="6"/>
  <c r="TUE30" i="6"/>
  <c r="TUD30" i="6"/>
  <c r="TUC30" i="6"/>
  <c r="TUB30" i="6"/>
  <c r="TUA30" i="6"/>
  <c r="TTZ30" i="6"/>
  <c r="TTY30" i="6"/>
  <c r="TTX30" i="6"/>
  <c r="TTW30" i="6"/>
  <c r="TTV30" i="6"/>
  <c r="TTU30" i="6"/>
  <c r="TTT30" i="6"/>
  <c r="TTS30" i="6"/>
  <c r="TTR30" i="6"/>
  <c r="TTQ30" i="6"/>
  <c r="TTP30" i="6"/>
  <c r="TTO30" i="6"/>
  <c r="TTN30" i="6"/>
  <c r="TTM30" i="6"/>
  <c r="TTL30" i="6"/>
  <c r="TTK30" i="6"/>
  <c r="TTJ30" i="6"/>
  <c r="TTI30" i="6"/>
  <c r="TTH30" i="6"/>
  <c r="TTG30" i="6"/>
  <c r="TTF30" i="6"/>
  <c r="TTE30" i="6"/>
  <c r="TTD30" i="6"/>
  <c r="TTC30" i="6"/>
  <c r="TTB30" i="6"/>
  <c r="TTA30" i="6"/>
  <c r="TSZ30" i="6"/>
  <c r="TSY30" i="6"/>
  <c r="TSX30" i="6"/>
  <c r="TSW30" i="6"/>
  <c r="TSV30" i="6"/>
  <c r="TSU30" i="6"/>
  <c r="TST30" i="6"/>
  <c r="TSS30" i="6"/>
  <c r="TSR30" i="6"/>
  <c r="TSQ30" i="6"/>
  <c r="TSP30" i="6"/>
  <c r="TSO30" i="6"/>
  <c r="TSN30" i="6"/>
  <c r="TSM30" i="6"/>
  <c r="TSL30" i="6"/>
  <c r="TSK30" i="6"/>
  <c r="TSJ30" i="6"/>
  <c r="TSI30" i="6"/>
  <c r="TSH30" i="6"/>
  <c r="TSG30" i="6"/>
  <c r="TSF30" i="6"/>
  <c r="TSE30" i="6"/>
  <c r="TSD30" i="6"/>
  <c r="TSC30" i="6"/>
  <c r="TSB30" i="6"/>
  <c r="TSA30" i="6"/>
  <c r="TRZ30" i="6"/>
  <c r="TRY30" i="6"/>
  <c r="TRX30" i="6"/>
  <c r="TRW30" i="6"/>
  <c r="TRV30" i="6"/>
  <c r="TRU30" i="6"/>
  <c r="TRT30" i="6"/>
  <c r="TRS30" i="6"/>
  <c r="TRR30" i="6"/>
  <c r="TRQ30" i="6"/>
  <c r="TRP30" i="6"/>
  <c r="TRO30" i="6"/>
  <c r="TRN30" i="6"/>
  <c r="TRM30" i="6"/>
  <c r="TRL30" i="6"/>
  <c r="TRK30" i="6"/>
  <c r="TRJ30" i="6"/>
  <c r="TRI30" i="6"/>
  <c r="TRH30" i="6"/>
  <c r="TRG30" i="6"/>
  <c r="TRF30" i="6"/>
  <c r="TRE30" i="6"/>
  <c r="TRD30" i="6"/>
  <c r="TRC30" i="6"/>
  <c r="TRB30" i="6"/>
  <c r="TRA30" i="6"/>
  <c r="TQZ30" i="6"/>
  <c r="TQY30" i="6"/>
  <c r="TQX30" i="6"/>
  <c r="TQW30" i="6"/>
  <c r="TQV30" i="6"/>
  <c r="TQU30" i="6"/>
  <c r="TQT30" i="6"/>
  <c r="TQS30" i="6"/>
  <c r="TQR30" i="6"/>
  <c r="TQQ30" i="6"/>
  <c r="TQP30" i="6"/>
  <c r="TQO30" i="6"/>
  <c r="TQN30" i="6"/>
  <c r="TQM30" i="6"/>
  <c r="TQL30" i="6"/>
  <c r="TQK30" i="6"/>
  <c r="TQJ30" i="6"/>
  <c r="TQI30" i="6"/>
  <c r="TQH30" i="6"/>
  <c r="TQG30" i="6"/>
  <c r="TQF30" i="6"/>
  <c r="TQE30" i="6"/>
  <c r="TQD30" i="6"/>
  <c r="TQC30" i="6"/>
  <c r="TQB30" i="6"/>
  <c r="TQA30" i="6"/>
  <c r="TPZ30" i="6"/>
  <c r="TPY30" i="6"/>
  <c r="TPX30" i="6"/>
  <c r="TPW30" i="6"/>
  <c r="TPV30" i="6"/>
  <c r="TPU30" i="6"/>
  <c r="TPT30" i="6"/>
  <c r="TPS30" i="6"/>
  <c r="TPR30" i="6"/>
  <c r="TPQ30" i="6"/>
  <c r="TPP30" i="6"/>
  <c r="TPO30" i="6"/>
  <c r="TPN30" i="6"/>
  <c r="TPM30" i="6"/>
  <c r="TPL30" i="6"/>
  <c r="TPK30" i="6"/>
  <c r="TPJ30" i="6"/>
  <c r="TPI30" i="6"/>
  <c r="TPH30" i="6"/>
  <c r="TPG30" i="6"/>
  <c r="TPF30" i="6"/>
  <c r="TPE30" i="6"/>
  <c r="TPD30" i="6"/>
  <c r="TPC30" i="6"/>
  <c r="TPB30" i="6"/>
  <c r="TPA30" i="6"/>
  <c r="TOZ30" i="6"/>
  <c r="TOY30" i="6"/>
  <c r="TOX30" i="6"/>
  <c r="TOW30" i="6"/>
  <c r="TOV30" i="6"/>
  <c r="TOU30" i="6"/>
  <c r="TOT30" i="6"/>
  <c r="TOS30" i="6"/>
  <c r="TOR30" i="6"/>
  <c r="TOQ30" i="6"/>
  <c r="TOP30" i="6"/>
  <c r="TOO30" i="6"/>
  <c r="TON30" i="6"/>
  <c r="TOM30" i="6"/>
  <c r="TOL30" i="6"/>
  <c r="TOK30" i="6"/>
  <c r="TOJ30" i="6"/>
  <c r="TOI30" i="6"/>
  <c r="TOH30" i="6"/>
  <c r="TOG30" i="6"/>
  <c r="TOF30" i="6"/>
  <c r="TOE30" i="6"/>
  <c r="TOD30" i="6"/>
  <c r="TOC30" i="6"/>
  <c r="TOB30" i="6"/>
  <c r="TOA30" i="6"/>
  <c r="TNZ30" i="6"/>
  <c r="TNY30" i="6"/>
  <c r="TNX30" i="6"/>
  <c r="TNW30" i="6"/>
  <c r="TNV30" i="6"/>
  <c r="TNU30" i="6"/>
  <c r="TNT30" i="6"/>
  <c r="TNS30" i="6"/>
  <c r="TNR30" i="6"/>
  <c r="TNQ30" i="6"/>
  <c r="TNP30" i="6"/>
  <c r="TNO30" i="6"/>
  <c r="TNN30" i="6"/>
  <c r="TNM30" i="6"/>
  <c r="TNL30" i="6"/>
  <c r="TNK30" i="6"/>
  <c r="TNJ30" i="6"/>
  <c r="TNI30" i="6"/>
  <c r="TNH30" i="6"/>
  <c r="TNG30" i="6"/>
  <c r="TNF30" i="6"/>
  <c r="TNE30" i="6"/>
  <c r="TND30" i="6"/>
  <c r="TNC30" i="6"/>
  <c r="TNB30" i="6"/>
  <c r="TNA30" i="6"/>
  <c r="TMZ30" i="6"/>
  <c r="TMY30" i="6"/>
  <c r="TMX30" i="6"/>
  <c r="TMW30" i="6"/>
  <c r="TMV30" i="6"/>
  <c r="TMU30" i="6"/>
  <c r="TMT30" i="6"/>
  <c r="TMS30" i="6"/>
  <c r="TMR30" i="6"/>
  <c r="TMQ30" i="6"/>
  <c r="TMP30" i="6"/>
  <c r="TMO30" i="6"/>
  <c r="TMN30" i="6"/>
  <c r="TMM30" i="6"/>
  <c r="TML30" i="6"/>
  <c r="TMK30" i="6"/>
  <c r="TMJ30" i="6"/>
  <c r="TMI30" i="6"/>
  <c r="TMH30" i="6"/>
  <c r="TMG30" i="6"/>
  <c r="TMF30" i="6"/>
  <c r="TME30" i="6"/>
  <c r="TMD30" i="6"/>
  <c r="TMC30" i="6"/>
  <c r="TMB30" i="6"/>
  <c r="TMA30" i="6"/>
  <c r="TLZ30" i="6"/>
  <c r="TLY30" i="6"/>
  <c r="TLX30" i="6"/>
  <c r="TLW30" i="6"/>
  <c r="TLV30" i="6"/>
  <c r="TLU30" i="6"/>
  <c r="TLT30" i="6"/>
  <c r="TLS30" i="6"/>
  <c r="TLR30" i="6"/>
  <c r="TLQ30" i="6"/>
  <c r="TLP30" i="6"/>
  <c r="TLO30" i="6"/>
  <c r="TLN30" i="6"/>
  <c r="TLM30" i="6"/>
  <c r="TLL30" i="6"/>
  <c r="TLK30" i="6"/>
  <c r="TLJ30" i="6"/>
  <c r="TLI30" i="6"/>
  <c r="TLH30" i="6"/>
  <c r="TLG30" i="6"/>
  <c r="TLF30" i="6"/>
  <c r="TLE30" i="6"/>
  <c r="TLD30" i="6"/>
  <c r="TLC30" i="6"/>
  <c r="TLB30" i="6"/>
  <c r="TLA30" i="6"/>
  <c r="TKZ30" i="6"/>
  <c r="TKY30" i="6"/>
  <c r="TKX30" i="6"/>
  <c r="TKW30" i="6"/>
  <c r="TKV30" i="6"/>
  <c r="TKU30" i="6"/>
  <c r="TKT30" i="6"/>
  <c r="TKS30" i="6"/>
  <c r="TKR30" i="6"/>
  <c r="TKQ30" i="6"/>
  <c r="TKP30" i="6"/>
  <c r="TKO30" i="6"/>
  <c r="TKN30" i="6"/>
  <c r="TKM30" i="6"/>
  <c r="TKL30" i="6"/>
  <c r="TKK30" i="6"/>
  <c r="TKJ30" i="6"/>
  <c r="TKI30" i="6"/>
  <c r="TKH30" i="6"/>
  <c r="TKG30" i="6"/>
  <c r="TKF30" i="6"/>
  <c r="TKE30" i="6"/>
  <c r="TKD30" i="6"/>
  <c r="TKC30" i="6"/>
  <c r="TKB30" i="6"/>
  <c r="TKA30" i="6"/>
  <c r="TJZ30" i="6"/>
  <c r="TJY30" i="6"/>
  <c r="TJX30" i="6"/>
  <c r="TJW30" i="6"/>
  <c r="TJV30" i="6"/>
  <c r="TJU30" i="6"/>
  <c r="TJT30" i="6"/>
  <c r="TJS30" i="6"/>
  <c r="TJR30" i="6"/>
  <c r="TJQ30" i="6"/>
  <c r="TJP30" i="6"/>
  <c r="TJO30" i="6"/>
  <c r="TJN30" i="6"/>
  <c r="TJM30" i="6"/>
  <c r="TJL30" i="6"/>
  <c r="TJK30" i="6"/>
  <c r="TJJ30" i="6"/>
  <c r="TJI30" i="6"/>
  <c r="TJH30" i="6"/>
  <c r="TJG30" i="6"/>
  <c r="TJF30" i="6"/>
  <c r="TJE30" i="6"/>
  <c r="TJD30" i="6"/>
  <c r="TJC30" i="6"/>
  <c r="TJB30" i="6"/>
  <c r="TJA30" i="6"/>
  <c r="TIZ30" i="6"/>
  <c r="TIY30" i="6"/>
  <c r="TIX30" i="6"/>
  <c r="TIW30" i="6"/>
  <c r="TIV30" i="6"/>
  <c r="TIU30" i="6"/>
  <c r="TIT30" i="6"/>
  <c r="TIS30" i="6"/>
  <c r="TIR30" i="6"/>
  <c r="TIQ30" i="6"/>
  <c r="TIP30" i="6"/>
  <c r="TIO30" i="6"/>
  <c r="TIN30" i="6"/>
  <c r="TIM30" i="6"/>
  <c r="TIL30" i="6"/>
  <c r="TIK30" i="6"/>
  <c r="TIJ30" i="6"/>
  <c r="TII30" i="6"/>
  <c r="TIH30" i="6"/>
  <c r="TIG30" i="6"/>
  <c r="TIF30" i="6"/>
  <c r="TIE30" i="6"/>
  <c r="TID30" i="6"/>
  <c r="TIC30" i="6"/>
  <c r="TIB30" i="6"/>
  <c r="TIA30" i="6"/>
  <c r="THZ30" i="6"/>
  <c r="THY30" i="6"/>
  <c r="THX30" i="6"/>
  <c r="THW30" i="6"/>
  <c r="THV30" i="6"/>
  <c r="THU30" i="6"/>
  <c r="THT30" i="6"/>
  <c r="THS30" i="6"/>
  <c r="THR30" i="6"/>
  <c r="THQ30" i="6"/>
  <c r="THP30" i="6"/>
  <c r="THO30" i="6"/>
  <c r="THN30" i="6"/>
  <c r="THM30" i="6"/>
  <c r="THL30" i="6"/>
  <c r="THK30" i="6"/>
  <c r="THJ30" i="6"/>
  <c r="THI30" i="6"/>
  <c r="THH30" i="6"/>
  <c r="THG30" i="6"/>
  <c r="THF30" i="6"/>
  <c r="THE30" i="6"/>
  <c r="THD30" i="6"/>
  <c r="THC30" i="6"/>
  <c r="THB30" i="6"/>
  <c r="THA30" i="6"/>
  <c r="TGZ30" i="6"/>
  <c r="TGY30" i="6"/>
  <c r="TGX30" i="6"/>
  <c r="TGW30" i="6"/>
  <c r="TGV30" i="6"/>
  <c r="TGU30" i="6"/>
  <c r="TGT30" i="6"/>
  <c r="TGS30" i="6"/>
  <c r="TGR30" i="6"/>
  <c r="TGQ30" i="6"/>
  <c r="TGP30" i="6"/>
  <c r="TGO30" i="6"/>
  <c r="TGN30" i="6"/>
  <c r="TGM30" i="6"/>
  <c r="TGL30" i="6"/>
  <c r="TGK30" i="6"/>
  <c r="TGJ30" i="6"/>
  <c r="TGI30" i="6"/>
  <c r="TGH30" i="6"/>
  <c r="TGG30" i="6"/>
  <c r="TGF30" i="6"/>
  <c r="TGE30" i="6"/>
  <c r="TGD30" i="6"/>
  <c r="TGC30" i="6"/>
  <c r="TGB30" i="6"/>
  <c r="TGA30" i="6"/>
  <c r="TFZ30" i="6"/>
  <c r="TFY30" i="6"/>
  <c r="TFX30" i="6"/>
  <c r="TFW30" i="6"/>
  <c r="TFV30" i="6"/>
  <c r="TFU30" i="6"/>
  <c r="TFT30" i="6"/>
  <c r="TFS30" i="6"/>
  <c r="TFR30" i="6"/>
  <c r="TFQ30" i="6"/>
  <c r="TFP30" i="6"/>
  <c r="TFO30" i="6"/>
  <c r="TFN30" i="6"/>
  <c r="TFM30" i="6"/>
  <c r="TFL30" i="6"/>
  <c r="TFK30" i="6"/>
  <c r="TFJ30" i="6"/>
  <c r="TFI30" i="6"/>
  <c r="TFH30" i="6"/>
  <c r="TFG30" i="6"/>
  <c r="TFF30" i="6"/>
  <c r="TFE30" i="6"/>
  <c r="TFD30" i="6"/>
  <c r="TFC30" i="6"/>
  <c r="TFB30" i="6"/>
  <c r="TFA30" i="6"/>
  <c r="TEZ30" i="6"/>
  <c r="TEY30" i="6"/>
  <c r="TEX30" i="6"/>
  <c r="TEW30" i="6"/>
  <c r="TEV30" i="6"/>
  <c r="TEU30" i="6"/>
  <c r="TET30" i="6"/>
  <c r="TES30" i="6"/>
  <c r="TER30" i="6"/>
  <c r="TEQ30" i="6"/>
  <c r="TEP30" i="6"/>
  <c r="TEO30" i="6"/>
  <c r="TEN30" i="6"/>
  <c r="TEM30" i="6"/>
  <c r="TEL30" i="6"/>
  <c r="TEK30" i="6"/>
  <c r="TEJ30" i="6"/>
  <c r="TEI30" i="6"/>
  <c r="TEH30" i="6"/>
  <c r="TEG30" i="6"/>
  <c r="TEF30" i="6"/>
  <c r="TEE30" i="6"/>
  <c r="TED30" i="6"/>
  <c r="TEC30" i="6"/>
  <c r="TEB30" i="6"/>
  <c r="TEA30" i="6"/>
  <c r="TDZ30" i="6"/>
  <c r="TDY30" i="6"/>
  <c r="TDX30" i="6"/>
  <c r="TDW30" i="6"/>
  <c r="TDV30" i="6"/>
  <c r="TDU30" i="6"/>
  <c r="TDT30" i="6"/>
  <c r="TDS30" i="6"/>
  <c r="TDR30" i="6"/>
  <c r="TDQ30" i="6"/>
  <c r="TDP30" i="6"/>
  <c r="TDO30" i="6"/>
  <c r="TDN30" i="6"/>
  <c r="TDM30" i="6"/>
  <c r="TDL30" i="6"/>
  <c r="TDK30" i="6"/>
  <c r="TDJ30" i="6"/>
  <c r="TDI30" i="6"/>
  <c r="TDH30" i="6"/>
  <c r="TDG30" i="6"/>
  <c r="TDF30" i="6"/>
  <c r="TDE30" i="6"/>
  <c r="TDD30" i="6"/>
  <c r="TDC30" i="6"/>
  <c r="TDB30" i="6"/>
  <c r="TDA30" i="6"/>
  <c r="TCZ30" i="6"/>
  <c r="TCY30" i="6"/>
  <c r="TCX30" i="6"/>
  <c r="TCW30" i="6"/>
  <c r="TCV30" i="6"/>
  <c r="TCU30" i="6"/>
  <c r="TCT30" i="6"/>
  <c r="TCS30" i="6"/>
  <c r="TCR30" i="6"/>
  <c r="TCQ30" i="6"/>
  <c r="TCP30" i="6"/>
  <c r="TCO30" i="6"/>
  <c r="TCN30" i="6"/>
  <c r="TCM30" i="6"/>
  <c r="TCL30" i="6"/>
  <c r="TCK30" i="6"/>
  <c r="TCJ30" i="6"/>
  <c r="TCI30" i="6"/>
  <c r="TCH30" i="6"/>
  <c r="TCG30" i="6"/>
  <c r="TCF30" i="6"/>
  <c r="TCE30" i="6"/>
  <c r="TCD30" i="6"/>
  <c r="TCC30" i="6"/>
  <c r="TCB30" i="6"/>
  <c r="TCA30" i="6"/>
  <c r="TBZ30" i="6"/>
  <c r="TBY30" i="6"/>
  <c r="TBX30" i="6"/>
  <c r="TBW30" i="6"/>
  <c r="TBV30" i="6"/>
  <c r="TBU30" i="6"/>
  <c r="TBT30" i="6"/>
  <c r="TBS30" i="6"/>
  <c r="TBR30" i="6"/>
  <c r="TBQ30" i="6"/>
  <c r="TBP30" i="6"/>
  <c r="TBO30" i="6"/>
  <c r="TBN30" i="6"/>
  <c r="TBM30" i="6"/>
  <c r="TBL30" i="6"/>
  <c r="TBK30" i="6"/>
  <c r="TBJ30" i="6"/>
  <c r="TBI30" i="6"/>
  <c r="TBH30" i="6"/>
  <c r="TBG30" i="6"/>
  <c r="TBF30" i="6"/>
  <c r="TBE30" i="6"/>
  <c r="TBD30" i="6"/>
  <c r="TBC30" i="6"/>
  <c r="TBB30" i="6"/>
  <c r="TBA30" i="6"/>
  <c r="TAZ30" i="6"/>
  <c r="TAY30" i="6"/>
  <c r="TAX30" i="6"/>
  <c r="TAW30" i="6"/>
  <c r="TAV30" i="6"/>
  <c r="TAU30" i="6"/>
  <c r="TAT30" i="6"/>
  <c r="TAS30" i="6"/>
  <c r="TAR30" i="6"/>
  <c r="TAQ30" i="6"/>
  <c r="TAP30" i="6"/>
  <c r="TAO30" i="6"/>
  <c r="TAN30" i="6"/>
  <c r="TAM30" i="6"/>
  <c r="TAL30" i="6"/>
  <c r="TAK30" i="6"/>
  <c r="TAJ30" i="6"/>
  <c r="TAI30" i="6"/>
  <c r="TAH30" i="6"/>
  <c r="TAG30" i="6"/>
  <c r="TAF30" i="6"/>
  <c r="TAE30" i="6"/>
  <c r="TAD30" i="6"/>
  <c r="TAC30" i="6"/>
  <c r="TAB30" i="6"/>
  <c r="TAA30" i="6"/>
  <c r="SZZ30" i="6"/>
  <c r="SZY30" i="6"/>
  <c r="SZX30" i="6"/>
  <c r="SZW30" i="6"/>
  <c r="SZV30" i="6"/>
  <c r="SZU30" i="6"/>
  <c r="SZT30" i="6"/>
  <c r="SZS30" i="6"/>
  <c r="SZR30" i="6"/>
  <c r="SZQ30" i="6"/>
  <c r="SZP30" i="6"/>
  <c r="SZO30" i="6"/>
  <c r="SZN30" i="6"/>
  <c r="SZM30" i="6"/>
  <c r="SZL30" i="6"/>
  <c r="SZK30" i="6"/>
  <c r="SZJ30" i="6"/>
  <c r="SZI30" i="6"/>
  <c r="SZH30" i="6"/>
  <c r="SZG30" i="6"/>
  <c r="SZF30" i="6"/>
  <c r="SZE30" i="6"/>
  <c r="SZD30" i="6"/>
  <c r="SZC30" i="6"/>
  <c r="SZB30" i="6"/>
  <c r="SZA30" i="6"/>
  <c r="SYZ30" i="6"/>
  <c r="SYY30" i="6"/>
  <c r="SYX30" i="6"/>
  <c r="SYW30" i="6"/>
  <c r="SYV30" i="6"/>
  <c r="SYU30" i="6"/>
  <c r="SYT30" i="6"/>
  <c r="SYS30" i="6"/>
  <c r="SYR30" i="6"/>
  <c r="SYQ30" i="6"/>
  <c r="SYP30" i="6"/>
  <c r="SYO30" i="6"/>
  <c r="SYN30" i="6"/>
  <c r="SYM30" i="6"/>
  <c r="SYL30" i="6"/>
  <c r="SYK30" i="6"/>
  <c r="SYJ30" i="6"/>
  <c r="SYI30" i="6"/>
  <c r="SYH30" i="6"/>
  <c r="SYG30" i="6"/>
  <c r="SYF30" i="6"/>
  <c r="SYE30" i="6"/>
  <c r="SYD30" i="6"/>
  <c r="SYC30" i="6"/>
  <c r="SYB30" i="6"/>
  <c r="SYA30" i="6"/>
  <c r="SXZ30" i="6"/>
  <c r="SXY30" i="6"/>
  <c r="SXX30" i="6"/>
  <c r="SXW30" i="6"/>
  <c r="SXV30" i="6"/>
  <c r="SXU30" i="6"/>
  <c r="SXT30" i="6"/>
  <c r="SXS30" i="6"/>
  <c r="SXR30" i="6"/>
  <c r="SXQ30" i="6"/>
  <c r="SXP30" i="6"/>
  <c r="SXO30" i="6"/>
  <c r="SXN30" i="6"/>
  <c r="SXM30" i="6"/>
  <c r="SXL30" i="6"/>
  <c r="SXK30" i="6"/>
  <c r="SXJ30" i="6"/>
  <c r="SXI30" i="6"/>
  <c r="SXH30" i="6"/>
  <c r="SXG30" i="6"/>
  <c r="SXF30" i="6"/>
  <c r="SXE30" i="6"/>
  <c r="SXD30" i="6"/>
  <c r="SXC30" i="6"/>
  <c r="SXB30" i="6"/>
  <c r="SXA30" i="6"/>
  <c r="SWZ30" i="6"/>
  <c r="SWY30" i="6"/>
  <c r="SWX30" i="6"/>
  <c r="SWW30" i="6"/>
  <c r="SWV30" i="6"/>
  <c r="SWU30" i="6"/>
  <c r="SWT30" i="6"/>
  <c r="SWS30" i="6"/>
  <c r="SWR30" i="6"/>
  <c r="SWQ30" i="6"/>
  <c r="SWP30" i="6"/>
  <c r="SWO30" i="6"/>
  <c r="SWN30" i="6"/>
  <c r="SWM30" i="6"/>
  <c r="SWL30" i="6"/>
  <c r="SWK30" i="6"/>
  <c r="SWJ30" i="6"/>
  <c r="SWI30" i="6"/>
  <c r="SWH30" i="6"/>
  <c r="SWG30" i="6"/>
  <c r="SWF30" i="6"/>
  <c r="SWE30" i="6"/>
  <c r="SWD30" i="6"/>
  <c r="SWC30" i="6"/>
  <c r="SWB30" i="6"/>
  <c r="SWA30" i="6"/>
  <c r="SVZ30" i="6"/>
  <c r="SVY30" i="6"/>
  <c r="SVX30" i="6"/>
  <c r="SVW30" i="6"/>
  <c r="SVV30" i="6"/>
  <c r="SVU30" i="6"/>
  <c r="SVT30" i="6"/>
  <c r="SVS30" i="6"/>
  <c r="SVR30" i="6"/>
  <c r="SVQ30" i="6"/>
  <c r="SVP30" i="6"/>
  <c r="SVO30" i="6"/>
  <c r="SVN30" i="6"/>
  <c r="SVM30" i="6"/>
  <c r="SVL30" i="6"/>
  <c r="SVK30" i="6"/>
  <c r="SVJ30" i="6"/>
  <c r="SVI30" i="6"/>
  <c r="SVH30" i="6"/>
  <c r="SVG30" i="6"/>
  <c r="SVF30" i="6"/>
  <c r="SVE30" i="6"/>
  <c r="SVD30" i="6"/>
  <c r="SVC30" i="6"/>
  <c r="SVB30" i="6"/>
  <c r="SVA30" i="6"/>
  <c r="SUZ30" i="6"/>
  <c r="SUY30" i="6"/>
  <c r="SUX30" i="6"/>
  <c r="SUW30" i="6"/>
  <c r="SUV30" i="6"/>
  <c r="SUU30" i="6"/>
  <c r="SUT30" i="6"/>
  <c r="SUS30" i="6"/>
  <c r="SUR30" i="6"/>
  <c r="SUQ30" i="6"/>
  <c r="SUP30" i="6"/>
  <c r="SUO30" i="6"/>
  <c r="SUN30" i="6"/>
  <c r="SUM30" i="6"/>
  <c r="SUL30" i="6"/>
  <c r="SUK30" i="6"/>
  <c r="SUJ30" i="6"/>
  <c r="SUI30" i="6"/>
  <c r="SUH30" i="6"/>
  <c r="SUG30" i="6"/>
  <c r="SUF30" i="6"/>
  <c r="SUE30" i="6"/>
  <c r="SUD30" i="6"/>
  <c r="SUC30" i="6"/>
  <c r="SUB30" i="6"/>
  <c r="SUA30" i="6"/>
  <c r="STZ30" i="6"/>
  <c r="STY30" i="6"/>
  <c r="STX30" i="6"/>
  <c r="STW30" i="6"/>
  <c r="STV30" i="6"/>
  <c r="STU30" i="6"/>
  <c r="STT30" i="6"/>
  <c r="STS30" i="6"/>
  <c r="STR30" i="6"/>
  <c r="STQ30" i="6"/>
  <c r="STP30" i="6"/>
  <c r="STO30" i="6"/>
  <c r="STN30" i="6"/>
  <c r="STM30" i="6"/>
  <c r="STL30" i="6"/>
  <c r="STK30" i="6"/>
  <c r="STJ30" i="6"/>
  <c r="STI30" i="6"/>
  <c r="STH30" i="6"/>
  <c r="STG30" i="6"/>
  <c r="STF30" i="6"/>
  <c r="STE30" i="6"/>
  <c r="STD30" i="6"/>
  <c r="STC30" i="6"/>
  <c r="STB30" i="6"/>
  <c r="STA30" i="6"/>
  <c r="SSZ30" i="6"/>
  <c r="SSY30" i="6"/>
  <c r="SSX30" i="6"/>
  <c r="SSW30" i="6"/>
  <c r="SSV30" i="6"/>
  <c r="SSU30" i="6"/>
  <c r="SST30" i="6"/>
  <c r="SSS30" i="6"/>
  <c r="SSR30" i="6"/>
  <c r="SSQ30" i="6"/>
  <c r="SSP30" i="6"/>
  <c r="SSO30" i="6"/>
  <c r="SSN30" i="6"/>
  <c r="SSM30" i="6"/>
  <c r="SSL30" i="6"/>
  <c r="SSK30" i="6"/>
  <c r="SSJ30" i="6"/>
  <c r="SSI30" i="6"/>
  <c r="SSH30" i="6"/>
  <c r="SSG30" i="6"/>
  <c r="SSF30" i="6"/>
  <c r="SSE30" i="6"/>
  <c r="SSD30" i="6"/>
  <c r="SSC30" i="6"/>
  <c r="SSB30" i="6"/>
  <c r="SSA30" i="6"/>
  <c r="SRZ30" i="6"/>
  <c r="SRY30" i="6"/>
  <c r="SRX30" i="6"/>
  <c r="SRW30" i="6"/>
  <c r="SRV30" i="6"/>
  <c r="SRU30" i="6"/>
  <c r="SRT30" i="6"/>
  <c r="SRS30" i="6"/>
  <c r="SRR30" i="6"/>
  <c r="SRQ30" i="6"/>
  <c r="SRP30" i="6"/>
  <c r="SRO30" i="6"/>
  <c r="SRN30" i="6"/>
  <c r="SRM30" i="6"/>
  <c r="SRL30" i="6"/>
  <c r="SRK30" i="6"/>
  <c r="SRJ30" i="6"/>
  <c r="SRI30" i="6"/>
  <c r="SRH30" i="6"/>
  <c r="SRG30" i="6"/>
  <c r="SRF30" i="6"/>
  <c r="SRE30" i="6"/>
  <c r="SRD30" i="6"/>
  <c r="SRC30" i="6"/>
  <c r="SRB30" i="6"/>
  <c r="SRA30" i="6"/>
  <c r="SQZ30" i="6"/>
  <c r="SQY30" i="6"/>
  <c r="SQX30" i="6"/>
  <c r="SQW30" i="6"/>
  <c r="SQV30" i="6"/>
  <c r="SQU30" i="6"/>
  <c r="SQT30" i="6"/>
  <c r="SQS30" i="6"/>
  <c r="SQR30" i="6"/>
  <c r="SQQ30" i="6"/>
  <c r="SQP30" i="6"/>
  <c r="SQO30" i="6"/>
  <c r="SQN30" i="6"/>
  <c r="SQM30" i="6"/>
  <c r="SQL30" i="6"/>
  <c r="SQK30" i="6"/>
  <c r="SQJ30" i="6"/>
  <c r="SQI30" i="6"/>
  <c r="SQH30" i="6"/>
  <c r="SQG30" i="6"/>
  <c r="SQF30" i="6"/>
  <c r="SQE30" i="6"/>
  <c r="SQD30" i="6"/>
  <c r="SQC30" i="6"/>
  <c r="SQB30" i="6"/>
  <c r="SQA30" i="6"/>
  <c r="SPZ30" i="6"/>
  <c r="SPY30" i="6"/>
  <c r="SPX30" i="6"/>
  <c r="SPW30" i="6"/>
  <c r="SPV30" i="6"/>
  <c r="SPU30" i="6"/>
  <c r="SPT30" i="6"/>
  <c r="SPS30" i="6"/>
  <c r="SPR30" i="6"/>
  <c r="SPQ30" i="6"/>
  <c r="SPP30" i="6"/>
  <c r="SPO30" i="6"/>
  <c r="SPN30" i="6"/>
  <c r="SPM30" i="6"/>
  <c r="SPL30" i="6"/>
  <c r="SPK30" i="6"/>
  <c r="SPJ30" i="6"/>
  <c r="SPI30" i="6"/>
  <c r="SPH30" i="6"/>
  <c r="SPG30" i="6"/>
  <c r="SPF30" i="6"/>
  <c r="SPE30" i="6"/>
  <c r="SPD30" i="6"/>
  <c r="SPC30" i="6"/>
  <c r="SPB30" i="6"/>
  <c r="SPA30" i="6"/>
  <c r="SOZ30" i="6"/>
  <c r="SOY30" i="6"/>
  <c r="SOX30" i="6"/>
  <c r="SOW30" i="6"/>
  <c r="SOV30" i="6"/>
  <c r="SOU30" i="6"/>
  <c r="SOT30" i="6"/>
  <c r="SOS30" i="6"/>
  <c r="SOR30" i="6"/>
  <c r="SOQ30" i="6"/>
  <c r="SOP30" i="6"/>
  <c r="SOO30" i="6"/>
  <c r="SON30" i="6"/>
  <c r="SOM30" i="6"/>
  <c r="SOL30" i="6"/>
  <c r="SOK30" i="6"/>
  <c r="SOJ30" i="6"/>
  <c r="SOI30" i="6"/>
  <c r="SOH30" i="6"/>
  <c r="SOG30" i="6"/>
  <c r="SOF30" i="6"/>
  <c r="SOE30" i="6"/>
  <c r="SOD30" i="6"/>
  <c r="SOC30" i="6"/>
  <c r="SOB30" i="6"/>
  <c r="SOA30" i="6"/>
  <c r="SNZ30" i="6"/>
  <c r="SNY30" i="6"/>
  <c r="SNX30" i="6"/>
  <c r="SNW30" i="6"/>
  <c r="SNV30" i="6"/>
  <c r="SNU30" i="6"/>
  <c r="SNT30" i="6"/>
  <c r="SNS30" i="6"/>
  <c r="SNR30" i="6"/>
  <c r="SNQ30" i="6"/>
  <c r="SNP30" i="6"/>
  <c r="SNO30" i="6"/>
  <c r="SNN30" i="6"/>
  <c r="SNM30" i="6"/>
  <c r="SNL30" i="6"/>
  <c r="SNK30" i="6"/>
  <c r="SNJ30" i="6"/>
  <c r="SNI30" i="6"/>
  <c r="SNH30" i="6"/>
  <c r="SNG30" i="6"/>
  <c r="SNF30" i="6"/>
  <c r="SNE30" i="6"/>
  <c r="SND30" i="6"/>
  <c r="SNC30" i="6"/>
  <c r="SNB30" i="6"/>
  <c r="SNA30" i="6"/>
  <c r="SMZ30" i="6"/>
  <c r="SMY30" i="6"/>
  <c r="SMX30" i="6"/>
  <c r="SMW30" i="6"/>
  <c r="SMV30" i="6"/>
  <c r="SMU30" i="6"/>
  <c r="SMT30" i="6"/>
  <c r="SMS30" i="6"/>
  <c r="SMR30" i="6"/>
  <c r="SMQ30" i="6"/>
  <c r="SMP30" i="6"/>
  <c r="SMO30" i="6"/>
  <c r="SMN30" i="6"/>
  <c r="SMM30" i="6"/>
  <c r="SML30" i="6"/>
  <c r="SMK30" i="6"/>
  <c r="SMJ30" i="6"/>
  <c r="SMI30" i="6"/>
  <c r="SMH30" i="6"/>
  <c r="SMG30" i="6"/>
  <c r="SMF30" i="6"/>
  <c r="SME30" i="6"/>
  <c r="SMD30" i="6"/>
  <c r="SMC30" i="6"/>
  <c r="SMB30" i="6"/>
  <c r="SMA30" i="6"/>
  <c r="SLZ30" i="6"/>
  <c r="SLY30" i="6"/>
  <c r="SLX30" i="6"/>
  <c r="SLW30" i="6"/>
  <c r="SLV30" i="6"/>
  <c r="SLU30" i="6"/>
  <c r="SLT30" i="6"/>
  <c r="SLS30" i="6"/>
  <c r="SLR30" i="6"/>
  <c r="SLQ30" i="6"/>
  <c r="SLP30" i="6"/>
  <c r="SLO30" i="6"/>
  <c r="SLN30" i="6"/>
  <c r="SLM30" i="6"/>
  <c r="SLL30" i="6"/>
  <c r="SLK30" i="6"/>
  <c r="SLJ30" i="6"/>
  <c r="SLI30" i="6"/>
  <c r="SLH30" i="6"/>
  <c r="SLG30" i="6"/>
  <c r="SLF30" i="6"/>
  <c r="SLE30" i="6"/>
  <c r="SLD30" i="6"/>
  <c r="SLC30" i="6"/>
  <c r="SLB30" i="6"/>
  <c r="SLA30" i="6"/>
  <c r="SKZ30" i="6"/>
  <c r="SKY30" i="6"/>
  <c r="SKX30" i="6"/>
  <c r="SKW30" i="6"/>
  <c r="SKV30" i="6"/>
  <c r="SKU30" i="6"/>
  <c r="SKT30" i="6"/>
  <c r="SKS30" i="6"/>
  <c r="SKR30" i="6"/>
  <c r="SKQ30" i="6"/>
  <c r="SKP30" i="6"/>
  <c r="SKO30" i="6"/>
  <c r="SKN30" i="6"/>
  <c r="SKM30" i="6"/>
  <c r="SKL30" i="6"/>
  <c r="SKK30" i="6"/>
  <c r="SKJ30" i="6"/>
  <c r="SKI30" i="6"/>
  <c r="SKH30" i="6"/>
  <c r="SKG30" i="6"/>
  <c r="SKF30" i="6"/>
  <c r="SKE30" i="6"/>
  <c r="SKD30" i="6"/>
  <c r="SKC30" i="6"/>
  <c r="SKB30" i="6"/>
  <c r="SKA30" i="6"/>
  <c r="SJZ30" i="6"/>
  <c r="SJY30" i="6"/>
  <c r="SJX30" i="6"/>
  <c r="SJW30" i="6"/>
  <c r="SJV30" i="6"/>
  <c r="SJU30" i="6"/>
  <c r="SJT30" i="6"/>
  <c r="SJS30" i="6"/>
  <c r="SJR30" i="6"/>
  <c r="SJQ30" i="6"/>
  <c r="SJP30" i="6"/>
  <c r="SJO30" i="6"/>
  <c r="SJN30" i="6"/>
  <c r="SJM30" i="6"/>
  <c r="SJL30" i="6"/>
  <c r="SJK30" i="6"/>
  <c r="SJJ30" i="6"/>
  <c r="SJI30" i="6"/>
  <c r="SJH30" i="6"/>
  <c r="SJG30" i="6"/>
  <c r="SJF30" i="6"/>
  <c r="SJE30" i="6"/>
  <c r="SJD30" i="6"/>
  <c r="SJC30" i="6"/>
  <c r="SJB30" i="6"/>
  <c r="SJA30" i="6"/>
  <c r="SIZ30" i="6"/>
  <c r="SIY30" i="6"/>
  <c r="SIX30" i="6"/>
  <c r="SIW30" i="6"/>
  <c r="SIV30" i="6"/>
  <c r="SIU30" i="6"/>
  <c r="SIT30" i="6"/>
  <c r="SIS30" i="6"/>
  <c r="SIR30" i="6"/>
  <c r="SIQ30" i="6"/>
  <c r="SIP30" i="6"/>
  <c r="SIO30" i="6"/>
  <c r="SIN30" i="6"/>
  <c r="SIM30" i="6"/>
  <c r="SIL30" i="6"/>
  <c r="SIK30" i="6"/>
  <c r="SIJ30" i="6"/>
  <c r="SII30" i="6"/>
  <c r="SIH30" i="6"/>
  <c r="SIG30" i="6"/>
  <c r="SIF30" i="6"/>
  <c r="SIE30" i="6"/>
  <c r="SID30" i="6"/>
  <c r="SIC30" i="6"/>
  <c r="SIB30" i="6"/>
  <c r="SIA30" i="6"/>
  <c r="SHZ30" i="6"/>
  <c r="SHY30" i="6"/>
  <c r="SHX30" i="6"/>
  <c r="SHW30" i="6"/>
  <c r="SHV30" i="6"/>
  <c r="SHU30" i="6"/>
  <c r="SHT30" i="6"/>
  <c r="SHS30" i="6"/>
  <c r="SHR30" i="6"/>
  <c r="SHQ30" i="6"/>
  <c r="SHP30" i="6"/>
  <c r="SHO30" i="6"/>
  <c r="SHN30" i="6"/>
  <c r="SHM30" i="6"/>
  <c r="SHL30" i="6"/>
  <c r="SHK30" i="6"/>
  <c r="SHJ30" i="6"/>
  <c r="SHI30" i="6"/>
  <c r="SHH30" i="6"/>
  <c r="SHG30" i="6"/>
  <c r="SHF30" i="6"/>
  <c r="SHE30" i="6"/>
  <c r="SHD30" i="6"/>
  <c r="SHC30" i="6"/>
  <c r="SHB30" i="6"/>
  <c r="SHA30" i="6"/>
  <c r="SGZ30" i="6"/>
  <c r="SGY30" i="6"/>
  <c r="SGX30" i="6"/>
  <c r="SGW30" i="6"/>
  <c r="SGV30" i="6"/>
  <c r="SGU30" i="6"/>
  <c r="SGT30" i="6"/>
  <c r="SGS30" i="6"/>
  <c r="SGR30" i="6"/>
  <c r="SGQ30" i="6"/>
  <c r="SGP30" i="6"/>
  <c r="SGO30" i="6"/>
  <c r="SGN30" i="6"/>
  <c r="SGM30" i="6"/>
  <c r="SGL30" i="6"/>
  <c r="SGK30" i="6"/>
  <c r="SGJ30" i="6"/>
  <c r="SGI30" i="6"/>
  <c r="SGH30" i="6"/>
  <c r="SGG30" i="6"/>
  <c r="SGF30" i="6"/>
  <c r="SGE30" i="6"/>
  <c r="SGD30" i="6"/>
  <c r="SGC30" i="6"/>
  <c r="SGB30" i="6"/>
  <c r="SGA30" i="6"/>
  <c r="SFZ30" i="6"/>
  <c r="SFY30" i="6"/>
  <c r="SFX30" i="6"/>
  <c r="SFW30" i="6"/>
  <c r="SFV30" i="6"/>
  <c r="SFU30" i="6"/>
  <c r="SFT30" i="6"/>
  <c r="SFS30" i="6"/>
  <c r="SFR30" i="6"/>
  <c r="SFQ30" i="6"/>
  <c r="SFP30" i="6"/>
  <c r="SFO30" i="6"/>
  <c r="SFN30" i="6"/>
  <c r="SFM30" i="6"/>
  <c r="SFL30" i="6"/>
  <c r="SFK30" i="6"/>
  <c r="SFJ30" i="6"/>
  <c r="SFI30" i="6"/>
  <c r="SFH30" i="6"/>
  <c r="SFG30" i="6"/>
  <c r="SFF30" i="6"/>
  <c r="SFE30" i="6"/>
  <c r="SFD30" i="6"/>
  <c r="SFC30" i="6"/>
  <c r="SFB30" i="6"/>
  <c r="SFA30" i="6"/>
  <c r="SEZ30" i="6"/>
  <c r="SEY30" i="6"/>
  <c r="SEX30" i="6"/>
  <c r="SEW30" i="6"/>
  <c r="SEV30" i="6"/>
  <c r="SEU30" i="6"/>
  <c r="SET30" i="6"/>
  <c r="SES30" i="6"/>
  <c r="SER30" i="6"/>
  <c r="SEQ30" i="6"/>
  <c r="SEP30" i="6"/>
  <c r="SEO30" i="6"/>
  <c r="SEN30" i="6"/>
  <c r="SEM30" i="6"/>
  <c r="SEL30" i="6"/>
  <c r="SEK30" i="6"/>
  <c r="SEJ30" i="6"/>
  <c r="SEI30" i="6"/>
  <c r="SEH30" i="6"/>
  <c r="SEG30" i="6"/>
  <c r="SEF30" i="6"/>
  <c r="SEE30" i="6"/>
  <c r="SED30" i="6"/>
  <c r="SEC30" i="6"/>
  <c r="SEB30" i="6"/>
  <c r="SEA30" i="6"/>
  <c r="SDZ30" i="6"/>
  <c r="SDY30" i="6"/>
  <c r="SDX30" i="6"/>
  <c r="SDW30" i="6"/>
  <c r="SDV30" i="6"/>
  <c r="SDU30" i="6"/>
  <c r="SDT30" i="6"/>
  <c r="SDS30" i="6"/>
  <c r="SDR30" i="6"/>
  <c r="SDQ30" i="6"/>
  <c r="SDP30" i="6"/>
  <c r="SDO30" i="6"/>
  <c r="SDN30" i="6"/>
  <c r="SDM30" i="6"/>
  <c r="SDL30" i="6"/>
  <c r="SDK30" i="6"/>
  <c r="SDJ30" i="6"/>
  <c r="SDI30" i="6"/>
  <c r="SDH30" i="6"/>
  <c r="SDG30" i="6"/>
  <c r="SDF30" i="6"/>
  <c r="SDE30" i="6"/>
  <c r="SDD30" i="6"/>
  <c r="SDC30" i="6"/>
  <c r="SDB30" i="6"/>
  <c r="SDA30" i="6"/>
  <c r="SCZ30" i="6"/>
  <c r="SCY30" i="6"/>
  <c r="SCX30" i="6"/>
  <c r="SCW30" i="6"/>
  <c r="SCV30" i="6"/>
  <c r="SCU30" i="6"/>
  <c r="SCT30" i="6"/>
  <c r="SCS30" i="6"/>
  <c r="SCR30" i="6"/>
  <c r="SCQ30" i="6"/>
  <c r="SCP30" i="6"/>
  <c r="SCO30" i="6"/>
  <c r="SCN30" i="6"/>
  <c r="SCM30" i="6"/>
  <c r="SCL30" i="6"/>
  <c r="SCK30" i="6"/>
  <c r="SCJ30" i="6"/>
  <c r="SCI30" i="6"/>
  <c r="SCH30" i="6"/>
  <c r="SCG30" i="6"/>
  <c r="SCF30" i="6"/>
  <c r="SCE30" i="6"/>
  <c r="SCD30" i="6"/>
  <c r="SCC30" i="6"/>
  <c r="SCB30" i="6"/>
  <c r="SCA30" i="6"/>
  <c r="SBZ30" i="6"/>
  <c r="SBY30" i="6"/>
  <c r="SBX30" i="6"/>
  <c r="SBW30" i="6"/>
  <c r="SBV30" i="6"/>
  <c r="SBU30" i="6"/>
  <c r="SBT30" i="6"/>
  <c r="SBS30" i="6"/>
  <c r="SBR30" i="6"/>
  <c r="SBQ30" i="6"/>
  <c r="SBP30" i="6"/>
  <c r="SBO30" i="6"/>
  <c r="SBN30" i="6"/>
  <c r="SBM30" i="6"/>
  <c r="SBL30" i="6"/>
  <c r="SBK30" i="6"/>
  <c r="SBJ30" i="6"/>
  <c r="SBI30" i="6"/>
  <c r="SBH30" i="6"/>
  <c r="SBG30" i="6"/>
  <c r="SBF30" i="6"/>
  <c r="SBE30" i="6"/>
  <c r="SBD30" i="6"/>
  <c r="SBC30" i="6"/>
  <c r="SBB30" i="6"/>
  <c r="SBA30" i="6"/>
  <c r="SAZ30" i="6"/>
  <c r="SAY30" i="6"/>
  <c r="SAX30" i="6"/>
  <c r="SAW30" i="6"/>
  <c r="SAV30" i="6"/>
  <c r="SAU30" i="6"/>
  <c r="SAT30" i="6"/>
  <c r="SAS30" i="6"/>
  <c r="SAR30" i="6"/>
  <c r="SAQ30" i="6"/>
  <c r="SAP30" i="6"/>
  <c r="SAO30" i="6"/>
  <c r="SAN30" i="6"/>
  <c r="SAM30" i="6"/>
  <c r="SAL30" i="6"/>
  <c r="SAK30" i="6"/>
  <c r="SAJ30" i="6"/>
  <c r="SAI30" i="6"/>
  <c r="SAH30" i="6"/>
  <c r="SAG30" i="6"/>
  <c r="SAF30" i="6"/>
  <c r="SAE30" i="6"/>
  <c r="SAD30" i="6"/>
  <c r="SAC30" i="6"/>
  <c r="SAB30" i="6"/>
  <c r="SAA30" i="6"/>
  <c r="RZZ30" i="6"/>
  <c r="RZY30" i="6"/>
  <c r="RZX30" i="6"/>
  <c r="RZW30" i="6"/>
  <c r="RZV30" i="6"/>
  <c r="RZU30" i="6"/>
  <c r="RZT30" i="6"/>
  <c r="RZS30" i="6"/>
  <c r="RZR30" i="6"/>
  <c r="RZQ30" i="6"/>
  <c r="RZP30" i="6"/>
  <c r="RZO30" i="6"/>
  <c r="RZN30" i="6"/>
  <c r="RZM30" i="6"/>
  <c r="RZL30" i="6"/>
  <c r="RZK30" i="6"/>
  <c r="RZJ30" i="6"/>
  <c r="RZI30" i="6"/>
  <c r="RZH30" i="6"/>
  <c r="RZG30" i="6"/>
  <c r="RZF30" i="6"/>
  <c r="RZE30" i="6"/>
  <c r="RZD30" i="6"/>
  <c r="RZC30" i="6"/>
  <c r="RZB30" i="6"/>
  <c r="RZA30" i="6"/>
  <c r="RYZ30" i="6"/>
  <c r="RYY30" i="6"/>
  <c r="RYX30" i="6"/>
  <c r="RYW30" i="6"/>
  <c r="RYV30" i="6"/>
  <c r="RYU30" i="6"/>
  <c r="RYT30" i="6"/>
  <c r="RYS30" i="6"/>
  <c r="RYR30" i="6"/>
  <c r="RYQ30" i="6"/>
  <c r="RYP30" i="6"/>
  <c r="RYO30" i="6"/>
  <c r="RYN30" i="6"/>
  <c r="RYM30" i="6"/>
  <c r="RYL30" i="6"/>
  <c r="RYK30" i="6"/>
  <c r="RYJ30" i="6"/>
  <c r="RYI30" i="6"/>
  <c r="RYH30" i="6"/>
  <c r="RYG30" i="6"/>
  <c r="RYF30" i="6"/>
  <c r="RYE30" i="6"/>
  <c r="RYD30" i="6"/>
  <c r="RYC30" i="6"/>
  <c r="RYB30" i="6"/>
  <c r="RYA30" i="6"/>
  <c r="RXZ30" i="6"/>
  <c r="RXY30" i="6"/>
  <c r="RXX30" i="6"/>
  <c r="RXW30" i="6"/>
  <c r="RXV30" i="6"/>
  <c r="RXU30" i="6"/>
  <c r="RXT30" i="6"/>
  <c r="RXS30" i="6"/>
  <c r="RXR30" i="6"/>
  <c r="RXQ30" i="6"/>
  <c r="RXP30" i="6"/>
  <c r="RXO30" i="6"/>
  <c r="RXN30" i="6"/>
  <c r="RXM30" i="6"/>
  <c r="RXL30" i="6"/>
  <c r="RXK30" i="6"/>
  <c r="RXJ30" i="6"/>
  <c r="RXI30" i="6"/>
  <c r="RXH30" i="6"/>
  <c r="RXG30" i="6"/>
  <c r="RXF30" i="6"/>
  <c r="RXE30" i="6"/>
  <c r="RXD30" i="6"/>
  <c r="RXC30" i="6"/>
  <c r="RXB30" i="6"/>
  <c r="RXA30" i="6"/>
  <c r="RWZ30" i="6"/>
  <c r="RWY30" i="6"/>
  <c r="RWX30" i="6"/>
  <c r="RWW30" i="6"/>
  <c r="RWV30" i="6"/>
  <c r="RWU30" i="6"/>
  <c r="RWT30" i="6"/>
  <c r="RWS30" i="6"/>
  <c r="RWR30" i="6"/>
  <c r="RWQ30" i="6"/>
  <c r="RWP30" i="6"/>
  <c r="RWO30" i="6"/>
  <c r="RWN30" i="6"/>
  <c r="RWM30" i="6"/>
  <c r="RWL30" i="6"/>
  <c r="RWK30" i="6"/>
  <c r="RWJ30" i="6"/>
  <c r="RWI30" i="6"/>
  <c r="RWH30" i="6"/>
  <c r="RWG30" i="6"/>
  <c r="RWF30" i="6"/>
  <c r="RWE30" i="6"/>
  <c r="RWD30" i="6"/>
  <c r="RWC30" i="6"/>
  <c r="RWB30" i="6"/>
  <c r="RWA30" i="6"/>
  <c r="RVZ30" i="6"/>
  <c r="RVY30" i="6"/>
  <c r="RVX30" i="6"/>
  <c r="RVW30" i="6"/>
  <c r="RVV30" i="6"/>
  <c r="RVU30" i="6"/>
  <c r="RVT30" i="6"/>
  <c r="RVS30" i="6"/>
  <c r="RVR30" i="6"/>
  <c r="RVQ30" i="6"/>
  <c r="RVP30" i="6"/>
  <c r="RVO30" i="6"/>
  <c r="RVN30" i="6"/>
  <c r="RVM30" i="6"/>
  <c r="RVL30" i="6"/>
  <c r="RVK30" i="6"/>
  <c r="RVJ30" i="6"/>
  <c r="RVI30" i="6"/>
  <c r="RVH30" i="6"/>
  <c r="RVG30" i="6"/>
  <c r="RVF30" i="6"/>
  <c r="RVE30" i="6"/>
  <c r="RVD30" i="6"/>
  <c r="RVC30" i="6"/>
  <c r="RVB30" i="6"/>
  <c r="RVA30" i="6"/>
  <c r="RUZ30" i="6"/>
  <c r="RUY30" i="6"/>
  <c r="RUX30" i="6"/>
  <c r="RUW30" i="6"/>
  <c r="RUV30" i="6"/>
  <c r="RUU30" i="6"/>
  <c r="RUT30" i="6"/>
  <c r="RUS30" i="6"/>
  <c r="RUR30" i="6"/>
  <c r="RUQ30" i="6"/>
  <c r="RUP30" i="6"/>
  <c r="RUO30" i="6"/>
  <c r="RUN30" i="6"/>
  <c r="RUM30" i="6"/>
  <c r="RUL30" i="6"/>
  <c r="RUK30" i="6"/>
  <c r="RUJ30" i="6"/>
  <c r="RUI30" i="6"/>
  <c r="RUH30" i="6"/>
  <c r="RUG30" i="6"/>
  <c r="RUF30" i="6"/>
  <c r="RUE30" i="6"/>
  <c r="RUD30" i="6"/>
  <c r="RUC30" i="6"/>
  <c r="RUB30" i="6"/>
  <c r="RUA30" i="6"/>
  <c r="RTZ30" i="6"/>
  <c r="RTY30" i="6"/>
  <c r="RTX30" i="6"/>
  <c r="RTW30" i="6"/>
  <c r="RTV30" i="6"/>
  <c r="RTU30" i="6"/>
  <c r="RTT30" i="6"/>
  <c r="RTS30" i="6"/>
  <c r="RTR30" i="6"/>
  <c r="RTQ30" i="6"/>
  <c r="RTP30" i="6"/>
  <c r="RTO30" i="6"/>
  <c r="RTN30" i="6"/>
  <c r="RTM30" i="6"/>
  <c r="RTL30" i="6"/>
  <c r="RTK30" i="6"/>
  <c r="RTJ30" i="6"/>
  <c r="RTI30" i="6"/>
  <c r="RTH30" i="6"/>
  <c r="RTG30" i="6"/>
  <c r="RTF30" i="6"/>
  <c r="RTE30" i="6"/>
  <c r="RTD30" i="6"/>
  <c r="RTC30" i="6"/>
  <c r="RTB30" i="6"/>
  <c r="RTA30" i="6"/>
  <c r="RSZ30" i="6"/>
  <c r="RSY30" i="6"/>
  <c r="RSX30" i="6"/>
  <c r="RSW30" i="6"/>
  <c r="RSV30" i="6"/>
  <c r="RSU30" i="6"/>
  <c r="RST30" i="6"/>
  <c r="RSS30" i="6"/>
  <c r="RSR30" i="6"/>
  <c r="RSQ30" i="6"/>
  <c r="RSP30" i="6"/>
  <c r="RSO30" i="6"/>
  <c r="RSN30" i="6"/>
  <c r="RSM30" i="6"/>
  <c r="RSL30" i="6"/>
  <c r="RSK30" i="6"/>
  <c r="RSJ30" i="6"/>
  <c r="RSI30" i="6"/>
  <c r="RSH30" i="6"/>
  <c r="RSG30" i="6"/>
  <c r="RSF30" i="6"/>
  <c r="RSE30" i="6"/>
  <c r="RSD30" i="6"/>
  <c r="RSC30" i="6"/>
  <c r="RSB30" i="6"/>
  <c r="RSA30" i="6"/>
  <c r="RRZ30" i="6"/>
  <c r="RRY30" i="6"/>
  <c r="RRX30" i="6"/>
  <c r="RRW30" i="6"/>
  <c r="RRV30" i="6"/>
  <c r="RRU30" i="6"/>
  <c r="RRT30" i="6"/>
  <c r="RRS30" i="6"/>
  <c r="RRR30" i="6"/>
  <c r="RRQ30" i="6"/>
  <c r="RRP30" i="6"/>
  <c r="RRO30" i="6"/>
  <c r="RRN30" i="6"/>
  <c r="RRM30" i="6"/>
  <c r="RRL30" i="6"/>
  <c r="RRK30" i="6"/>
  <c r="RRJ30" i="6"/>
  <c r="RRI30" i="6"/>
  <c r="RRH30" i="6"/>
  <c r="RRG30" i="6"/>
  <c r="RRF30" i="6"/>
  <c r="RRE30" i="6"/>
  <c r="RRD30" i="6"/>
  <c r="RRC30" i="6"/>
  <c r="RRB30" i="6"/>
  <c r="RRA30" i="6"/>
  <c r="RQZ30" i="6"/>
  <c r="RQY30" i="6"/>
  <c r="RQX30" i="6"/>
  <c r="RQW30" i="6"/>
  <c r="RQV30" i="6"/>
  <c r="RQU30" i="6"/>
  <c r="RQT30" i="6"/>
  <c r="RQS30" i="6"/>
  <c r="RQR30" i="6"/>
  <c r="RQQ30" i="6"/>
  <c r="RQP30" i="6"/>
  <c r="RQO30" i="6"/>
  <c r="RQN30" i="6"/>
  <c r="RQM30" i="6"/>
  <c r="RQL30" i="6"/>
  <c r="RQK30" i="6"/>
  <c r="RQJ30" i="6"/>
  <c r="RQI30" i="6"/>
  <c r="RQH30" i="6"/>
  <c r="RQG30" i="6"/>
  <c r="RQF30" i="6"/>
  <c r="RQE30" i="6"/>
  <c r="RQD30" i="6"/>
  <c r="RQC30" i="6"/>
  <c r="RQB30" i="6"/>
  <c r="RQA30" i="6"/>
  <c r="RPZ30" i="6"/>
  <c r="RPY30" i="6"/>
  <c r="RPX30" i="6"/>
  <c r="RPW30" i="6"/>
  <c r="RPV30" i="6"/>
  <c r="RPU30" i="6"/>
  <c r="RPT30" i="6"/>
  <c r="RPS30" i="6"/>
  <c r="RPR30" i="6"/>
  <c r="RPQ30" i="6"/>
  <c r="RPP30" i="6"/>
  <c r="RPO30" i="6"/>
  <c r="RPN30" i="6"/>
  <c r="RPM30" i="6"/>
  <c r="RPL30" i="6"/>
  <c r="RPK30" i="6"/>
  <c r="RPJ30" i="6"/>
  <c r="RPI30" i="6"/>
  <c r="RPH30" i="6"/>
  <c r="RPG30" i="6"/>
  <c r="RPF30" i="6"/>
  <c r="RPE30" i="6"/>
  <c r="RPD30" i="6"/>
  <c r="RPC30" i="6"/>
  <c r="RPB30" i="6"/>
  <c r="RPA30" i="6"/>
  <c r="ROZ30" i="6"/>
  <c r="ROY30" i="6"/>
  <c r="ROX30" i="6"/>
  <c r="ROW30" i="6"/>
  <c r="ROV30" i="6"/>
  <c r="ROU30" i="6"/>
  <c r="ROT30" i="6"/>
  <c r="ROS30" i="6"/>
  <c r="ROR30" i="6"/>
  <c r="ROQ30" i="6"/>
  <c r="ROP30" i="6"/>
  <c r="ROO30" i="6"/>
  <c r="RON30" i="6"/>
  <c r="ROM30" i="6"/>
  <c r="ROL30" i="6"/>
  <c r="ROK30" i="6"/>
  <c r="ROJ30" i="6"/>
  <c r="ROI30" i="6"/>
  <c r="ROH30" i="6"/>
  <c r="ROG30" i="6"/>
  <c r="ROF30" i="6"/>
  <c r="ROE30" i="6"/>
  <c r="ROD30" i="6"/>
  <c r="ROC30" i="6"/>
  <c r="ROB30" i="6"/>
  <c r="ROA30" i="6"/>
  <c r="RNZ30" i="6"/>
  <c r="RNY30" i="6"/>
  <c r="RNX30" i="6"/>
  <c r="RNW30" i="6"/>
  <c r="RNV30" i="6"/>
  <c r="RNU30" i="6"/>
  <c r="RNT30" i="6"/>
  <c r="RNS30" i="6"/>
  <c r="RNR30" i="6"/>
  <c r="RNQ30" i="6"/>
  <c r="RNP30" i="6"/>
  <c r="RNO30" i="6"/>
  <c r="RNN30" i="6"/>
  <c r="RNM30" i="6"/>
  <c r="RNL30" i="6"/>
  <c r="RNK30" i="6"/>
  <c r="RNJ30" i="6"/>
  <c r="RNI30" i="6"/>
  <c r="RNH30" i="6"/>
  <c r="RNG30" i="6"/>
  <c r="RNF30" i="6"/>
  <c r="RNE30" i="6"/>
  <c r="RND30" i="6"/>
  <c r="RNC30" i="6"/>
  <c r="RNB30" i="6"/>
  <c r="RNA30" i="6"/>
  <c r="RMZ30" i="6"/>
  <c r="RMY30" i="6"/>
  <c r="RMX30" i="6"/>
  <c r="RMW30" i="6"/>
  <c r="RMV30" i="6"/>
  <c r="RMU30" i="6"/>
  <c r="RMT30" i="6"/>
  <c r="RMS30" i="6"/>
  <c r="RMR30" i="6"/>
  <c r="RMQ30" i="6"/>
  <c r="RMP30" i="6"/>
  <c r="RMO30" i="6"/>
  <c r="RMN30" i="6"/>
  <c r="RMM30" i="6"/>
  <c r="RML30" i="6"/>
  <c r="RMK30" i="6"/>
  <c r="RMJ30" i="6"/>
  <c r="RMI30" i="6"/>
  <c r="RMH30" i="6"/>
  <c r="RMG30" i="6"/>
  <c r="RMF30" i="6"/>
  <c r="RME30" i="6"/>
  <c r="RMD30" i="6"/>
  <c r="RMC30" i="6"/>
  <c r="RMB30" i="6"/>
  <c r="RMA30" i="6"/>
  <c r="RLZ30" i="6"/>
  <c r="RLY30" i="6"/>
  <c r="RLX30" i="6"/>
  <c r="RLW30" i="6"/>
  <c r="RLV30" i="6"/>
  <c r="RLU30" i="6"/>
  <c r="RLT30" i="6"/>
  <c r="RLS30" i="6"/>
  <c r="RLR30" i="6"/>
  <c r="RLQ30" i="6"/>
  <c r="RLP30" i="6"/>
  <c r="RLO30" i="6"/>
  <c r="RLN30" i="6"/>
  <c r="RLM30" i="6"/>
  <c r="RLL30" i="6"/>
  <c r="RLK30" i="6"/>
  <c r="RLJ30" i="6"/>
  <c r="RLI30" i="6"/>
  <c r="RLH30" i="6"/>
  <c r="RLG30" i="6"/>
  <c r="RLF30" i="6"/>
  <c r="RLE30" i="6"/>
  <c r="RLD30" i="6"/>
  <c r="RLC30" i="6"/>
  <c r="RLB30" i="6"/>
  <c r="RLA30" i="6"/>
  <c r="RKZ30" i="6"/>
  <c r="RKY30" i="6"/>
  <c r="RKX30" i="6"/>
  <c r="RKW30" i="6"/>
  <c r="RKV30" i="6"/>
  <c r="RKU30" i="6"/>
  <c r="RKT30" i="6"/>
  <c r="RKS30" i="6"/>
  <c r="RKR30" i="6"/>
  <c r="RKQ30" i="6"/>
  <c r="RKP30" i="6"/>
  <c r="RKO30" i="6"/>
  <c r="RKN30" i="6"/>
  <c r="RKM30" i="6"/>
  <c r="RKL30" i="6"/>
  <c r="RKK30" i="6"/>
  <c r="RKJ30" i="6"/>
  <c r="RKI30" i="6"/>
  <c r="RKH30" i="6"/>
  <c r="RKG30" i="6"/>
  <c r="RKF30" i="6"/>
  <c r="RKE30" i="6"/>
  <c r="RKD30" i="6"/>
  <c r="RKC30" i="6"/>
  <c r="RKB30" i="6"/>
  <c r="RKA30" i="6"/>
  <c r="RJZ30" i="6"/>
  <c r="RJY30" i="6"/>
  <c r="RJX30" i="6"/>
  <c r="RJW30" i="6"/>
  <c r="RJV30" i="6"/>
  <c r="RJU30" i="6"/>
  <c r="RJT30" i="6"/>
  <c r="RJS30" i="6"/>
  <c r="RJR30" i="6"/>
  <c r="RJQ30" i="6"/>
  <c r="RJP30" i="6"/>
  <c r="RJO30" i="6"/>
  <c r="RJN30" i="6"/>
  <c r="RJM30" i="6"/>
  <c r="RJL30" i="6"/>
  <c r="RJK30" i="6"/>
  <c r="RJJ30" i="6"/>
  <c r="RJI30" i="6"/>
  <c r="RJH30" i="6"/>
  <c r="RJG30" i="6"/>
  <c r="RJF30" i="6"/>
  <c r="RJE30" i="6"/>
  <c r="RJD30" i="6"/>
  <c r="RJC30" i="6"/>
  <c r="RJB30" i="6"/>
  <c r="RJA30" i="6"/>
  <c r="RIZ30" i="6"/>
  <c r="RIY30" i="6"/>
  <c r="RIX30" i="6"/>
  <c r="RIW30" i="6"/>
  <c r="RIV30" i="6"/>
  <c r="RIU30" i="6"/>
  <c r="RIT30" i="6"/>
  <c r="RIS30" i="6"/>
  <c r="RIR30" i="6"/>
  <c r="RIQ30" i="6"/>
  <c r="RIP30" i="6"/>
  <c r="RIO30" i="6"/>
  <c r="RIN30" i="6"/>
  <c r="RIM30" i="6"/>
  <c r="RIL30" i="6"/>
  <c r="RIK30" i="6"/>
  <c r="RIJ30" i="6"/>
  <c r="RII30" i="6"/>
  <c r="RIH30" i="6"/>
  <c r="RIG30" i="6"/>
  <c r="RIF30" i="6"/>
  <c r="RIE30" i="6"/>
  <c r="RID30" i="6"/>
  <c r="RIC30" i="6"/>
  <c r="RIB30" i="6"/>
  <c r="RIA30" i="6"/>
  <c r="RHZ30" i="6"/>
  <c r="RHY30" i="6"/>
  <c r="RHX30" i="6"/>
  <c r="RHW30" i="6"/>
  <c r="RHV30" i="6"/>
  <c r="RHU30" i="6"/>
  <c r="RHT30" i="6"/>
  <c r="RHS30" i="6"/>
  <c r="RHR30" i="6"/>
  <c r="RHQ30" i="6"/>
  <c r="RHP30" i="6"/>
  <c r="RHO30" i="6"/>
  <c r="RHN30" i="6"/>
  <c r="RHM30" i="6"/>
  <c r="RHL30" i="6"/>
  <c r="RHK30" i="6"/>
  <c r="RHJ30" i="6"/>
  <c r="RHI30" i="6"/>
  <c r="RHH30" i="6"/>
  <c r="RHG30" i="6"/>
  <c r="RHF30" i="6"/>
  <c r="RHE30" i="6"/>
  <c r="RHD30" i="6"/>
  <c r="RHC30" i="6"/>
  <c r="RHB30" i="6"/>
  <c r="RHA30" i="6"/>
  <c r="RGZ30" i="6"/>
  <c r="RGY30" i="6"/>
  <c r="RGX30" i="6"/>
  <c r="RGW30" i="6"/>
  <c r="RGV30" i="6"/>
  <c r="RGU30" i="6"/>
  <c r="RGT30" i="6"/>
  <c r="RGS30" i="6"/>
  <c r="RGR30" i="6"/>
  <c r="RGQ30" i="6"/>
  <c r="RGP30" i="6"/>
  <c r="RGO30" i="6"/>
  <c r="RGN30" i="6"/>
  <c r="RGM30" i="6"/>
  <c r="RGL30" i="6"/>
  <c r="RGK30" i="6"/>
  <c r="RGJ30" i="6"/>
  <c r="RGI30" i="6"/>
  <c r="RGH30" i="6"/>
  <c r="RGG30" i="6"/>
  <c r="RGF30" i="6"/>
  <c r="RGE30" i="6"/>
  <c r="RGD30" i="6"/>
  <c r="RGC30" i="6"/>
  <c r="RGB30" i="6"/>
  <c r="RGA30" i="6"/>
  <c r="RFZ30" i="6"/>
  <c r="RFY30" i="6"/>
  <c r="RFX30" i="6"/>
  <c r="RFW30" i="6"/>
  <c r="RFV30" i="6"/>
  <c r="RFU30" i="6"/>
  <c r="RFT30" i="6"/>
  <c r="RFS30" i="6"/>
  <c r="RFR30" i="6"/>
  <c r="RFQ30" i="6"/>
  <c r="RFP30" i="6"/>
  <c r="RFO30" i="6"/>
  <c r="RFN30" i="6"/>
  <c r="RFM30" i="6"/>
  <c r="RFL30" i="6"/>
  <c r="RFK30" i="6"/>
  <c r="RFJ30" i="6"/>
  <c r="RFI30" i="6"/>
  <c r="RFH30" i="6"/>
  <c r="RFG30" i="6"/>
  <c r="RFF30" i="6"/>
  <c r="RFE30" i="6"/>
  <c r="RFD30" i="6"/>
  <c r="RFC30" i="6"/>
  <c r="RFB30" i="6"/>
  <c r="RFA30" i="6"/>
  <c r="REZ30" i="6"/>
  <c r="REY30" i="6"/>
  <c r="REX30" i="6"/>
  <c r="REW30" i="6"/>
  <c r="REV30" i="6"/>
  <c r="REU30" i="6"/>
  <c r="RET30" i="6"/>
  <c r="RES30" i="6"/>
  <c r="RER30" i="6"/>
  <c r="REQ30" i="6"/>
  <c r="REP30" i="6"/>
  <c r="REO30" i="6"/>
  <c r="REN30" i="6"/>
  <c r="REM30" i="6"/>
  <c r="REL30" i="6"/>
  <c r="REK30" i="6"/>
  <c r="REJ30" i="6"/>
  <c r="REI30" i="6"/>
  <c r="REH30" i="6"/>
  <c r="REG30" i="6"/>
  <c r="REF30" i="6"/>
  <c r="REE30" i="6"/>
  <c r="RED30" i="6"/>
  <c r="REC30" i="6"/>
  <c r="REB30" i="6"/>
  <c r="REA30" i="6"/>
  <c r="RDZ30" i="6"/>
  <c r="RDY30" i="6"/>
  <c r="RDX30" i="6"/>
  <c r="RDW30" i="6"/>
  <c r="RDV30" i="6"/>
  <c r="RDU30" i="6"/>
  <c r="RDT30" i="6"/>
  <c r="RDS30" i="6"/>
  <c r="RDR30" i="6"/>
  <c r="RDQ30" i="6"/>
  <c r="RDP30" i="6"/>
  <c r="RDO30" i="6"/>
  <c r="RDN30" i="6"/>
  <c r="RDM30" i="6"/>
  <c r="RDL30" i="6"/>
  <c r="RDK30" i="6"/>
  <c r="RDJ30" i="6"/>
  <c r="RDI30" i="6"/>
  <c r="RDH30" i="6"/>
  <c r="RDG30" i="6"/>
  <c r="RDF30" i="6"/>
  <c r="RDE30" i="6"/>
  <c r="RDD30" i="6"/>
  <c r="RDC30" i="6"/>
  <c r="RDB30" i="6"/>
  <c r="RDA30" i="6"/>
  <c r="RCZ30" i="6"/>
  <c r="RCY30" i="6"/>
  <c r="RCX30" i="6"/>
  <c r="RCW30" i="6"/>
  <c r="RCV30" i="6"/>
  <c r="RCU30" i="6"/>
  <c r="RCT30" i="6"/>
  <c r="RCS30" i="6"/>
  <c r="RCR30" i="6"/>
  <c r="RCQ30" i="6"/>
  <c r="RCP30" i="6"/>
  <c r="RCO30" i="6"/>
  <c r="RCN30" i="6"/>
  <c r="RCM30" i="6"/>
  <c r="RCL30" i="6"/>
  <c r="RCK30" i="6"/>
  <c r="RCJ30" i="6"/>
  <c r="RCI30" i="6"/>
  <c r="RCH30" i="6"/>
  <c r="RCG30" i="6"/>
  <c r="RCF30" i="6"/>
  <c r="RCE30" i="6"/>
  <c r="RCD30" i="6"/>
  <c r="RCC30" i="6"/>
  <c r="RCB30" i="6"/>
  <c r="RCA30" i="6"/>
  <c r="RBZ30" i="6"/>
  <c r="RBY30" i="6"/>
  <c r="RBX30" i="6"/>
  <c r="RBW30" i="6"/>
  <c r="RBV30" i="6"/>
  <c r="RBU30" i="6"/>
  <c r="RBT30" i="6"/>
  <c r="RBS30" i="6"/>
  <c r="RBR30" i="6"/>
  <c r="RBQ30" i="6"/>
  <c r="RBP30" i="6"/>
  <c r="RBO30" i="6"/>
  <c r="RBN30" i="6"/>
  <c r="RBM30" i="6"/>
  <c r="RBL30" i="6"/>
  <c r="RBK30" i="6"/>
  <c r="RBJ30" i="6"/>
  <c r="RBI30" i="6"/>
  <c r="RBH30" i="6"/>
  <c r="RBG30" i="6"/>
  <c r="RBF30" i="6"/>
  <c r="RBE30" i="6"/>
  <c r="RBD30" i="6"/>
  <c r="RBC30" i="6"/>
  <c r="RBB30" i="6"/>
  <c r="RBA30" i="6"/>
  <c r="RAZ30" i="6"/>
  <c r="RAY30" i="6"/>
  <c r="RAX30" i="6"/>
  <c r="RAW30" i="6"/>
  <c r="RAV30" i="6"/>
  <c r="RAU30" i="6"/>
  <c r="RAT30" i="6"/>
  <c r="RAS30" i="6"/>
  <c r="RAR30" i="6"/>
  <c r="RAQ30" i="6"/>
  <c r="RAP30" i="6"/>
  <c r="RAO30" i="6"/>
  <c r="RAN30" i="6"/>
  <c r="RAM30" i="6"/>
  <c r="RAL30" i="6"/>
  <c r="RAK30" i="6"/>
  <c r="RAJ30" i="6"/>
  <c r="RAI30" i="6"/>
  <c r="RAH30" i="6"/>
  <c r="RAG30" i="6"/>
  <c r="RAF30" i="6"/>
  <c r="RAE30" i="6"/>
  <c r="RAD30" i="6"/>
  <c r="RAC30" i="6"/>
  <c r="RAB30" i="6"/>
  <c r="RAA30" i="6"/>
  <c r="QZZ30" i="6"/>
  <c r="QZY30" i="6"/>
  <c r="QZX30" i="6"/>
  <c r="QZW30" i="6"/>
  <c r="QZV30" i="6"/>
  <c r="QZU30" i="6"/>
  <c r="QZT30" i="6"/>
  <c r="QZS30" i="6"/>
  <c r="QZR30" i="6"/>
  <c r="QZQ30" i="6"/>
  <c r="QZP30" i="6"/>
  <c r="QZO30" i="6"/>
  <c r="QZN30" i="6"/>
  <c r="QZM30" i="6"/>
  <c r="QZL30" i="6"/>
  <c r="QZK30" i="6"/>
  <c r="QZJ30" i="6"/>
  <c r="QZI30" i="6"/>
  <c r="QZH30" i="6"/>
  <c r="QZG30" i="6"/>
  <c r="QZF30" i="6"/>
  <c r="QZE30" i="6"/>
  <c r="QZD30" i="6"/>
  <c r="QZC30" i="6"/>
  <c r="QZB30" i="6"/>
  <c r="QZA30" i="6"/>
  <c r="QYZ30" i="6"/>
  <c r="QYY30" i="6"/>
  <c r="QYX30" i="6"/>
  <c r="QYW30" i="6"/>
  <c r="QYV30" i="6"/>
  <c r="QYU30" i="6"/>
  <c r="QYT30" i="6"/>
  <c r="QYS30" i="6"/>
  <c r="QYR30" i="6"/>
  <c r="QYQ30" i="6"/>
  <c r="QYP30" i="6"/>
  <c r="QYO30" i="6"/>
  <c r="QYN30" i="6"/>
  <c r="QYM30" i="6"/>
  <c r="QYL30" i="6"/>
  <c r="QYK30" i="6"/>
  <c r="QYJ30" i="6"/>
  <c r="QYI30" i="6"/>
  <c r="QYH30" i="6"/>
  <c r="QYG30" i="6"/>
  <c r="QYF30" i="6"/>
  <c r="QYE30" i="6"/>
  <c r="QYD30" i="6"/>
  <c r="QYC30" i="6"/>
  <c r="QYB30" i="6"/>
  <c r="QYA30" i="6"/>
  <c r="QXZ30" i="6"/>
  <c r="QXY30" i="6"/>
  <c r="QXX30" i="6"/>
  <c r="QXW30" i="6"/>
  <c r="QXV30" i="6"/>
  <c r="QXU30" i="6"/>
  <c r="QXT30" i="6"/>
  <c r="QXS30" i="6"/>
  <c r="QXR30" i="6"/>
  <c r="QXQ30" i="6"/>
  <c r="QXP30" i="6"/>
  <c r="QXO30" i="6"/>
  <c r="QXN30" i="6"/>
  <c r="QXM30" i="6"/>
  <c r="QXL30" i="6"/>
  <c r="QXK30" i="6"/>
  <c r="QXJ30" i="6"/>
  <c r="QXI30" i="6"/>
  <c r="QXH30" i="6"/>
  <c r="QXG30" i="6"/>
  <c r="QXF30" i="6"/>
  <c r="QXE30" i="6"/>
  <c r="QXD30" i="6"/>
  <c r="QXC30" i="6"/>
  <c r="QXB30" i="6"/>
  <c r="QXA30" i="6"/>
  <c r="QWZ30" i="6"/>
  <c r="QWY30" i="6"/>
  <c r="QWX30" i="6"/>
  <c r="QWW30" i="6"/>
  <c r="QWV30" i="6"/>
  <c r="QWU30" i="6"/>
  <c r="QWT30" i="6"/>
  <c r="QWS30" i="6"/>
  <c r="QWR30" i="6"/>
  <c r="QWQ30" i="6"/>
  <c r="QWP30" i="6"/>
  <c r="QWO30" i="6"/>
  <c r="QWN30" i="6"/>
  <c r="QWM30" i="6"/>
  <c r="QWL30" i="6"/>
  <c r="QWK30" i="6"/>
  <c r="QWJ30" i="6"/>
  <c r="QWI30" i="6"/>
  <c r="QWH30" i="6"/>
  <c r="QWG30" i="6"/>
  <c r="QWF30" i="6"/>
  <c r="QWE30" i="6"/>
  <c r="QWD30" i="6"/>
  <c r="QWC30" i="6"/>
  <c r="QWB30" i="6"/>
  <c r="QWA30" i="6"/>
  <c r="QVZ30" i="6"/>
  <c r="QVY30" i="6"/>
  <c r="QVX30" i="6"/>
  <c r="QVW30" i="6"/>
  <c r="QVV30" i="6"/>
  <c r="QVU30" i="6"/>
  <c r="QVT30" i="6"/>
  <c r="QVS30" i="6"/>
  <c r="QVR30" i="6"/>
  <c r="QVQ30" i="6"/>
  <c r="QVP30" i="6"/>
  <c r="QVO30" i="6"/>
  <c r="QVN30" i="6"/>
  <c r="QVM30" i="6"/>
  <c r="QVL30" i="6"/>
  <c r="QVK30" i="6"/>
  <c r="QVJ30" i="6"/>
  <c r="QVI30" i="6"/>
  <c r="QVH30" i="6"/>
  <c r="QVG30" i="6"/>
  <c r="QVF30" i="6"/>
  <c r="QVE30" i="6"/>
  <c r="QVD30" i="6"/>
  <c r="QVC30" i="6"/>
  <c r="QVB30" i="6"/>
  <c r="QVA30" i="6"/>
  <c r="QUZ30" i="6"/>
  <c r="QUY30" i="6"/>
  <c r="QUX30" i="6"/>
  <c r="QUW30" i="6"/>
  <c r="QUV30" i="6"/>
  <c r="QUU30" i="6"/>
  <c r="QUT30" i="6"/>
  <c r="QUS30" i="6"/>
  <c r="QUR30" i="6"/>
  <c r="QUQ30" i="6"/>
  <c r="QUP30" i="6"/>
  <c r="QUO30" i="6"/>
  <c r="QUN30" i="6"/>
  <c r="QUM30" i="6"/>
  <c r="QUL30" i="6"/>
  <c r="QUK30" i="6"/>
  <c r="QUJ30" i="6"/>
  <c r="QUI30" i="6"/>
  <c r="QUH30" i="6"/>
  <c r="QUG30" i="6"/>
  <c r="QUF30" i="6"/>
  <c r="QUE30" i="6"/>
  <c r="QUD30" i="6"/>
  <c r="QUC30" i="6"/>
  <c r="QUB30" i="6"/>
  <c r="QUA30" i="6"/>
  <c r="QTZ30" i="6"/>
  <c r="QTY30" i="6"/>
  <c r="QTX30" i="6"/>
  <c r="QTW30" i="6"/>
  <c r="QTV30" i="6"/>
  <c r="QTU30" i="6"/>
  <c r="QTT30" i="6"/>
  <c r="QTS30" i="6"/>
  <c r="QTR30" i="6"/>
  <c r="QTQ30" i="6"/>
  <c r="QTP30" i="6"/>
  <c r="QTO30" i="6"/>
  <c r="QTN30" i="6"/>
  <c r="QTM30" i="6"/>
  <c r="QTL30" i="6"/>
  <c r="QTK30" i="6"/>
  <c r="QTJ30" i="6"/>
  <c r="QTI30" i="6"/>
  <c r="QTH30" i="6"/>
  <c r="QTG30" i="6"/>
  <c r="QTF30" i="6"/>
  <c r="QTE30" i="6"/>
  <c r="QTD30" i="6"/>
  <c r="QTC30" i="6"/>
  <c r="QTB30" i="6"/>
  <c r="QTA30" i="6"/>
  <c r="QSZ30" i="6"/>
  <c r="QSY30" i="6"/>
  <c r="QSX30" i="6"/>
  <c r="QSW30" i="6"/>
  <c r="QSV30" i="6"/>
  <c r="QSU30" i="6"/>
  <c r="QST30" i="6"/>
  <c r="QSS30" i="6"/>
  <c r="QSR30" i="6"/>
  <c r="QSQ30" i="6"/>
  <c r="QSP30" i="6"/>
  <c r="QSO30" i="6"/>
  <c r="QSN30" i="6"/>
  <c r="QSM30" i="6"/>
  <c r="QSL30" i="6"/>
  <c r="QSK30" i="6"/>
  <c r="QSJ30" i="6"/>
  <c r="QSI30" i="6"/>
  <c r="QSH30" i="6"/>
  <c r="QSG30" i="6"/>
  <c r="QSF30" i="6"/>
  <c r="QSE30" i="6"/>
  <c r="QSD30" i="6"/>
  <c r="QSC30" i="6"/>
  <c r="QSB30" i="6"/>
  <c r="QSA30" i="6"/>
  <c r="QRZ30" i="6"/>
  <c r="QRY30" i="6"/>
  <c r="QRX30" i="6"/>
  <c r="QRW30" i="6"/>
  <c r="QRV30" i="6"/>
  <c r="QRU30" i="6"/>
  <c r="QRT30" i="6"/>
  <c r="QRS30" i="6"/>
  <c r="QRR30" i="6"/>
  <c r="QRQ30" i="6"/>
  <c r="QRP30" i="6"/>
  <c r="QRO30" i="6"/>
  <c r="QRN30" i="6"/>
  <c r="QRM30" i="6"/>
  <c r="QRL30" i="6"/>
  <c r="QRK30" i="6"/>
  <c r="QRJ30" i="6"/>
  <c r="QRI30" i="6"/>
  <c r="QRH30" i="6"/>
  <c r="QRG30" i="6"/>
  <c r="QRF30" i="6"/>
  <c r="QRE30" i="6"/>
  <c r="QRD30" i="6"/>
  <c r="QRC30" i="6"/>
  <c r="QRB30" i="6"/>
  <c r="QRA30" i="6"/>
  <c r="QQZ30" i="6"/>
  <c r="QQY30" i="6"/>
  <c r="QQX30" i="6"/>
  <c r="QQW30" i="6"/>
  <c r="QQV30" i="6"/>
  <c r="QQU30" i="6"/>
  <c r="QQT30" i="6"/>
  <c r="QQS30" i="6"/>
  <c r="QQR30" i="6"/>
  <c r="QQQ30" i="6"/>
  <c r="QQP30" i="6"/>
  <c r="QQO30" i="6"/>
  <c r="QQN30" i="6"/>
  <c r="QQM30" i="6"/>
  <c r="QQL30" i="6"/>
  <c r="QQK30" i="6"/>
  <c r="QQJ30" i="6"/>
  <c r="QQI30" i="6"/>
  <c r="QQH30" i="6"/>
  <c r="QQG30" i="6"/>
  <c r="QQF30" i="6"/>
  <c r="QQE30" i="6"/>
  <c r="QQD30" i="6"/>
  <c r="QQC30" i="6"/>
  <c r="QQB30" i="6"/>
  <c r="QQA30" i="6"/>
  <c r="QPZ30" i="6"/>
  <c r="QPY30" i="6"/>
  <c r="QPX30" i="6"/>
  <c r="QPW30" i="6"/>
  <c r="QPV30" i="6"/>
  <c r="QPU30" i="6"/>
  <c r="QPT30" i="6"/>
  <c r="QPS30" i="6"/>
  <c r="QPR30" i="6"/>
  <c r="QPQ30" i="6"/>
  <c r="QPP30" i="6"/>
  <c r="QPO30" i="6"/>
  <c r="QPN30" i="6"/>
  <c r="QPM30" i="6"/>
  <c r="QPL30" i="6"/>
  <c r="QPK30" i="6"/>
  <c r="QPJ30" i="6"/>
  <c r="QPI30" i="6"/>
  <c r="QPH30" i="6"/>
  <c r="QPG30" i="6"/>
  <c r="QPF30" i="6"/>
  <c r="QPE30" i="6"/>
  <c r="QPD30" i="6"/>
  <c r="QPC30" i="6"/>
  <c r="QPB30" i="6"/>
  <c r="QPA30" i="6"/>
  <c r="QOZ30" i="6"/>
  <c r="QOY30" i="6"/>
  <c r="QOX30" i="6"/>
  <c r="QOW30" i="6"/>
  <c r="QOV30" i="6"/>
  <c r="QOU30" i="6"/>
  <c r="QOT30" i="6"/>
  <c r="QOS30" i="6"/>
  <c r="QOR30" i="6"/>
  <c r="QOQ30" i="6"/>
  <c r="QOP30" i="6"/>
  <c r="QOO30" i="6"/>
  <c r="QON30" i="6"/>
  <c r="QOM30" i="6"/>
  <c r="QOL30" i="6"/>
  <c r="QOK30" i="6"/>
  <c r="QOJ30" i="6"/>
  <c r="QOI30" i="6"/>
  <c r="QOH30" i="6"/>
  <c r="QOG30" i="6"/>
  <c r="QOF30" i="6"/>
  <c r="QOE30" i="6"/>
  <c r="QOD30" i="6"/>
  <c r="QOC30" i="6"/>
  <c r="QOB30" i="6"/>
  <c r="QOA30" i="6"/>
  <c r="QNZ30" i="6"/>
  <c r="QNY30" i="6"/>
  <c r="QNX30" i="6"/>
  <c r="QNW30" i="6"/>
  <c r="QNV30" i="6"/>
  <c r="QNU30" i="6"/>
  <c r="QNT30" i="6"/>
  <c r="QNS30" i="6"/>
  <c r="QNR30" i="6"/>
  <c r="QNQ30" i="6"/>
  <c r="QNP30" i="6"/>
  <c r="QNO30" i="6"/>
  <c r="QNN30" i="6"/>
  <c r="QNM30" i="6"/>
  <c r="QNL30" i="6"/>
  <c r="QNK30" i="6"/>
  <c r="QNJ30" i="6"/>
  <c r="QNI30" i="6"/>
  <c r="QNH30" i="6"/>
  <c r="QNG30" i="6"/>
  <c r="QNF30" i="6"/>
  <c r="QNE30" i="6"/>
  <c r="QND30" i="6"/>
  <c r="QNC30" i="6"/>
  <c r="QNB30" i="6"/>
  <c r="QNA30" i="6"/>
  <c r="QMZ30" i="6"/>
  <c r="QMY30" i="6"/>
  <c r="QMX30" i="6"/>
  <c r="QMW30" i="6"/>
  <c r="QMV30" i="6"/>
  <c r="QMU30" i="6"/>
  <c r="QMT30" i="6"/>
  <c r="QMS30" i="6"/>
  <c r="QMR30" i="6"/>
  <c r="QMQ30" i="6"/>
  <c r="QMP30" i="6"/>
  <c r="QMO30" i="6"/>
  <c r="QMN30" i="6"/>
  <c r="QMM30" i="6"/>
  <c r="QML30" i="6"/>
  <c r="QMK30" i="6"/>
  <c r="QMJ30" i="6"/>
  <c r="QMI30" i="6"/>
  <c r="QMH30" i="6"/>
  <c r="QMG30" i="6"/>
  <c r="QMF30" i="6"/>
  <c r="QME30" i="6"/>
  <c r="QMD30" i="6"/>
  <c r="QMC30" i="6"/>
  <c r="QMB30" i="6"/>
  <c r="QMA30" i="6"/>
  <c r="QLZ30" i="6"/>
  <c r="QLY30" i="6"/>
  <c r="QLX30" i="6"/>
  <c r="QLW30" i="6"/>
  <c r="QLV30" i="6"/>
  <c r="QLU30" i="6"/>
  <c r="QLT30" i="6"/>
  <c r="QLS30" i="6"/>
  <c r="QLR30" i="6"/>
  <c r="QLQ30" i="6"/>
  <c r="QLP30" i="6"/>
  <c r="QLO30" i="6"/>
  <c r="QLN30" i="6"/>
  <c r="QLM30" i="6"/>
  <c r="QLL30" i="6"/>
  <c r="QLK30" i="6"/>
  <c r="QLJ30" i="6"/>
  <c r="QLI30" i="6"/>
  <c r="QLH30" i="6"/>
  <c r="QLG30" i="6"/>
  <c r="QLF30" i="6"/>
  <c r="QLE30" i="6"/>
  <c r="QLD30" i="6"/>
  <c r="QLC30" i="6"/>
  <c r="QLB30" i="6"/>
  <c r="QLA30" i="6"/>
  <c r="QKZ30" i="6"/>
  <c r="QKY30" i="6"/>
  <c r="QKX30" i="6"/>
  <c r="QKW30" i="6"/>
  <c r="QKV30" i="6"/>
  <c r="QKU30" i="6"/>
  <c r="QKT30" i="6"/>
  <c r="QKS30" i="6"/>
  <c r="QKR30" i="6"/>
  <c r="QKQ30" i="6"/>
  <c r="QKP30" i="6"/>
  <c r="QKO30" i="6"/>
  <c r="QKN30" i="6"/>
  <c r="QKM30" i="6"/>
  <c r="QKL30" i="6"/>
  <c r="QKK30" i="6"/>
  <c r="QKJ30" i="6"/>
  <c r="QKI30" i="6"/>
  <c r="QKH30" i="6"/>
  <c r="QKG30" i="6"/>
  <c r="QKF30" i="6"/>
  <c r="QKE30" i="6"/>
  <c r="QKD30" i="6"/>
  <c r="QKC30" i="6"/>
  <c r="QKB30" i="6"/>
  <c r="QKA30" i="6"/>
  <c r="QJZ30" i="6"/>
  <c r="QJY30" i="6"/>
  <c r="QJX30" i="6"/>
  <c r="QJW30" i="6"/>
  <c r="QJV30" i="6"/>
  <c r="QJU30" i="6"/>
  <c r="QJT30" i="6"/>
  <c r="QJS30" i="6"/>
  <c r="QJR30" i="6"/>
  <c r="QJQ30" i="6"/>
  <c r="QJP30" i="6"/>
  <c r="QJO30" i="6"/>
  <c r="QJN30" i="6"/>
  <c r="QJM30" i="6"/>
  <c r="QJL30" i="6"/>
  <c r="QJK30" i="6"/>
  <c r="QJJ30" i="6"/>
  <c r="QJI30" i="6"/>
  <c r="QJH30" i="6"/>
  <c r="QJG30" i="6"/>
  <c r="QJF30" i="6"/>
  <c r="QJE30" i="6"/>
  <c r="QJD30" i="6"/>
  <c r="QJC30" i="6"/>
  <c r="QJB30" i="6"/>
  <c r="QJA30" i="6"/>
  <c r="QIZ30" i="6"/>
  <c r="QIY30" i="6"/>
  <c r="QIX30" i="6"/>
  <c r="QIW30" i="6"/>
  <c r="QIV30" i="6"/>
  <c r="QIU30" i="6"/>
  <c r="QIT30" i="6"/>
  <c r="QIS30" i="6"/>
  <c r="QIR30" i="6"/>
  <c r="QIQ30" i="6"/>
  <c r="QIP30" i="6"/>
  <c r="QIO30" i="6"/>
  <c r="QIN30" i="6"/>
  <c r="QIM30" i="6"/>
  <c r="QIL30" i="6"/>
  <c r="QIK30" i="6"/>
  <c r="QIJ30" i="6"/>
  <c r="QII30" i="6"/>
  <c r="QIH30" i="6"/>
  <c r="QIG30" i="6"/>
  <c r="QIF30" i="6"/>
  <c r="QIE30" i="6"/>
  <c r="QID30" i="6"/>
  <c r="QIC30" i="6"/>
  <c r="QIB30" i="6"/>
  <c r="QIA30" i="6"/>
  <c r="QHZ30" i="6"/>
  <c r="QHY30" i="6"/>
  <c r="QHX30" i="6"/>
  <c r="QHW30" i="6"/>
  <c r="QHV30" i="6"/>
  <c r="QHU30" i="6"/>
  <c r="QHT30" i="6"/>
  <c r="QHS30" i="6"/>
  <c r="QHR30" i="6"/>
  <c r="QHQ30" i="6"/>
  <c r="QHP30" i="6"/>
  <c r="QHO30" i="6"/>
  <c r="QHN30" i="6"/>
  <c r="QHM30" i="6"/>
  <c r="QHL30" i="6"/>
  <c r="QHK30" i="6"/>
  <c r="QHJ30" i="6"/>
  <c r="QHI30" i="6"/>
  <c r="QHH30" i="6"/>
  <c r="QHG30" i="6"/>
  <c r="QHF30" i="6"/>
  <c r="QHE30" i="6"/>
  <c r="QHD30" i="6"/>
  <c r="QHC30" i="6"/>
  <c r="QHB30" i="6"/>
  <c r="QHA30" i="6"/>
  <c r="QGZ30" i="6"/>
  <c r="QGY30" i="6"/>
  <c r="QGX30" i="6"/>
  <c r="QGW30" i="6"/>
  <c r="QGV30" i="6"/>
  <c r="QGU30" i="6"/>
  <c r="QGT30" i="6"/>
  <c r="QGS30" i="6"/>
  <c r="QGR30" i="6"/>
  <c r="QGQ30" i="6"/>
  <c r="QGP30" i="6"/>
  <c r="QGO30" i="6"/>
  <c r="QGN30" i="6"/>
  <c r="QGM30" i="6"/>
  <c r="QGL30" i="6"/>
  <c r="QGK30" i="6"/>
  <c r="QGJ30" i="6"/>
  <c r="QGI30" i="6"/>
  <c r="QGH30" i="6"/>
  <c r="QGG30" i="6"/>
  <c r="QGF30" i="6"/>
  <c r="QGE30" i="6"/>
  <c r="QGD30" i="6"/>
  <c r="QGC30" i="6"/>
  <c r="QGB30" i="6"/>
  <c r="QGA30" i="6"/>
  <c r="QFZ30" i="6"/>
  <c r="QFY30" i="6"/>
  <c r="QFX30" i="6"/>
  <c r="QFW30" i="6"/>
  <c r="QFV30" i="6"/>
  <c r="QFU30" i="6"/>
  <c r="QFT30" i="6"/>
  <c r="QFS30" i="6"/>
  <c r="QFR30" i="6"/>
  <c r="QFQ30" i="6"/>
  <c r="QFP30" i="6"/>
  <c r="QFO30" i="6"/>
  <c r="QFN30" i="6"/>
  <c r="QFM30" i="6"/>
  <c r="QFL30" i="6"/>
  <c r="QFK30" i="6"/>
  <c r="QFJ30" i="6"/>
  <c r="QFI30" i="6"/>
  <c r="QFH30" i="6"/>
  <c r="QFG30" i="6"/>
  <c r="QFF30" i="6"/>
  <c r="QFE30" i="6"/>
  <c r="QFD30" i="6"/>
  <c r="QFC30" i="6"/>
  <c r="QFB30" i="6"/>
  <c r="QFA30" i="6"/>
  <c r="QEZ30" i="6"/>
  <c r="QEY30" i="6"/>
  <c r="QEX30" i="6"/>
  <c r="QEW30" i="6"/>
  <c r="QEV30" i="6"/>
  <c r="QEU30" i="6"/>
  <c r="QET30" i="6"/>
  <c r="QES30" i="6"/>
  <c r="QER30" i="6"/>
  <c r="QEQ30" i="6"/>
  <c r="QEP30" i="6"/>
  <c r="QEO30" i="6"/>
  <c r="QEN30" i="6"/>
  <c r="QEM30" i="6"/>
  <c r="QEL30" i="6"/>
  <c r="QEK30" i="6"/>
  <c r="QEJ30" i="6"/>
  <c r="QEI30" i="6"/>
  <c r="QEH30" i="6"/>
  <c r="QEG30" i="6"/>
  <c r="QEF30" i="6"/>
  <c r="QEE30" i="6"/>
  <c r="QED30" i="6"/>
  <c r="QEC30" i="6"/>
  <c r="QEB30" i="6"/>
  <c r="QEA30" i="6"/>
  <c r="QDZ30" i="6"/>
  <c r="QDY30" i="6"/>
  <c r="QDX30" i="6"/>
  <c r="QDW30" i="6"/>
  <c r="QDV30" i="6"/>
  <c r="QDU30" i="6"/>
  <c r="QDT30" i="6"/>
  <c r="QDS30" i="6"/>
  <c r="QDR30" i="6"/>
  <c r="QDQ30" i="6"/>
  <c r="QDP30" i="6"/>
  <c r="QDO30" i="6"/>
  <c r="QDN30" i="6"/>
  <c r="QDM30" i="6"/>
  <c r="QDL30" i="6"/>
  <c r="QDK30" i="6"/>
  <c r="QDJ30" i="6"/>
  <c r="QDI30" i="6"/>
  <c r="QDH30" i="6"/>
  <c r="QDG30" i="6"/>
  <c r="QDF30" i="6"/>
  <c r="QDE30" i="6"/>
  <c r="QDD30" i="6"/>
  <c r="QDC30" i="6"/>
  <c r="QDB30" i="6"/>
  <c r="QDA30" i="6"/>
  <c r="QCZ30" i="6"/>
  <c r="QCY30" i="6"/>
  <c r="QCX30" i="6"/>
  <c r="QCW30" i="6"/>
  <c r="QCV30" i="6"/>
  <c r="QCU30" i="6"/>
  <c r="QCT30" i="6"/>
  <c r="QCS30" i="6"/>
  <c r="QCR30" i="6"/>
  <c r="QCQ30" i="6"/>
  <c r="QCP30" i="6"/>
  <c r="QCO30" i="6"/>
  <c r="QCN30" i="6"/>
  <c r="QCM30" i="6"/>
  <c r="QCL30" i="6"/>
  <c r="QCK30" i="6"/>
  <c r="QCJ30" i="6"/>
  <c r="QCI30" i="6"/>
  <c r="QCH30" i="6"/>
  <c r="QCG30" i="6"/>
  <c r="QCF30" i="6"/>
  <c r="QCE30" i="6"/>
  <c r="QCD30" i="6"/>
  <c r="QCC30" i="6"/>
  <c r="QCB30" i="6"/>
  <c r="QCA30" i="6"/>
  <c r="QBZ30" i="6"/>
  <c r="QBY30" i="6"/>
  <c r="QBX30" i="6"/>
  <c r="QBW30" i="6"/>
  <c r="QBV30" i="6"/>
  <c r="QBU30" i="6"/>
  <c r="QBT30" i="6"/>
  <c r="QBS30" i="6"/>
  <c r="QBR30" i="6"/>
  <c r="QBQ30" i="6"/>
  <c r="QBP30" i="6"/>
  <c r="QBO30" i="6"/>
  <c r="QBN30" i="6"/>
  <c r="QBM30" i="6"/>
  <c r="QBL30" i="6"/>
  <c r="QBK30" i="6"/>
  <c r="QBJ30" i="6"/>
  <c r="QBI30" i="6"/>
  <c r="QBH30" i="6"/>
  <c r="QBG30" i="6"/>
  <c r="QBF30" i="6"/>
  <c r="QBE30" i="6"/>
  <c r="QBD30" i="6"/>
  <c r="QBC30" i="6"/>
  <c r="QBB30" i="6"/>
  <c r="QBA30" i="6"/>
  <c r="QAZ30" i="6"/>
  <c r="QAY30" i="6"/>
  <c r="QAX30" i="6"/>
  <c r="QAW30" i="6"/>
  <c r="QAV30" i="6"/>
  <c r="QAU30" i="6"/>
  <c r="QAT30" i="6"/>
  <c r="QAS30" i="6"/>
  <c r="QAR30" i="6"/>
  <c r="QAQ30" i="6"/>
  <c r="QAP30" i="6"/>
  <c r="QAO30" i="6"/>
  <c r="QAN30" i="6"/>
  <c r="QAM30" i="6"/>
  <c r="QAL30" i="6"/>
  <c r="QAK30" i="6"/>
  <c r="QAJ30" i="6"/>
  <c r="QAI30" i="6"/>
  <c r="QAH30" i="6"/>
  <c r="QAG30" i="6"/>
  <c r="QAF30" i="6"/>
  <c r="QAE30" i="6"/>
  <c r="QAD30" i="6"/>
  <c r="QAC30" i="6"/>
  <c r="QAB30" i="6"/>
  <c r="QAA30" i="6"/>
  <c r="PZZ30" i="6"/>
  <c r="PZY30" i="6"/>
  <c r="PZX30" i="6"/>
  <c r="PZW30" i="6"/>
  <c r="PZV30" i="6"/>
  <c r="PZU30" i="6"/>
  <c r="PZT30" i="6"/>
  <c r="PZS30" i="6"/>
  <c r="PZR30" i="6"/>
  <c r="PZQ30" i="6"/>
  <c r="PZP30" i="6"/>
  <c r="PZO30" i="6"/>
  <c r="PZN30" i="6"/>
  <c r="PZM30" i="6"/>
  <c r="PZL30" i="6"/>
  <c r="PZK30" i="6"/>
  <c r="PZJ30" i="6"/>
  <c r="PZI30" i="6"/>
  <c r="PZH30" i="6"/>
  <c r="PZG30" i="6"/>
  <c r="PZF30" i="6"/>
  <c r="PZE30" i="6"/>
  <c r="PZD30" i="6"/>
  <c r="PZC30" i="6"/>
  <c r="PZB30" i="6"/>
  <c r="PZA30" i="6"/>
  <c r="PYZ30" i="6"/>
  <c r="PYY30" i="6"/>
  <c r="PYX30" i="6"/>
  <c r="PYW30" i="6"/>
  <c r="PYV30" i="6"/>
  <c r="PYU30" i="6"/>
  <c r="PYT30" i="6"/>
  <c r="PYS30" i="6"/>
  <c r="PYR30" i="6"/>
  <c r="PYQ30" i="6"/>
  <c r="PYP30" i="6"/>
  <c r="PYO30" i="6"/>
  <c r="PYN30" i="6"/>
  <c r="PYM30" i="6"/>
  <c r="PYL30" i="6"/>
  <c r="PYK30" i="6"/>
  <c r="PYJ30" i="6"/>
  <c r="PYI30" i="6"/>
  <c r="PYH30" i="6"/>
  <c r="PYG30" i="6"/>
  <c r="PYF30" i="6"/>
  <c r="PYE30" i="6"/>
  <c r="PYD30" i="6"/>
  <c r="PYC30" i="6"/>
  <c r="PYB30" i="6"/>
  <c r="PYA30" i="6"/>
  <c r="PXZ30" i="6"/>
  <c r="PXY30" i="6"/>
  <c r="PXX30" i="6"/>
  <c r="PXW30" i="6"/>
  <c r="PXV30" i="6"/>
  <c r="PXU30" i="6"/>
  <c r="PXT30" i="6"/>
  <c r="PXS30" i="6"/>
  <c r="PXR30" i="6"/>
  <c r="PXQ30" i="6"/>
  <c r="PXP30" i="6"/>
  <c r="PXO30" i="6"/>
  <c r="PXN30" i="6"/>
  <c r="PXM30" i="6"/>
  <c r="PXL30" i="6"/>
  <c r="PXK30" i="6"/>
  <c r="PXJ30" i="6"/>
  <c r="PXI30" i="6"/>
  <c r="PXH30" i="6"/>
  <c r="PXG30" i="6"/>
  <c r="PXF30" i="6"/>
  <c r="PXE30" i="6"/>
  <c r="PXD30" i="6"/>
  <c r="PXC30" i="6"/>
  <c r="PXB30" i="6"/>
  <c r="PXA30" i="6"/>
  <c r="PWZ30" i="6"/>
  <c r="PWY30" i="6"/>
  <c r="PWX30" i="6"/>
  <c r="PWW30" i="6"/>
  <c r="PWV30" i="6"/>
  <c r="PWU30" i="6"/>
  <c r="PWT30" i="6"/>
  <c r="PWS30" i="6"/>
  <c r="PWR30" i="6"/>
  <c r="PWQ30" i="6"/>
  <c r="PWP30" i="6"/>
  <c r="PWO30" i="6"/>
  <c r="PWN30" i="6"/>
  <c r="PWM30" i="6"/>
  <c r="PWL30" i="6"/>
  <c r="PWK30" i="6"/>
  <c r="PWJ30" i="6"/>
  <c r="PWI30" i="6"/>
  <c r="PWH30" i="6"/>
  <c r="PWG30" i="6"/>
  <c r="PWF30" i="6"/>
  <c r="PWE30" i="6"/>
  <c r="PWD30" i="6"/>
  <c r="PWC30" i="6"/>
  <c r="PWB30" i="6"/>
  <c r="PWA30" i="6"/>
  <c r="PVZ30" i="6"/>
  <c r="PVY30" i="6"/>
  <c r="PVX30" i="6"/>
  <c r="PVW30" i="6"/>
  <c r="PVV30" i="6"/>
  <c r="PVU30" i="6"/>
  <c r="PVT30" i="6"/>
  <c r="PVS30" i="6"/>
  <c r="PVR30" i="6"/>
  <c r="PVQ30" i="6"/>
  <c r="PVP30" i="6"/>
  <c r="PVO30" i="6"/>
  <c r="PVN30" i="6"/>
  <c r="PVM30" i="6"/>
  <c r="PVL30" i="6"/>
  <c r="PVK30" i="6"/>
  <c r="PVJ30" i="6"/>
  <c r="PVI30" i="6"/>
  <c r="PVH30" i="6"/>
  <c r="PVG30" i="6"/>
  <c r="PVF30" i="6"/>
  <c r="PVE30" i="6"/>
  <c r="PVD30" i="6"/>
  <c r="PVC30" i="6"/>
  <c r="PVB30" i="6"/>
  <c r="PVA30" i="6"/>
  <c r="PUZ30" i="6"/>
  <c r="PUY30" i="6"/>
  <c r="PUX30" i="6"/>
  <c r="PUW30" i="6"/>
  <c r="PUV30" i="6"/>
  <c r="PUU30" i="6"/>
  <c r="PUT30" i="6"/>
  <c r="PUS30" i="6"/>
  <c r="PUR30" i="6"/>
  <c r="PUQ30" i="6"/>
  <c r="PUP30" i="6"/>
  <c r="PUO30" i="6"/>
  <c r="PUN30" i="6"/>
  <c r="PUM30" i="6"/>
  <c r="PUL30" i="6"/>
  <c r="PUK30" i="6"/>
  <c r="PUJ30" i="6"/>
  <c r="PUI30" i="6"/>
  <c r="PUH30" i="6"/>
  <c r="PUG30" i="6"/>
  <c r="PUF30" i="6"/>
  <c r="PUE30" i="6"/>
  <c r="PUD30" i="6"/>
  <c r="PUC30" i="6"/>
  <c r="PUB30" i="6"/>
  <c r="PUA30" i="6"/>
  <c r="PTZ30" i="6"/>
  <c r="PTY30" i="6"/>
  <c r="PTX30" i="6"/>
  <c r="PTW30" i="6"/>
  <c r="PTV30" i="6"/>
  <c r="PTU30" i="6"/>
  <c r="PTT30" i="6"/>
  <c r="PTS30" i="6"/>
  <c r="PTR30" i="6"/>
  <c r="PTQ30" i="6"/>
  <c r="PTP30" i="6"/>
  <c r="PTO30" i="6"/>
  <c r="PTN30" i="6"/>
  <c r="PTM30" i="6"/>
  <c r="PTL30" i="6"/>
  <c r="PTK30" i="6"/>
  <c r="PTJ30" i="6"/>
  <c r="PTI30" i="6"/>
  <c r="PTH30" i="6"/>
  <c r="PTG30" i="6"/>
  <c r="PTF30" i="6"/>
  <c r="PTE30" i="6"/>
  <c r="PTD30" i="6"/>
  <c r="PTC30" i="6"/>
  <c r="PTB30" i="6"/>
  <c r="PTA30" i="6"/>
  <c r="PSZ30" i="6"/>
  <c r="PSY30" i="6"/>
  <c r="PSX30" i="6"/>
  <c r="PSW30" i="6"/>
  <c r="PSV30" i="6"/>
  <c r="PSU30" i="6"/>
  <c r="PST30" i="6"/>
  <c r="PSS30" i="6"/>
  <c r="PSR30" i="6"/>
  <c r="PSQ30" i="6"/>
  <c r="PSP30" i="6"/>
  <c r="PSO30" i="6"/>
  <c r="PSN30" i="6"/>
  <c r="PSM30" i="6"/>
  <c r="PSL30" i="6"/>
  <c r="PSK30" i="6"/>
  <c r="PSJ30" i="6"/>
  <c r="PSI30" i="6"/>
  <c r="PSH30" i="6"/>
  <c r="PSG30" i="6"/>
  <c r="PSF30" i="6"/>
  <c r="PSE30" i="6"/>
  <c r="PSD30" i="6"/>
  <c r="PSC30" i="6"/>
  <c r="PSB30" i="6"/>
  <c r="PSA30" i="6"/>
  <c r="PRZ30" i="6"/>
  <c r="PRY30" i="6"/>
  <c r="PRX30" i="6"/>
  <c r="PRW30" i="6"/>
  <c r="PRV30" i="6"/>
  <c r="PRU30" i="6"/>
  <c r="PRT30" i="6"/>
  <c r="PRS30" i="6"/>
  <c r="PRR30" i="6"/>
  <c r="PRQ30" i="6"/>
  <c r="PRP30" i="6"/>
  <c r="PRO30" i="6"/>
  <c r="PRN30" i="6"/>
  <c r="PRM30" i="6"/>
  <c r="PRL30" i="6"/>
  <c r="PRK30" i="6"/>
  <c r="PRJ30" i="6"/>
  <c r="PRI30" i="6"/>
  <c r="PRH30" i="6"/>
  <c r="PRG30" i="6"/>
  <c r="PRF30" i="6"/>
  <c r="PRE30" i="6"/>
  <c r="PRD30" i="6"/>
  <c r="PRC30" i="6"/>
  <c r="PRB30" i="6"/>
  <c r="PRA30" i="6"/>
  <c r="PQZ30" i="6"/>
  <c r="PQY30" i="6"/>
  <c r="PQX30" i="6"/>
  <c r="PQW30" i="6"/>
  <c r="PQV30" i="6"/>
  <c r="PQU30" i="6"/>
  <c r="PQT30" i="6"/>
  <c r="PQS30" i="6"/>
  <c r="PQR30" i="6"/>
  <c r="PQQ30" i="6"/>
  <c r="PQP30" i="6"/>
  <c r="PQO30" i="6"/>
  <c r="PQN30" i="6"/>
  <c r="PQM30" i="6"/>
  <c r="PQL30" i="6"/>
  <c r="PQK30" i="6"/>
  <c r="PQJ30" i="6"/>
  <c r="PQI30" i="6"/>
  <c r="PQH30" i="6"/>
  <c r="PQG30" i="6"/>
  <c r="PQF30" i="6"/>
  <c r="PQE30" i="6"/>
  <c r="PQD30" i="6"/>
  <c r="PQC30" i="6"/>
  <c r="PQB30" i="6"/>
  <c r="PQA30" i="6"/>
  <c r="PPZ30" i="6"/>
  <c r="PPY30" i="6"/>
  <c r="PPX30" i="6"/>
  <c r="PPW30" i="6"/>
  <c r="PPV30" i="6"/>
  <c r="PPU30" i="6"/>
  <c r="PPT30" i="6"/>
  <c r="PPS30" i="6"/>
  <c r="PPR30" i="6"/>
  <c r="PPQ30" i="6"/>
  <c r="PPP30" i="6"/>
  <c r="PPO30" i="6"/>
  <c r="PPN30" i="6"/>
  <c r="PPM30" i="6"/>
  <c r="PPL30" i="6"/>
  <c r="PPK30" i="6"/>
  <c r="PPJ30" i="6"/>
  <c r="PPI30" i="6"/>
  <c r="PPH30" i="6"/>
  <c r="PPG30" i="6"/>
  <c r="PPF30" i="6"/>
  <c r="PPE30" i="6"/>
  <c r="PPD30" i="6"/>
  <c r="PPC30" i="6"/>
  <c r="PPB30" i="6"/>
  <c r="PPA30" i="6"/>
  <c r="POZ30" i="6"/>
  <c r="POY30" i="6"/>
  <c r="POX30" i="6"/>
  <c r="POW30" i="6"/>
  <c r="POV30" i="6"/>
  <c r="POU30" i="6"/>
  <c r="POT30" i="6"/>
  <c r="POS30" i="6"/>
  <c r="POR30" i="6"/>
  <c r="POQ30" i="6"/>
  <c r="POP30" i="6"/>
  <c r="POO30" i="6"/>
  <c r="PON30" i="6"/>
  <c r="POM30" i="6"/>
  <c r="POL30" i="6"/>
  <c r="POK30" i="6"/>
  <c r="POJ30" i="6"/>
  <c r="POI30" i="6"/>
  <c r="POH30" i="6"/>
  <c r="POG30" i="6"/>
  <c r="POF30" i="6"/>
  <c r="POE30" i="6"/>
  <c r="POD30" i="6"/>
  <c r="POC30" i="6"/>
  <c r="POB30" i="6"/>
  <c r="POA30" i="6"/>
  <c r="PNZ30" i="6"/>
  <c r="PNY30" i="6"/>
  <c r="PNX30" i="6"/>
  <c r="PNW30" i="6"/>
  <c r="PNV30" i="6"/>
  <c r="PNU30" i="6"/>
  <c r="PNT30" i="6"/>
  <c r="PNS30" i="6"/>
  <c r="PNR30" i="6"/>
  <c r="PNQ30" i="6"/>
  <c r="PNP30" i="6"/>
  <c r="PNO30" i="6"/>
  <c r="PNN30" i="6"/>
  <c r="PNM30" i="6"/>
  <c r="PNL30" i="6"/>
  <c r="PNK30" i="6"/>
  <c r="PNJ30" i="6"/>
  <c r="PNI30" i="6"/>
  <c r="PNH30" i="6"/>
  <c r="PNG30" i="6"/>
  <c r="PNF30" i="6"/>
  <c r="PNE30" i="6"/>
  <c r="PND30" i="6"/>
  <c r="PNC30" i="6"/>
  <c r="PNB30" i="6"/>
  <c r="PNA30" i="6"/>
  <c r="PMZ30" i="6"/>
  <c r="PMY30" i="6"/>
  <c r="PMX30" i="6"/>
  <c r="PMW30" i="6"/>
  <c r="PMV30" i="6"/>
  <c r="PMU30" i="6"/>
  <c r="PMT30" i="6"/>
  <c r="PMS30" i="6"/>
  <c r="PMR30" i="6"/>
  <c r="PMQ30" i="6"/>
  <c r="PMP30" i="6"/>
  <c r="PMO30" i="6"/>
  <c r="PMN30" i="6"/>
  <c r="PMM30" i="6"/>
  <c r="PML30" i="6"/>
  <c r="PMK30" i="6"/>
  <c r="PMJ30" i="6"/>
  <c r="PMI30" i="6"/>
  <c r="PMH30" i="6"/>
  <c r="PMG30" i="6"/>
  <c r="PMF30" i="6"/>
  <c r="PME30" i="6"/>
  <c r="PMD30" i="6"/>
  <c r="PMC30" i="6"/>
  <c r="PMB30" i="6"/>
  <c r="PMA30" i="6"/>
  <c r="PLZ30" i="6"/>
  <c r="PLY30" i="6"/>
  <c r="PLX30" i="6"/>
  <c r="PLW30" i="6"/>
  <c r="PLV30" i="6"/>
  <c r="PLU30" i="6"/>
  <c r="PLT30" i="6"/>
  <c r="PLS30" i="6"/>
  <c r="PLR30" i="6"/>
  <c r="PLQ30" i="6"/>
  <c r="PLP30" i="6"/>
  <c r="PLO30" i="6"/>
  <c r="PLN30" i="6"/>
  <c r="PLM30" i="6"/>
  <c r="PLL30" i="6"/>
  <c r="PLK30" i="6"/>
  <c r="PLJ30" i="6"/>
  <c r="PLI30" i="6"/>
  <c r="PLH30" i="6"/>
  <c r="PLG30" i="6"/>
  <c r="PLF30" i="6"/>
  <c r="PLE30" i="6"/>
  <c r="PLD30" i="6"/>
  <c r="PLC30" i="6"/>
  <c r="PLB30" i="6"/>
  <c r="PLA30" i="6"/>
  <c r="PKZ30" i="6"/>
  <c r="PKY30" i="6"/>
  <c r="PKX30" i="6"/>
  <c r="PKW30" i="6"/>
  <c r="PKV30" i="6"/>
  <c r="PKU30" i="6"/>
  <c r="PKT30" i="6"/>
  <c r="PKS30" i="6"/>
  <c r="PKR30" i="6"/>
  <c r="PKQ30" i="6"/>
  <c r="PKP30" i="6"/>
  <c r="PKO30" i="6"/>
  <c r="PKN30" i="6"/>
  <c r="PKM30" i="6"/>
  <c r="PKL30" i="6"/>
  <c r="PKK30" i="6"/>
  <c r="PKJ30" i="6"/>
  <c r="PKI30" i="6"/>
  <c r="PKH30" i="6"/>
  <c r="PKG30" i="6"/>
  <c r="PKF30" i="6"/>
  <c r="PKE30" i="6"/>
  <c r="PKD30" i="6"/>
  <c r="PKC30" i="6"/>
  <c r="PKB30" i="6"/>
  <c r="PKA30" i="6"/>
  <c r="PJZ30" i="6"/>
  <c r="PJY30" i="6"/>
  <c r="PJX30" i="6"/>
  <c r="PJW30" i="6"/>
  <c r="PJV30" i="6"/>
  <c r="PJU30" i="6"/>
  <c r="PJT30" i="6"/>
  <c r="PJS30" i="6"/>
  <c r="PJR30" i="6"/>
  <c r="PJQ30" i="6"/>
  <c r="PJP30" i="6"/>
  <c r="PJO30" i="6"/>
  <c r="PJN30" i="6"/>
  <c r="PJM30" i="6"/>
  <c r="PJL30" i="6"/>
  <c r="PJK30" i="6"/>
  <c r="PJJ30" i="6"/>
  <c r="PJI30" i="6"/>
  <c r="PJH30" i="6"/>
  <c r="PJG30" i="6"/>
  <c r="PJF30" i="6"/>
  <c r="PJE30" i="6"/>
  <c r="PJD30" i="6"/>
  <c r="PJC30" i="6"/>
  <c r="PJB30" i="6"/>
  <c r="PJA30" i="6"/>
  <c r="PIZ30" i="6"/>
  <c r="PIY30" i="6"/>
  <c r="PIX30" i="6"/>
  <c r="PIW30" i="6"/>
  <c r="PIV30" i="6"/>
  <c r="PIU30" i="6"/>
  <c r="PIT30" i="6"/>
  <c r="PIS30" i="6"/>
  <c r="PIR30" i="6"/>
  <c r="PIQ30" i="6"/>
  <c r="PIP30" i="6"/>
  <c r="PIO30" i="6"/>
  <c r="PIN30" i="6"/>
  <c r="PIM30" i="6"/>
  <c r="PIL30" i="6"/>
  <c r="PIK30" i="6"/>
  <c r="PIJ30" i="6"/>
  <c r="PII30" i="6"/>
  <c r="PIH30" i="6"/>
  <c r="PIG30" i="6"/>
  <c r="PIF30" i="6"/>
  <c r="PIE30" i="6"/>
  <c r="PID30" i="6"/>
  <c r="PIC30" i="6"/>
  <c r="PIB30" i="6"/>
  <c r="PIA30" i="6"/>
  <c r="PHZ30" i="6"/>
  <c r="PHY30" i="6"/>
  <c r="PHX30" i="6"/>
  <c r="PHW30" i="6"/>
  <c r="PHV30" i="6"/>
  <c r="PHU30" i="6"/>
  <c r="PHT30" i="6"/>
  <c r="PHS30" i="6"/>
  <c r="PHR30" i="6"/>
  <c r="PHQ30" i="6"/>
  <c r="PHP30" i="6"/>
  <c r="PHO30" i="6"/>
  <c r="PHN30" i="6"/>
  <c r="PHM30" i="6"/>
  <c r="PHL30" i="6"/>
  <c r="PHK30" i="6"/>
  <c r="PHJ30" i="6"/>
  <c r="PHI30" i="6"/>
  <c r="PHH30" i="6"/>
  <c r="PHG30" i="6"/>
  <c r="PHF30" i="6"/>
  <c r="PHE30" i="6"/>
  <c r="PHD30" i="6"/>
  <c r="PHC30" i="6"/>
  <c r="PHB30" i="6"/>
  <c r="PHA30" i="6"/>
  <c r="PGZ30" i="6"/>
  <c r="PGY30" i="6"/>
  <c r="PGX30" i="6"/>
  <c r="PGW30" i="6"/>
  <c r="PGV30" i="6"/>
  <c r="PGU30" i="6"/>
  <c r="PGT30" i="6"/>
  <c r="PGS30" i="6"/>
  <c r="PGR30" i="6"/>
  <c r="PGQ30" i="6"/>
  <c r="PGP30" i="6"/>
  <c r="PGO30" i="6"/>
  <c r="PGN30" i="6"/>
  <c r="PGM30" i="6"/>
  <c r="PGL30" i="6"/>
  <c r="PGK30" i="6"/>
  <c r="PGJ30" i="6"/>
  <c r="PGI30" i="6"/>
  <c r="PGH30" i="6"/>
  <c r="PGG30" i="6"/>
  <c r="PGF30" i="6"/>
  <c r="PGE30" i="6"/>
  <c r="PGD30" i="6"/>
  <c r="PGC30" i="6"/>
  <c r="PGB30" i="6"/>
  <c r="PGA30" i="6"/>
  <c r="PFZ30" i="6"/>
  <c r="PFY30" i="6"/>
  <c r="PFX30" i="6"/>
  <c r="PFW30" i="6"/>
  <c r="PFV30" i="6"/>
  <c r="PFU30" i="6"/>
  <c r="PFT30" i="6"/>
  <c r="PFS30" i="6"/>
  <c r="PFR30" i="6"/>
  <c r="PFQ30" i="6"/>
  <c r="PFP30" i="6"/>
  <c r="PFO30" i="6"/>
  <c r="PFN30" i="6"/>
  <c r="PFM30" i="6"/>
  <c r="PFL30" i="6"/>
  <c r="PFK30" i="6"/>
  <c r="PFJ30" i="6"/>
  <c r="PFI30" i="6"/>
  <c r="PFH30" i="6"/>
  <c r="PFG30" i="6"/>
  <c r="PFF30" i="6"/>
  <c r="PFE30" i="6"/>
  <c r="PFD30" i="6"/>
  <c r="PFC30" i="6"/>
  <c r="PFB30" i="6"/>
  <c r="PFA30" i="6"/>
  <c r="PEZ30" i="6"/>
  <c r="PEY30" i="6"/>
  <c r="PEX30" i="6"/>
  <c r="PEW30" i="6"/>
  <c r="PEV30" i="6"/>
  <c r="PEU30" i="6"/>
  <c r="PET30" i="6"/>
  <c r="PES30" i="6"/>
  <c r="PER30" i="6"/>
  <c r="PEQ30" i="6"/>
  <c r="PEP30" i="6"/>
  <c r="PEO30" i="6"/>
  <c r="PEN30" i="6"/>
  <c r="PEM30" i="6"/>
  <c r="PEL30" i="6"/>
  <c r="PEK30" i="6"/>
  <c r="PEJ30" i="6"/>
  <c r="PEI30" i="6"/>
  <c r="PEH30" i="6"/>
  <c r="PEG30" i="6"/>
  <c r="PEF30" i="6"/>
  <c r="PEE30" i="6"/>
  <c r="PED30" i="6"/>
  <c r="PEC30" i="6"/>
  <c r="PEB30" i="6"/>
  <c r="PEA30" i="6"/>
  <c r="PDZ30" i="6"/>
  <c r="PDY30" i="6"/>
  <c r="PDX30" i="6"/>
  <c r="PDW30" i="6"/>
  <c r="PDV30" i="6"/>
  <c r="PDU30" i="6"/>
  <c r="PDT30" i="6"/>
  <c r="PDS30" i="6"/>
  <c r="PDR30" i="6"/>
  <c r="PDQ30" i="6"/>
  <c r="PDP30" i="6"/>
  <c r="PDO30" i="6"/>
  <c r="PDN30" i="6"/>
  <c r="PDM30" i="6"/>
  <c r="PDL30" i="6"/>
  <c r="PDK30" i="6"/>
  <c r="PDJ30" i="6"/>
  <c r="PDI30" i="6"/>
  <c r="PDH30" i="6"/>
  <c r="PDG30" i="6"/>
  <c r="PDF30" i="6"/>
  <c r="PDE30" i="6"/>
  <c r="PDD30" i="6"/>
  <c r="PDC30" i="6"/>
  <c r="PDB30" i="6"/>
  <c r="PDA30" i="6"/>
  <c r="PCZ30" i="6"/>
  <c r="PCY30" i="6"/>
  <c r="PCX30" i="6"/>
  <c r="PCW30" i="6"/>
  <c r="PCV30" i="6"/>
  <c r="PCU30" i="6"/>
  <c r="PCT30" i="6"/>
  <c r="PCS30" i="6"/>
  <c r="PCR30" i="6"/>
  <c r="PCQ30" i="6"/>
  <c r="PCP30" i="6"/>
  <c r="PCO30" i="6"/>
  <c r="PCN30" i="6"/>
  <c r="PCM30" i="6"/>
  <c r="PCL30" i="6"/>
  <c r="PCK30" i="6"/>
  <c r="PCJ30" i="6"/>
  <c r="PCI30" i="6"/>
  <c r="PCH30" i="6"/>
  <c r="PCG30" i="6"/>
  <c r="PCF30" i="6"/>
  <c r="PCE30" i="6"/>
  <c r="PCD30" i="6"/>
  <c r="PCC30" i="6"/>
  <c r="PCB30" i="6"/>
  <c r="PCA30" i="6"/>
  <c r="PBZ30" i="6"/>
  <c r="PBY30" i="6"/>
  <c r="PBX30" i="6"/>
  <c r="PBW30" i="6"/>
  <c r="PBV30" i="6"/>
  <c r="PBU30" i="6"/>
  <c r="PBT30" i="6"/>
  <c r="PBS30" i="6"/>
  <c r="PBR30" i="6"/>
  <c r="PBQ30" i="6"/>
  <c r="PBP30" i="6"/>
  <c r="PBO30" i="6"/>
  <c r="PBN30" i="6"/>
  <c r="PBM30" i="6"/>
  <c r="PBL30" i="6"/>
  <c r="PBK30" i="6"/>
  <c r="PBJ30" i="6"/>
  <c r="PBI30" i="6"/>
  <c r="PBH30" i="6"/>
  <c r="PBG30" i="6"/>
  <c r="PBF30" i="6"/>
  <c r="PBE30" i="6"/>
  <c r="PBD30" i="6"/>
  <c r="PBC30" i="6"/>
  <c r="PBB30" i="6"/>
  <c r="PBA30" i="6"/>
  <c r="PAZ30" i="6"/>
  <c r="PAY30" i="6"/>
  <c r="PAX30" i="6"/>
  <c r="PAW30" i="6"/>
  <c r="PAV30" i="6"/>
  <c r="PAU30" i="6"/>
  <c r="PAT30" i="6"/>
  <c r="PAS30" i="6"/>
  <c r="PAR30" i="6"/>
  <c r="PAQ30" i="6"/>
  <c r="PAP30" i="6"/>
  <c r="PAO30" i="6"/>
  <c r="PAN30" i="6"/>
  <c r="PAM30" i="6"/>
  <c r="PAL30" i="6"/>
  <c r="PAK30" i="6"/>
  <c r="PAJ30" i="6"/>
  <c r="PAI30" i="6"/>
  <c r="PAH30" i="6"/>
  <c r="PAG30" i="6"/>
  <c r="PAF30" i="6"/>
  <c r="PAE30" i="6"/>
  <c r="PAD30" i="6"/>
  <c r="PAC30" i="6"/>
  <c r="PAB30" i="6"/>
  <c r="PAA30" i="6"/>
  <c r="OZZ30" i="6"/>
  <c r="OZY30" i="6"/>
  <c r="OZX30" i="6"/>
  <c r="OZW30" i="6"/>
  <c r="OZV30" i="6"/>
  <c r="OZU30" i="6"/>
  <c r="OZT30" i="6"/>
  <c r="OZS30" i="6"/>
  <c r="OZR30" i="6"/>
  <c r="OZQ30" i="6"/>
  <c r="OZP30" i="6"/>
  <c r="OZO30" i="6"/>
  <c r="OZN30" i="6"/>
  <c r="OZM30" i="6"/>
  <c r="OZL30" i="6"/>
  <c r="OZK30" i="6"/>
  <c r="OZJ30" i="6"/>
  <c r="OZI30" i="6"/>
  <c r="OZH30" i="6"/>
  <c r="OZG30" i="6"/>
  <c r="OZF30" i="6"/>
  <c r="OZE30" i="6"/>
  <c r="OZD30" i="6"/>
  <c r="OZC30" i="6"/>
  <c r="OZB30" i="6"/>
  <c r="OZA30" i="6"/>
  <c r="OYZ30" i="6"/>
  <c r="OYY30" i="6"/>
  <c r="OYX30" i="6"/>
  <c r="OYW30" i="6"/>
  <c r="OYV30" i="6"/>
  <c r="OYU30" i="6"/>
  <c r="OYT30" i="6"/>
  <c r="OYS30" i="6"/>
  <c r="OYR30" i="6"/>
  <c r="OYQ30" i="6"/>
  <c r="OYP30" i="6"/>
  <c r="OYO30" i="6"/>
  <c r="OYN30" i="6"/>
  <c r="OYM30" i="6"/>
  <c r="OYL30" i="6"/>
  <c r="OYK30" i="6"/>
  <c r="OYJ30" i="6"/>
  <c r="OYI30" i="6"/>
  <c r="OYH30" i="6"/>
  <c r="OYG30" i="6"/>
  <c r="OYF30" i="6"/>
  <c r="OYE30" i="6"/>
  <c r="OYD30" i="6"/>
  <c r="OYC30" i="6"/>
  <c r="OYB30" i="6"/>
  <c r="OYA30" i="6"/>
  <c r="OXZ30" i="6"/>
  <c r="OXY30" i="6"/>
  <c r="OXX30" i="6"/>
  <c r="OXW30" i="6"/>
  <c r="OXV30" i="6"/>
  <c r="OXU30" i="6"/>
  <c r="OXT30" i="6"/>
  <c r="OXS30" i="6"/>
  <c r="OXR30" i="6"/>
  <c r="OXQ30" i="6"/>
  <c r="OXP30" i="6"/>
  <c r="OXO30" i="6"/>
  <c r="OXN30" i="6"/>
  <c r="OXM30" i="6"/>
  <c r="OXL30" i="6"/>
  <c r="OXK30" i="6"/>
  <c r="OXJ30" i="6"/>
  <c r="OXI30" i="6"/>
  <c r="OXH30" i="6"/>
  <c r="OXG30" i="6"/>
  <c r="OXF30" i="6"/>
  <c r="OXE30" i="6"/>
  <c r="OXD30" i="6"/>
  <c r="OXC30" i="6"/>
  <c r="OXB30" i="6"/>
  <c r="OXA30" i="6"/>
  <c r="OWZ30" i="6"/>
  <c r="OWY30" i="6"/>
  <c r="OWX30" i="6"/>
  <c r="OWW30" i="6"/>
  <c r="OWV30" i="6"/>
  <c r="OWU30" i="6"/>
  <c r="OWT30" i="6"/>
  <c r="OWS30" i="6"/>
  <c r="OWR30" i="6"/>
  <c r="OWQ30" i="6"/>
  <c r="OWP30" i="6"/>
  <c r="OWO30" i="6"/>
  <c r="OWN30" i="6"/>
  <c r="OWM30" i="6"/>
  <c r="OWL30" i="6"/>
  <c r="OWK30" i="6"/>
  <c r="OWJ30" i="6"/>
  <c r="OWI30" i="6"/>
  <c r="OWH30" i="6"/>
  <c r="OWG30" i="6"/>
  <c r="OWF30" i="6"/>
  <c r="OWE30" i="6"/>
  <c r="OWD30" i="6"/>
  <c r="OWC30" i="6"/>
  <c r="OWB30" i="6"/>
  <c r="OWA30" i="6"/>
  <c r="OVZ30" i="6"/>
  <c r="OVY30" i="6"/>
  <c r="OVX30" i="6"/>
  <c r="OVW30" i="6"/>
  <c r="OVV30" i="6"/>
  <c r="OVU30" i="6"/>
  <c r="OVT30" i="6"/>
  <c r="OVS30" i="6"/>
  <c r="OVR30" i="6"/>
  <c r="OVQ30" i="6"/>
  <c r="OVP30" i="6"/>
  <c r="OVO30" i="6"/>
  <c r="OVN30" i="6"/>
  <c r="OVM30" i="6"/>
  <c r="OVL30" i="6"/>
  <c r="OVK30" i="6"/>
  <c r="OVJ30" i="6"/>
  <c r="OVI30" i="6"/>
  <c r="OVH30" i="6"/>
  <c r="OVG30" i="6"/>
  <c r="OVF30" i="6"/>
  <c r="OVE30" i="6"/>
  <c r="OVD30" i="6"/>
  <c r="OVC30" i="6"/>
  <c r="OVB30" i="6"/>
  <c r="OVA30" i="6"/>
  <c r="OUZ30" i="6"/>
  <c r="OUY30" i="6"/>
  <c r="OUX30" i="6"/>
  <c r="OUW30" i="6"/>
  <c r="OUV30" i="6"/>
  <c r="OUU30" i="6"/>
  <c r="OUT30" i="6"/>
  <c r="OUS30" i="6"/>
  <c r="OUR30" i="6"/>
  <c r="OUQ30" i="6"/>
  <c r="OUP30" i="6"/>
  <c r="OUO30" i="6"/>
  <c r="OUN30" i="6"/>
  <c r="OUM30" i="6"/>
  <c r="OUL30" i="6"/>
  <c r="OUK30" i="6"/>
  <c r="OUJ30" i="6"/>
  <c r="OUI30" i="6"/>
  <c r="OUH30" i="6"/>
  <c r="OUG30" i="6"/>
  <c r="OUF30" i="6"/>
  <c r="OUE30" i="6"/>
  <c r="OUD30" i="6"/>
  <c r="OUC30" i="6"/>
  <c r="OUB30" i="6"/>
  <c r="OUA30" i="6"/>
  <c r="OTZ30" i="6"/>
  <c r="OTY30" i="6"/>
  <c r="OTX30" i="6"/>
  <c r="OTW30" i="6"/>
  <c r="OTV30" i="6"/>
  <c r="OTU30" i="6"/>
  <c r="OTT30" i="6"/>
  <c r="OTS30" i="6"/>
  <c r="OTR30" i="6"/>
  <c r="OTQ30" i="6"/>
  <c r="OTP30" i="6"/>
  <c r="OTO30" i="6"/>
  <c r="OTN30" i="6"/>
  <c r="OTM30" i="6"/>
  <c r="OTL30" i="6"/>
  <c r="OTK30" i="6"/>
  <c r="OTJ30" i="6"/>
  <c r="OTI30" i="6"/>
  <c r="OTH30" i="6"/>
  <c r="OTG30" i="6"/>
  <c r="OTF30" i="6"/>
  <c r="OTE30" i="6"/>
  <c r="OTD30" i="6"/>
  <c r="OTC30" i="6"/>
  <c r="OTB30" i="6"/>
  <c r="OTA30" i="6"/>
  <c r="OSZ30" i="6"/>
  <c r="OSY30" i="6"/>
  <c r="OSX30" i="6"/>
  <c r="OSW30" i="6"/>
  <c r="OSV30" i="6"/>
  <c r="OSU30" i="6"/>
  <c r="OST30" i="6"/>
  <c r="OSS30" i="6"/>
  <c r="OSR30" i="6"/>
  <c r="OSQ30" i="6"/>
  <c r="OSP30" i="6"/>
  <c r="OSO30" i="6"/>
  <c r="OSN30" i="6"/>
  <c r="OSM30" i="6"/>
  <c r="OSL30" i="6"/>
  <c r="OSK30" i="6"/>
  <c r="OSJ30" i="6"/>
  <c r="OSI30" i="6"/>
  <c r="OSH30" i="6"/>
  <c r="OSG30" i="6"/>
  <c r="OSF30" i="6"/>
  <c r="OSE30" i="6"/>
  <c r="OSD30" i="6"/>
  <c r="OSC30" i="6"/>
  <c r="OSB30" i="6"/>
  <c r="OSA30" i="6"/>
  <c r="ORZ30" i="6"/>
  <c r="ORY30" i="6"/>
  <c r="ORX30" i="6"/>
  <c r="ORW30" i="6"/>
  <c r="ORV30" i="6"/>
  <c r="ORU30" i="6"/>
  <c r="ORT30" i="6"/>
  <c r="ORS30" i="6"/>
  <c r="ORR30" i="6"/>
  <c r="ORQ30" i="6"/>
  <c r="ORP30" i="6"/>
  <c r="ORO30" i="6"/>
  <c r="ORN30" i="6"/>
  <c r="ORM30" i="6"/>
  <c r="ORL30" i="6"/>
  <c r="ORK30" i="6"/>
  <c r="ORJ30" i="6"/>
  <c r="ORI30" i="6"/>
  <c r="ORH30" i="6"/>
  <c r="ORG30" i="6"/>
  <c r="ORF30" i="6"/>
  <c r="ORE30" i="6"/>
  <c r="ORD30" i="6"/>
  <c r="ORC30" i="6"/>
  <c r="ORB30" i="6"/>
  <c r="ORA30" i="6"/>
  <c r="OQZ30" i="6"/>
  <c r="OQY30" i="6"/>
  <c r="OQX30" i="6"/>
  <c r="OQW30" i="6"/>
  <c r="OQV30" i="6"/>
  <c r="OQU30" i="6"/>
  <c r="OQT30" i="6"/>
  <c r="OQS30" i="6"/>
  <c r="OQR30" i="6"/>
  <c r="OQQ30" i="6"/>
  <c r="OQP30" i="6"/>
  <c r="OQO30" i="6"/>
  <c r="OQN30" i="6"/>
  <c r="OQM30" i="6"/>
  <c r="OQL30" i="6"/>
  <c r="OQK30" i="6"/>
  <c r="OQJ30" i="6"/>
  <c r="OQI30" i="6"/>
  <c r="OQH30" i="6"/>
  <c r="OQG30" i="6"/>
  <c r="OQF30" i="6"/>
  <c r="OQE30" i="6"/>
  <c r="OQD30" i="6"/>
  <c r="OQC30" i="6"/>
  <c r="OQB30" i="6"/>
  <c r="OQA30" i="6"/>
  <c r="OPZ30" i="6"/>
  <c r="OPY30" i="6"/>
  <c r="OPX30" i="6"/>
  <c r="OPW30" i="6"/>
  <c r="OPV30" i="6"/>
  <c r="OPU30" i="6"/>
  <c r="OPT30" i="6"/>
  <c r="OPS30" i="6"/>
  <c r="OPR30" i="6"/>
  <c r="OPQ30" i="6"/>
  <c r="OPP30" i="6"/>
  <c r="OPO30" i="6"/>
  <c r="OPN30" i="6"/>
  <c r="OPM30" i="6"/>
  <c r="OPL30" i="6"/>
  <c r="OPK30" i="6"/>
  <c r="OPJ30" i="6"/>
  <c r="OPI30" i="6"/>
  <c r="OPH30" i="6"/>
  <c r="OPG30" i="6"/>
  <c r="OPF30" i="6"/>
  <c r="OPE30" i="6"/>
  <c r="OPD30" i="6"/>
  <c r="OPC30" i="6"/>
  <c r="OPB30" i="6"/>
  <c r="OPA30" i="6"/>
  <c r="OOZ30" i="6"/>
  <c r="OOY30" i="6"/>
  <c r="OOX30" i="6"/>
  <c r="OOW30" i="6"/>
  <c r="OOV30" i="6"/>
  <c r="OOU30" i="6"/>
  <c r="OOT30" i="6"/>
  <c r="OOS30" i="6"/>
  <c r="OOR30" i="6"/>
  <c r="OOQ30" i="6"/>
  <c r="OOP30" i="6"/>
  <c r="OOO30" i="6"/>
  <c r="OON30" i="6"/>
  <c r="OOM30" i="6"/>
  <c r="OOL30" i="6"/>
  <c r="OOK30" i="6"/>
  <c r="OOJ30" i="6"/>
  <c r="OOI30" i="6"/>
  <c r="OOH30" i="6"/>
  <c r="OOG30" i="6"/>
  <c r="OOF30" i="6"/>
  <c r="OOE30" i="6"/>
  <c r="OOD30" i="6"/>
  <c r="OOC30" i="6"/>
  <c r="OOB30" i="6"/>
  <c r="OOA30" i="6"/>
  <c r="ONZ30" i="6"/>
  <c r="ONY30" i="6"/>
  <c r="ONX30" i="6"/>
  <c r="ONW30" i="6"/>
  <c r="ONV30" i="6"/>
  <c r="ONU30" i="6"/>
  <c r="ONT30" i="6"/>
  <c r="ONS30" i="6"/>
  <c r="ONR30" i="6"/>
  <c r="ONQ30" i="6"/>
  <c r="ONP30" i="6"/>
  <c r="ONO30" i="6"/>
  <c r="ONN30" i="6"/>
  <c r="ONM30" i="6"/>
  <c r="ONL30" i="6"/>
  <c r="ONK30" i="6"/>
  <c r="ONJ30" i="6"/>
  <c r="ONI30" i="6"/>
  <c r="ONH30" i="6"/>
  <c r="ONG30" i="6"/>
  <c r="ONF30" i="6"/>
  <c r="ONE30" i="6"/>
  <c r="OND30" i="6"/>
  <c r="ONC30" i="6"/>
  <c r="ONB30" i="6"/>
  <c r="ONA30" i="6"/>
  <c r="OMZ30" i="6"/>
  <c r="OMY30" i="6"/>
  <c r="OMX30" i="6"/>
  <c r="OMW30" i="6"/>
  <c r="OMV30" i="6"/>
  <c r="OMU30" i="6"/>
  <c r="OMT30" i="6"/>
  <c r="OMS30" i="6"/>
  <c r="OMR30" i="6"/>
  <c r="OMQ30" i="6"/>
  <c r="OMP30" i="6"/>
  <c r="OMO30" i="6"/>
  <c r="OMN30" i="6"/>
  <c r="OMM30" i="6"/>
  <c r="OML30" i="6"/>
  <c r="OMK30" i="6"/>
  <c r="OMJ30" i="6"/>
  <c r="OMI30" i="6"/>
  <c r="OMH30" i="6"/>
  <c r="OMG30" i="6"/>
  <c r="OMF30" i="6"/>
  <c r="OME30" i="6"/>
  <c r="OMD30" i="6"/>
  <c r="OMC30" i="6"/>
  <c r="OMB30" i="6"/>
  <c r="OMA30" i="6"/>
  <c r="OLZ30" i="6"/>
  <c r="OLY30" i="6"/>
  <c r="OLX30" i="6"/>
  <c r="OLW30" i="6"/>
  <c r="OLV30" i="6"/>
  <c r="OLU30" i="6"/>
  <c r="OLT30" i="6"/>
  <c r="OLS30" i="6"/>
  <c r="OLR30" i="6"/>
  <c r="OLQ30" i="6"/>
  <c r="OLP30" i="6"/>
  <c r="OLO30" i="6"/>
  <c r="OLN30" i="6"/>
  <c r="OLM30" i="6"/>
  <c r="OLL30" i="6"/>
  <c r="OLK30" i="6"/>
  <c r="OLJ30" i="6"/>
  <c r="OLI30" i="6"/>
  <c r="OLH30" i="6"/>
  <c r="OLG30" i="6"/>
  <c r="OLF30" i="6"/>
  <c r="OLE30" i="6"/>
  <c r="OLD30" i="6"/>
  <c r="OLC30" i="6"/>
  <c r="OLB30" i="6"/>
  <c r="OLA30" i="6"/>
  <c r="OKZ30" i="6"/>
  <c r="OKY30" i="6"/>
  <c r="OKX30" i="6"/>
  <c r="OKW30" i="6"/>
  <c r="OKV30" i="6"/>
  <c r="OKU30" i="6"/>
  <c r="OKT30" i="6"/>
  <c r="OKS30" i="6"/>
  <c r="OKR30" i="6"/>
  <c r="OKQ30" i="6"/>
  <c r="OKP30" i="6"/>
  <c r="OKO30" i="6"/>
  <c r="OKN30" i="6"/>
  <c r="OKM30" i="6"/>
  <c r="OKL30" i="6"/>
  <c r="OKK30" i="6"/>
  <c r="OKJ30" i="6"/>
  <c r="OKI30" i="6"/>
  <c r="OKH30" i="6"/>
  <c r="OKG30" i="6"/>
  <c r="OKF30" i="6"/>
  <c r="OKE30" i="6"/>
  <c r="OKD30" i="6"/>
  <c r="OKC30" i="6"/>
  <c r="OKB30" i="6"/>
  <c r="OKA30" i="6"/>
  <c r="OJZ30" i="6"/>
  <c r="OJY30" i="6"/>
  <c r="OJX30" i="6"/>
  <c r="OJW30" i="6"/>
  <c r="OJV30" i="6"/>
  <c r="OJU30" i="6"/>
  <c r="OJT30" i="6"/>
  <c r="OJS30" i="6"/>
  <c r="OJR30" i="6"/>
  <c r="OJQ30" i="6"/>
  <c r="OJP30" i="6"/>
  <c r="OJO30" i="6"/>
  <c r="OJN30" i="6"/>
  <c r="OJM30" i="6"/>
  <c r="OJL30" i="6"/>
  <c r="OJK30" i="6"/>
  <c r="OJJ30" i="6"/>
  <c r="OJI30" i="6"/>
  <c r="OJH30" i="6"/>
  <c r="OJG30" i="6"/>
  <c r="OJF30" i="6"/>
  <c r="OJE30" i="6"/>
  <c r="OJD30" i="6"/>
  <c r="OJC30" i="6"/>
  <c r="OJB30" i="6"/>
  <c r="OJA30" i="6"/>
  <c r="OIZ30" i="6"/>
  <c r="OIY30" i="6"/>
  <c r="OIX30" i="6"/>
  <c r="OIW30" i="6"/>
  <c r="OIV30" i="6"/>
  <c r="OIU30" i="6"/>
  <c r="OIT30" i="6"/>
  <c r="OIS30" i="6"/>
  <c r="OIR30" i="6"/>
  <c r="OIQ30" i="6"/>
  <c r="OIP30" i="6"/>
  <c r="OIO30" i="6"/>
  <c r="OIN30" i="6"/>
  <c r="OIM30" i="6"/>
  <c r="OIL30" i="6"/>
  <c r="OIK30" i="6"/>
  <c r="OIJ30" i="6"/>
  <c r="OII30" i="6"/>
  <c r="OIH30" i="6"/>
  <c r="OIG30" i="6"/>
  <c r="OIF30" i="6"/>
  <c r="OIE30" i="6"/>
  <c r="OID30" i="6"/>
  <c r="OIC30" i="6"/>
  <c r="OIB30" i="6"/>
  <c r="OIA30" i="6"/>
  <c r="OHZ30" i="6"/>
  <c r="OHY30" i="6"/>
  <c r="OHX30" i="6"/>
  <c r="OHW30" i="6"/>
  <c r="OHV30" i="6"/>
  <c r="OHU30" i="6"/>
  <c r="OHT30" i="6"/>
  <c r="OHS30" i="6"/>
  <c r="OHR30" i="6"/>
  <c r="OHQ30" i="6"/>
  <c r="OHP30" i="6"/>
  <c r="OHO30" i="6"/>
  <c r="OHN30" i="6"/>
  <c r="OHM30" i="6"/>
  <c r="OHL30" i="6"/>
  <c r="OHK30" i="6"/>
  <c r="OHJ30" i="6"/>
  <c r="OHI30" i="6"/>
  <c r="OHH30" i="6"/>
  <c r="OHG30" i="6"/>
  <c r="OHF30" i="6"/>
  <c r="OHE30" i="6"/>
  <c r="OHD30" i="6"/>
  <c r="OHC30" i="6"/>
  <c r="OHB30" i="6"/>
  <c r="OHA30" i="6"/>
  <c r="OGZ30" i="6"/>
  <c r="OGY30" i="6"/>
  <c r="OGX30" i="6"/>
  <c r="OGW30" i="6"/>
  <c r="OGV30" i="6"/>
  <c r="OGU30" i="6"/>
  <c r="OGT30" i="6"/>
  <c r="OGS30" i="6"/>
  <c r="OGR30" i="6"/>
  <c r="OGQ30" i="6"/>
  <c r="OGP30" i="6"/>
  <c r="OGO30" i="6"/>
  <c r="OGN30" i="6"/>
  <c r="OGM30" i="6"/>
  <c r="OGL30" i="6"/>
  <c r="OGK30" i="6"/>
  <c r="OGJ30" i="6"/>
  <c r="OGI30" i="6"/>
  <c r="OGH30" i="6"/>
  <c r="OGG30" i="6"/>
  <c r="OGF30" i="6"/>
  <c r="OGE30" i="6"/>
  <c r="OGD30" i="6"/>
  <c r="OGC30" i="6"/>
  <c r="OGB30" i="6"/>
  <c r="OGA30" i="6"/>
  <c r="OFZ30" i="6"/>
  <c r="OFY30" i="6"/>
  <c r="OFX30" i="6"/>
  <c r="OFW30" i="6"/>
  <c r="OFV30" i="6"/>
  <c r="OFU30" i="6"/>
  <c r="OFT30" i="6"/>
  <c r="OFS30" i="6"/>
  <c r="OFR30" i="6"/>
  <c r="OFQ30" i="6"/>
  <c r="OFP30" i="6"/>
  <c r="OFO30" i="6"/>
  <c r="OFN30" i="6"/>
  <c r="OFM30" i="6"/>
  <c r="OFL30" i="6"/>
  <c r="OFK30" i="6"/>
  <c r="OFJ30" i="6"/>
  <c r="OFI30" i="6"/>
  <c r="OFH30" i="6"/>
  <c r="OFG30" i="6"/>
  <c r="OFF30" i="6"/>
  <c r="OFE30" i="6"/>
  <c r="OFD30" i="6"/>
  <c r="OFC30" i="6"/>
  <c r="OFB30" i="6"/>
  <c r="OFA30" i="6"/>
  <c r="OEZ30" i="6"/>
  <c r="OEY30" i="6"/>
  <c r="OEX30" i="6"/>
  <c r="OEW30" i="6"/>
  <c r="OEV30" i="6"/>
  <c r="OEU30" i="6"/>
  <c r="OET30" i="6"/>
  <c r="OES30" i="6"/>
  <c r="OER30" i="6"/>
  <c r="OEQ30" i="6"/>
  <c r="OEP30" i="6"/>
  <c r="OEO30" i="6"/>
  <c r="OEN30" i="6"/>
  <c r="OEM30" i="6"/>
  <c r="OEL30" i="6"/>
  <c r="OEK30" i="6"/>
  <c r="OEJ30" i="6"/>
  <c r="OEI30" i="6"/>
  <c r="OEH30" i="6"/>
  <c r="OEG30" i="6"/>
  <c r="OEF30" i="6"/>
  <c r="OEE30" i="6"/>
  <c r="OED30" i="6"/>
  <c r="OEC30" i="6"/>
  <c r="OEB30" i="6"/>
  <c r="OEA30" i="6"/>
  <c r="ODZ30" i="6"/>
  <c r="ODY30" i="6"/>
  <c r="ODX30" i="6"/>
  <c r="ODW30" i="6"/>
  <c r="ODV30" i="6"/>
  <c r="ODU30" i="6"/>
  <c r="ODT30" i="6"/>
  <c r="ODS30" i="6"/>
  <c r="ODR30" i="6"/>
  <c r="ODQ30" i="6"/>
  <c r="ODP30" i="6"/>
  <c r="ODO30" i="6"/>
  <c r="ODN30" i="6"/>
  <c r="ODM30" i="6"/>
  <c r="ODL30" i="6"/>
  <c r="ODK30" i="6"/>
  <c r="ODJ30" i="6"/>
  <c r="ODI30" i="6"/>
  <c r="ODH30" i="6"/>
  <c r="ODG30" i="6"/>
  <c r="ODF30" i="6"/>
  <c r="ODE30" i="6"/>
  <c r="ODD30" i="6"/>
  <c r="ODC30" i="6"/>
  <c r="ODB30" i="6"/>
  <c r="ODA30" i="6"/>
  <c r="OCZ30" i="6"/>
  <c r="OCY30" i="6"/>
  <c r="OCX30" i="6"/>
  <c r="OCW30" i="6"/>
  <c r="OCV30" i="6"/>
  <c r="OCU30" i="6"/>
  <c r="OCT30" i="6"/>
  <c r="OCS30" i="6"/>
  <c r="OCR30" i="6"/>
  <c r="OCQ30" i="6"/>
  <c r="OCP30" i="6"/>
  <c r="OCO30" i="6"/>
  <c r="OCN30" i="6"/>
  <c r="OCM30" i="6"/>
  <c r="OCL30" i="6"/>
  <c r="OCK30" i="6"/>
  <c r="OCJ30" i="6"/>
  <c r="OCI30" i="6"/>
  <c r="OCH30" i="6"/>
  <c r="OCG30" i="6"/>
  <c r="OCF30" i="6"/>
  <c r="OCE30" i="6"/>
  <c r="OCD30" i="6"/>
  <c r="OCC30" i="6"/>
  <c r="OCB30" i="6"/>
  <c r="OCA30" i="6"/>
  <c r="OBZ30" i="6"/>
  <c r="OBY30" i="6"/>
  <c r="OBX30" i="6"/>
  <c r="OBW30" i="6"/>
  <c r="OBV30" i="6"/>
  <c r="OBU30" i="6"/>
  <c r="OBT30" i="6"/>
  <c r="OBS30" i="6"/>
  <c r="OBR30" i="6"/>
  <c r="OBQ30" i="6"/>
  <c r="OBP30" i="6"/>
  <c r="OBO30" i="6"/>
  <c r="OBN30" i="6"/>
  <c r="OBM30" i="6"/>
  <c r="OBL30" i="6"/>
  <c r="OBK30" i="6"/>
  <c r="OBJ30" i="6"/>
  <c r="OBI30" i="6"/>
  <c r="OBH30" i="6"/>
  <c r="OBG30" i="6"/>
  <c r="OBF30" i="6"/>
  <c r="OBE30" i="6"/>
  <c r="OBD30" i="6"/>
  <c r="OBC30" i="6"/>
  <c r="OBB30" i="6"/>
  <c r="OBA30" i="6"/>
  <c r="OAZ30" i="6"/>
  <c r="OAY30" i="6"/>
  <c r="OAX30" i="6"/>
  <c r="OAW30" i="6"/>
  <c r="OAV30" i="6"/>
  <c r="OAU30" i="6"/>
  <c r="OAT30" i="6"/>
  <c r="OAS30" i="6"/>
  <c r="OAR30" i="6"/>
  <c r="OAQ30" i="6"/>
  <c r="OAP30" i="6"/>
  <c r="OAO30" i="6"/>
  <c r="OAN30" i="6"/>
  <c r="OAM30" i="6"/>
  <c r="OAL30" i="6"/>
  <c r="OAK30" i="6"/>
  <c r="OAJ30" i="6"/>
  <c r="OAI30" i="6"/>
  <c r="OAH30" i="6"/>
  <c r="OAG30" i="6"/>
  <c r="OAF30" i="6"/>
  <c r="OAE30" i="6"/>
  <c r="OAD30" i="6"/>
  <c r="OAC30" i="6"/>
  <c r="OAB30" i="6"/>
  <c r="OAA30" i="6"/>
  <c r="NZZ30" i="6"/>
  <c r="NZY30" i="6"/>
  <c r="NZX30" i="6"/>
  <c r="NZW30" i="6"/>
  <c r="NZV30" i="6"/>
  <c r="NZU30" i="6"/>
  <c r="NZT30" i="6"/>
  <c r="NZS30" i="6"/>
  <c r="NZR30" i="6"/>
  <c r="NZQ30" i="6"/>
  <c r="NZP30" i="6"/>
  <c r="NZO30" i="6"/>
  <c r="NZN30" i="6"/>
  <c r="NZM30" i="6"/>
  <c r="NZL30" i="6"/>
  <c r="NZK30" i="6"/>
  <c r="NZJ30" i="6"/>
  <c r="NZI30" i="6"/>
  <c r="NZH30" i="6"/>
  <c r="NZG30" i="6"/>
  <c r="NZF30" i="6"/>
  <c r="NZE30" i="6"/>
  <c r="NZD30" i="6"/>
  <c r="NZC30" i="6"/>
  <c r="NZB30" i="6"/>
  <c r="NZA30" i="6"/>
  <c r="NYZ30" i="6"/>
  <c r="NYY30" i="6"/>
  <c r="NYX30" i="6"/>
  <c r="NYW30" i="6"/>
  <c r="NYV30" i="6"/>
  <c r="NYU30" i="6"/>
  <c r="NYT30" i="6"/>
  <c r="NYS30" i="6"/>
  <c r="NYR30" i="6"/>
  <c r="NYQ30" i="6"/>
  <c r="NYP30" i="6"/>
  <c r="NYO30" i="6"/>
  <c r="NYN30" i="6"/>
  <c r="NYM30" i="6"/>
  <c r="NYL30" i="6"/>
  <c r="NYK30" i="6"/>
  <c r="NYJ30" i="6"/>
  <c r="NYI30" i="6"/>
  <c r="NYH30" i="6"/>
  <c r="NYG30" i="6"/>
  <c r="NYF30" i="6"/>
  <c r="NYE30" i="6"/>
  <c r="NYD30" i="6"/>
  <c r="NYC30" i="6"/>
  <c r="NYB30" i="6"/>
  <c r="NYA30" i="6"/>
  <c r="NXZ30" i="6"/>
  <c r="NXY30" i="6"/>
  <c r="NXX30" i="6"/>
  <c r="NXW30" i="6"/>
  <c r="NXV30" i="6"/>
  <c r="NXU30" i="6"/>
  <c r="NXT30" i="6"/>
  <c r="NXS30" i="6"/>
  <c r="NXR30" i="6"/>
  <c r="NXQ30" i="6"/>
  <c r="NXP30" i="6"/>
  <c r="NXO30" i="6"/>
  <c r="NXN30" i="6"/>
  <c r="NXM30" i="6"/>
  <c r="NXL30" i="6"/>
  <c r="NXK30" i="6"/>
  <c r="NXJ30" i="6"/>
  <c r="NXI30" i="6"/>
  <c r="NXH30" i="6"/>
  <c r="NXG30" i="6"/>
  <c r="NXF30" i="6"/>
  <c r="NXE30" i="6"/>
  <c r="NXD30" i="6"/>
  <c r="NXC30" i="6"/>
  <c r="NXB30" i="6"/>
  <c r="NXA30" i="6"/>
  <c r="NWZ30" i="6"/>
  <c r="NWY30" i="6"/>
  <c r="NWX30" i="6"/>
  <c r="NWW30" i="6"/>
  <c r="NWV30" i="6"/>
  <c r="NWU30" i="6"/>
  <c r="NWT30" i="6"/>
  <c r="NWS30" i="6"/>
  <c r="NWR30" i="6"/>
  <c r="NWQ30" i="6"/>
  <c r="NWP30" i="6"/>
  <c r="NWO30" i="6"/>
  <c r="NWN30" i="6"/>
  <c r="NWM30" i="6"/>
  <c r="NWL30" i="6"/>
  <c r="NWK30" i="6"/>
  <c r="NWJ30" i="6"/>
  <c r="NWI30" i="6"/>
  <c r="NWH30" i="6"/>
  <c r="NWG30" i="6"/>
  <c r="NWF30" i="6"/>
  <c r="NWE30" i="6"/>
  <c r="NWD30" i="6"/>
  <c r="NWC30" i="6"/>
  <c r="NWB30" i="6"/>
  <c r="NWA30" i="6"/>
  <c r="NVZ30" i="6"/>
  <c r="NVY30" i="6"/>
  <c r="NVX30" i="6"/>
  <c r="NVW30" i="6"/>
  <c r="NVV30" i="6"/>
  <c r="NVU30" i="6"/>
  <c r="NVT30" i="6"/>
  <c r="NVS30" i="6"/>
  <c r="NVR30" i="6"/>
  <c r="NVQ30" i="6"/>
  <c r="NVP30" i="6"/>
  <c r="NVO30" i="6"/>
  <c r="NVN30" i="6"/>
  <c r="NVM30" i="6"/>
  <c r="NVL30" i="6"/>
  <c r="NVK30" i="6"/>
  <c r="NVJ30" i="6"/>
  <c r="NVI30" i="6"/>
  <c r="NVH30" i="6"/>
  <c r="NVG30" i="6"/>
  <c r="NVF30" i="6"/>
  <c r="NVE30" i="6"/>
  <c r="NVD30" i="6"/>
  <c r="NVC30" i="6"/>
  <c r="NVB30" i="6"/>
  <c r="NVA30" i="6"/>
  <c r="NUZ30" i="6"/>
  <c r="NUY30" i="6"/>
  <c r="NUX30" i="6"/>
  <c r="NUW30" i="6"/>
  <c r="NUV30" i="6"/>
  <c r="NUU30" i="6"/>
  <c r="NUT30" i="6"/>
  <c r="NUS30" i="6"/>
  <c r="NUR30" i="6"/>
  <c r="NUQ30" i="6"/>
  <c r="NUP30" i="6"/>
  <c r="NUO30" i="6"/>
  <c r="NUN30" i="6"/>
  <c r="NUM30" i="6"/>
  <c r="NUL30" i="6"/>
  <c r="NUK30" i="6"/>
  <c r="NUJ30" i="6"/>
  <c r="NUI30" i="6"/>
  <c r="NUH30" i="6"/>
  <c r="NUG30" i="6"/>
  <c r="NUF30" i="6"/>
  <c r="NUE30" i="6"/>
  <c r="NUD30" i="6"/>
  <c r="NUC30" i="6"/>
  <c r="NUB30" i="6"/>
  <c r="NUA30" i="6"/>
  <c r="NTZ30" i="6"/>
  <c r="NTY30" i="6"/>
  <c r="NTX30" i="6"/>
  <c r="NTW30" i="6"/>
  <c r="NTV30" i="6"/>
  <c r="NTU30" i="6"/>
  <c r="NTT30" i="6"/>
  <c r="NTS30" i="6"/>
  <c r="NTR30" i="6"/>
  <c r="NTQ30" i="6"/>
  <c r="NTP30" i="6"/>
  <c r="NTO30" i="6"/>
  <c r="NTN30" i="6"/>
  <c r="NTM30" i="6"/>
  <c r="NTL30" i="6"/>
  <c r="NTK30" i="6"/>
  <c r="NTJ30" i="6"/>
  <c r="NTI30" i="6"/>
  <c r="NTH30" i="6"/>
  <c r="NTG30" i="6"/>
  <c r="NTF30" i="6"/>
  <c r="NTE30" i="6"/>
  <c r="NTD30" i="6"/>
  <c r="NTC30" i="6"/>
  <c r="NTB30" i="6"/>
  <c r="NTA30" i="6"/>
  <c r="NSZ30" i="6"/>
  <c r="NSY30" i="6"/>
  <c r="NSX30" i="6"/>
  <c r="NSW30" i="6"/>
  <c r="NSV30" i="6"/>
  <c r="NSU30" i="6"/>
  <c r="NST30" i="6"/>
  <c r="NSS30" i="6"/>
  <c r="NSR30" i="6"/>
  <c r="NSQ30" i="6"/>
  <c r="NSP30" i="6"/>
  <c r="NSO30" i="6"/>
  <c r="NSN30" i="6"/>
  <c r="NSM30" i="6"/>
  <c r="NSL30" i="6"/>
  <c r="NSK30" i="6"/>
  <c r="NSJ30" i="6"/>
  <c r="NSI30" i="6"/>
  <c r="NSH30" i="6"/>
  <c r="NSG30" i="6"/>
  <c r="NSF30" i="6"/>
  <c r="NSE30" i="6"/>
  <c r="NSD30" i="6"/>
  <c r="NSC30" i="6"/>
  <c r="NSB30" i="6"/>
  <c r="NSA30" i="6"/>
  <c r="NRZ30" i="6"/>
  <c r="NRY30" i="6"/>
  <c r="NRX30" i="6"/>
  <c r="NRW30" i="6"/>
  <c r="NRV30" i="6"/>
  <c r="NRU30" i="6"/>
  <c r="NRT30" i="6"/>
  <c r="NRS30" i="6"/>
  <c r="NRR30" i="6"/>
  <c r="NRQ30" i="6"/>
  <c r="NRP30" i="6"/>
  <c r="NRO30" i="6"/>
  <c r="NRN30" i="6"/>
  <c r="NRM30" i="6"/>
  <c r="NRL30" i="6"/>
  <c r="NRK30" i="6"/>
  <c r="NRJ30" i="6"/>
  <c r="NRI30" i="6"/>
  <c r="NRH30" i="6"/>
  <c r="NRG30" i="6"/>
  <c r="NRF30" i="6"/>
  <c r="NRE30" i="6"/>
  <c r="NRD30" i="6"/>
  <c r="NRC30" i="6"/>
  <c r="NRB30" i="6"/>
  <c r="NRA30" i="6"/>
  <c r="NQZ30" i="6"/>
  <c r="NQY30" i="6"/>
  <c r="NQX30" i="6"/>
  <c r="NQW30" i="6"/>
  <c r="NQV30" i="6"/>
  <c r="NQU30" i="6"/>
  <c r="NQT30" i="6"/>
  <c r="NQS30" i="6"/>
  <c r="NQR30" i="6"/>
  <c r="NQQ30" i="6"/>
  <c r="NQP30" i="6"/>
  <c r="NQO30" i="6"/>
  <c r="NQN30" i="6"/>
  <c r="NQM30" i="6"/>
  <c r="NQL30" i="6"/>
  <c r="NQK30" i="6"/>
  <c r="NQJ30" i="6"/>
  <c r="NQI30" i="6"/>
  <c r="NQH30" i="6"/>
  <c r="NQG30" i="6"/>
  <c r="NQF30" i="6"/>
  <c r="NQE30" i="6"/>
  <c r="NQD30" i="6"/>
  <c r="NQC30" i="6"/>
  <c r="NQB30" i="6"/>
  <c r="NQA30" i="6"/>
  <c r="NPZ30" i="6"/>
  <c r="NPY30" i="6"/>
  <c r="NPX30" i="6"/>
  <c r="NPW30" i="6"/>
  <c r="NPV30" i="6"/>
  <c r="NPU30" i="6"/>
  <c r="NPT30" i="6"/>
  <c r="NPS30" i="6"/>
  <c r="NPR30" i="6"/>
  <c r="NPQ30" i="6"/>
  <c r="NPP30" i="6"/>
  <c r="NPO30" i="6"/>
  <c r="NPN30" i="6"/>
  <c r="NPM30" i="6"/>
  <c r="NPL30" i="6"/>
  <c r="NPK30" i="6"/>
  <c r="NPJ30" i="6"/>
  <c r="NPI30" i="6"/>
  <c r="NPH30" i="6"/>
  <c r="NPG30" i="6"/>
  <c r="NPF30" i="6"/>
  <c r="NPE30" i="6"/>
  <c r="NPD30" i="6"/>
  <c r="NPC30" i="6"/>
  <c r="NPB30" i="6"/>
  <c r="NPA30" i="6"/>
  <c r="NOZ30" i="6"/>
  <c r="NOY30" i="6"/>
  <c r="NOX30" i="6"/>
  <c r="NOW30" i="6"/>
  <c r="NOV30" i="6"/>
  <c r="NOU30" i="6"/>
  <c r="NOT30" i="6"/>
  <c r="NOS30" i="6"/>
  <c r="NOR30" i="6"/>
  <c r="NOQ30" i="6"/>
  <c r="NOP30" i="6"/>
  <c r="NOO30" i="6"/>
  <c r="NON30" i="6"/>
  <c r="NOM30" i="6"/>
  <c r="NOL30" i="6"/>
  <c r="NOK30" i="6"/>
  <c r="NOJ30" i="6"/>
  <c r="NOI30" i="6"/>
  <c r="NOH30" i="6"/>
  <c r="NOG30" i="6"/>
  <c r="NOF30" i="6"/>
  <c r="NOE30" i="6"/>
  <c r="NOD30" i="6"/>
  <c r="NOC30" i="6"/>
  <c r="NOB30" i="6"/>
  <c r="NOA30" i="6"/>
  <c r="NNZ30" i="6"/>
  <c r="NNY30" i="6"/>
  <c r="NNX30" i="6"/>
  <c r="NNW30" i="6"/>
  <c r="NNV30" i="6"/>
  <c r="NNU30" i="6"/>
  <c r="NNT30" i="6"/>
  <c r="NNS30" i="6"/>
  <c r="NNR30" i="6"/>
  <c r="NNQ30" i="6"/>
  <c r="NNP30" i="6"/>
  <c r="NNO30" i="6"/>
  <c r="NNN30" i="6"/>
  <c r="NNM30" i="6"/>
  <c r="NNL30" i="6"/>
  <c r="NNK30" i="6"/>
  <c r="NNJ30" i="6"/>
  <c r="NNI30" i="6"/>
  <c r="NNH30" i="6"/>
  <c r="NNG30" i="6"/>
  <c r="NNF30" i="6"/>
  <c r="NNE30" i="6"/>
  <c r="NND30" i="6"/>
  <c r="NNC30" i="6"/>
  <c r="NNB30" i="6"/>
  <c r="NNA30" i="6"/>
  <c r="NMZ30" i="6"/>
  <c r="NMY30" i="6"/>
  <c r="NMX30" i="6"/>
  <c r="NMW30" i="6"/>
  <c r="NMV30" i="6"/>
  <c r="NMU30" i="6"/>
  <c r="NMT30" i="6"/>
  <c r="NMS30" i="6"/>
  <c r="NMR30" i="6"/>
  <c r="NMQ30" i="6"/>
  <c r="NMP30" i="6"/>
  <c r="NMO30" i="6"/>
  <c r="NMN30" i="6"/>
  <c r="NMM30" i="6"/>
  <c r="NML30" i="6"/>
  <c r="NMK30" i="6"/>
  <c r="NMJ30" i="6"/>
  <c r="NMI30" i="6"/>
  <c r="NMH30" i="6"/>
  <c r="NMG30" i="6"/>
  <c r="NMF30" i="6"/>
  <c r="NME30" i="6"/>
  <c r="NMD30" i="6"/>
  <c r="NMC30" i="6"/>
  <c r="NMB30" i="6"/>
  <c r="NMA30" i="6"/>
  <c r="NLZ30" i="6"/>
  <c r="NLY30" i="6"/>
  <c r="NLX30" i="6"/>
  <c r="NLW30" i="6"/>
  <c r="NLV30" i="6"/>
  <c r="NLU30" i="6"/>
  <c r="NLT30" i="6"/>
  <c r="NLS30" i="6"/>
  <c r="NLR30" i="6"/>
  <c r="NLQ30" i="6"/>
  <c r="NLP30" i="6"/>
  <c r="NLO30" i="6"/>
  <c r="NLN30" i="6"/>
  <c r="NLM30" i="6"/>
  <c r="NLL30" i="6"/>
  <c r="NLK30" i="6"/>
  <c r="NLJ30" i="6"/>
  <c r="NLI30" i="6"/>
  <c r="NLH30" i="6"/>
  <c r="NLG30" i="6"/>
  <c r="NLF30" i="6"/>
  <c r="NLE30" i="6"/>
  <c r="NLD30" i="6"/>
  <c r="NLC30" i="6"/>
  <c r="NLB30" i="6"/>
  <c r="NLA30" i="6"/>
  <c r="NKZ30" i="6"/>
  <c r="NKY30" i="6"/>
  <c r="NKX30" i="6"/>
  <c r="NKW30" i="6"/>
  <c r="NKV30" i="6"/>
  <c r="NKU30" i="6"/>
  <c r="NKT30" i="6"/>
  <c r="NKS30" i="6"/>
  <c r="NKR30" i="6"/>
  <c r="NKQ30" i="6"/>
  <c r="NKP30" i="6"/>
  <c r="NKO30" i="6"/>
  <c r="NKN30" i="6"/>
  <c r="NKM30" i="6"/>
  <c r="NKL30" i="6"/>
  <c r="NKK30" i="6"/>
  <c r="NKJ30" i="6"/>
  <c r="NKI30" i="6"/>
  <c r="NKH30" i="6"/>
  <c r="NKG30" i="6"/>
  <c r="NKF30" i="6"/>
  <c r="NKE30" i="6"/>
  <c r="NKD30" i="6"/>
  <c r="NKC30" i="6"/>
  <c r="NKB30" i="6"/>
  <c r="NKA30" i="6"/>
  <c r="NJZ30" i="6"/>
  <c r="NJY30" i="6"/>
  <c r="NJX30" i="6"/>
  <c r="NJW30" i="6"/>
  <c r="NJV30" i="6"/>
  <c r="NJU30" i="6"/>
  <c r="NJT30" i="6"/>
  <c r="NJS30" i="6"/>
  <c r="NJR30" i="6"/>
  <c r="NJQ30" i="6"/>
  <c r="NJP30" i="6"/>
  <c r="NJO30" i="6"/>
  <c r="NJN30" i="6"/>
  <c r="NJM30" i="6"/>
  <c r="NJL30" i="6"/>
  <c r="NJK30" i="6"/>
  <c r="NJJ30" i="6"/>
  <c r="NJI30" i="6"/>
  <c r="NJH30" i="6"/>
  <c r="NJG30" i="6"/>
  <c r="NJF30" i="6"/>
  <c r="NJE30" i="6"/>
  <c r="NJD30" i="6"/>
  <c r="NJC30" i="6"/>
  <c r="NJB30" i="6"/>
  <c r="NJA30" i="6"/>
  <c r="NIZ30" i="6"/>
  <c r="NIY30" i="6"/>
  <c r="NIX30" i="6"/>
  <c r="NIW30" i="6"/>
  <c r="NIV30" i="6"/>
  <c r="NIU30" i="6"/>
  <c r="NIT30" i="6"/>
  <c r="NIS30" i="6"/>
  <c r="NIR30" i="6"/>
  <c r="NIQ30" i="6"/>
  <c r="NIP30" i="6"/>
  <c r="NIO30" i="6"/>
  <c r="NIN30" i="6"/>
  <c r="NIM30" i="6"/>
  <c r="NIL30" i="6"/>
  <c r="NIK30" i="6"/>
  <c r="NIJ30" i="6"/>
  <c r="NII30" i="6"/>
  <c r="NIH30" i="6"/>
  <c r="NIG30" i="6"/>
  <c r="NIF30" i="6"/>
  <c r="NIE30" i="6"/>
  <c r="NID30" i="6"/>
  <c r="NIC30" i="6"/>
  <c r="NIB30" i="6"/>
  <c r="NIA30" i="6"/>
  <c r="NHZ30" i="6"/>
  <c r="NHY30" i="6"/>
  <c r="NHX30" i="6"/>
  <c r="NHW30" i="6"/>
  <c r="NHV30" i="6"/>
  <c r="NHU30" i="6"/>
  <c r="NHT30" i="6"/>
  <c r="NHS30" i="6"/>
  <c r="NHR30" i="6"/>
  <c r="NHQ30" i="6"/>
  <c r="NHP30" i="6"/>
  <c r="NHO30" i="6"/>
  <c r="NHN30" i="6"/>
  <c r="NHM30" i="6"/>
  <c r="NHL30" i="6"/>
  <c r="NHK30" i="6"/>
  <c r="NHJ30" i="6"/>
  <c r="NHI30" i="6"/>
  <c r="NHH30" i="6"/>
  <c r="NHG30" i="6"/>
  <c r="NHF30" i="6"/>
  <c r="NHE30" i="6"/>
  <c r="NHD30" i="6"/>
  <c r="NHC30" i="6"/>
  <c r="NHB30" i="6"/>
  <c r="NHA30" i="6"/>
  <c r="NGZ30" i="6"/>
  <c r="NGY30" i="6"/>
  <c r="NGX30" i="6"/>
  <c r="NGW30" i="6"/>
  <c r="NGV30" i="6"/>
  <c r="NGU30" i="6"/>
  <c r="NGT30" i="6"/>
  <c r="NGS30" i="6"/>
  <c r="NGR30" i="6"/>
  <c r="NGQ30" i="6"/>
  <c r="NGP30" i="6"/>
  <c r="NGO30" i="6"/>
  <c r="NGN30" i="6"/>
  <c r="NGM30" i="6"/>
  <c r="NGL30" i="6"/>
  <c r="NGK30" i="6"/>
  <c r="NGJ30" i="6"/>
  <c r="NGI30" i="6"/>
  <c r="NGH30" i="6"/>
  <c r="NGG30" i="6"/>
  <c r="NGF30" i="6"/>
  <c r="NGE30" i="6"/>
  <c r="NGD30" i="6"/>
  <c r="NGC30" i="6"/>
  <c r="NGB30" i="6"/>
  <c r="NGA30" i="6"/>
  <c r="NFZ30" i="6"/>
  <c r="NFY30" i="6"/>
  <c r="NFX30" i="6"/>
  <c r="NFW30" i="6"/>
  <c r="NFV30" i="6"/>
  <c r="NFU30" i="6"/>
  <c r="NFT30" i="6"/>
  <c r="NFS30" i="6"/>
  <c r="NFR30" i="6"/>
  <c r="NFQ30" i="6"/>
  <c r="NFP30" i="6"/>
  <c r="NFO30" i="6"/>
  <c r="NFN30" i="6"/>
  <c r="NFM30" i="6"/>
  <c r="NFL30" i="6"/>
  <c r="NFK30" i="6"/>
  <c r="NFJ30" i="6"/>
  <c r="NFI30" i="6"/>
  <c r="NFH30" i="6"/>
  <c r="NFG30" i="6"/>
  <c r="NFF30" i="6"/>
  <c r="NFE30" i="6"/>
  <c r="NFD30" i="6"/>
  <c r="NFC30" i="6"/>
  <c r="NFB30" i="6"/>
  <c r="NFA30" i="6"/>
  <c r="NEZ30" i="6"/>
  <c r="NEY30" i="6"/>
  <c r="NEX30" i="6"/>
  <c r="NEW30" i="6"/>
  <c r="NEV30" i="6"/>
  <c r="NEU30" i="6"/>
  <c r="NET30" i="6"/>
  <c r="NES30" i="6"/>
  <c r="NER30" i="6"/>
  <c r="NEQ30" i="6"/>
  <c r="NEP30" i="6"/>
  <c r="NEO30" i="6"/>
  <c r="NEN30" i="6"/>
  <c r="NEM30" i="6"/>
  <c r="NEL30" i="6"/>
  <c r="NEK30" i="6"/>
  <c r="NEJ30" i="6"/>
  <c r="NEI30" i="6"/>
  <c r="NEH30" i="6"/>
  <c r="NEG30" i="6"/>
  <c r="NEF30" i="6"/>
  <c r="NEE30" i="6"/>
  <c r="NED30" i="6"/>
  <c r="NEC30" i="6"/>
  <c r="NEB30" i="6"/>
  <c r="NEA30" i="6"/>
  <c r="NDZ30" i="6"/>
  <c r="NDY30" i="6"/>
  <c r="NDX30" i="6"/>
  <c r="NDW30" i="6"/>
  <c r="NDV30" i="6"/>
  <c r="NDU30" i="6"/>
  <c r="NDT30" i="6"/>
  <c r="NDS30" i="6"/>
  <c r="NDR30" i="6"/>
  <c r="NDQ30" i="6"/>
  <c r="NDP30" i="6"/>
  <c r="NDO30" i="6"/>
  <c r="NDN30" i="6"/>
  <c r="NDM30" i="6"/>
  <c r="NDL30" i="6"/>
  <c r="NDK30" i="6"/>
  <c r="NDJ30" i="6"/>
  <c r="NDI30" i="6"/>
  <c r="NDH30" i="6"/>
  <c r="NDG30" i="6"/>
  <c r="NDF30" i="6"/>
  <c r="NDE30" i="6"/>
  <c r="NDD30" i="6"/>
  <c r="NDC30" i="6"/>
  <c r="NDB30" i="6"/>
  <c r="NDA30" i="6"/>
  <c r="NCZ30" i="6"/>
  <c r="NCY30" i="6"/>
  <c r="NCX30" i="6"/>
  <c r="NCW30" i="6"/>
  <c r="NCV30" i="6"/>
  <c r="NCU30" i="6"/>
  <c r="NCT30" i="6"/>
  <c r="NCS30" i="6"/>
  <c r="NCR30" i="6"/>
  <c r="NCQ30" i="6"/>
  <c r="NCP30" i="6"/>
  <c r="NCO30" i="6"/>
  <c r="NCN30" i="6"/>
  <c r="NCM30" i="6"/>
  <c r="NCL30" i="6"/>
  <c r="NCK30" i="6"/>
  <c r="NCJ30" i="6"/>
  <c r="NCI30" i="6"/>
  <c r="NCH30" i="6"/>
  <c r="NCG30" i="6"/>
  <c r="NCF30" i="6"/>
  <c r="NCE30" i="6"/>
  <c r="NCD30" i="6"/>
  <c r="NCC30" i="6"/>
  <c r="NCB30" i="6"/>
  <c r="NCA30" i="6"/>
  <c r="NBZ30" i="6"/>
  <c r="NBY30" i="6"/>
  <c r="NBX30" i="6"/>
  <c r="NBW30" i="6"/>
  <c r="NBV30" i="6"/>
  <c r="NBU30" i="6"/>
  <c r="NBT30" i="6"/>
  <c r="NBS30" i="6"/>
  <c r="NBR30" i="6"/>
  <c r="NBQ30" i="6"/>
  <c r="NBP30" i="6"/>
  <c r="NBO30" i="6"/>
  <c r="NBN30" i="6"/>
  <c r="NBM30" i="6"/>
  <c r="NBL30" i="6"/>
  <c r="NBK30" i="6"/>
  <c r="NBJ30" i="6"/>
  <c r="NBI30" i="6"/>
  <c r="NBH30" i="6"/>
  <c r="NBG30" i="6"/>
  <c r="NBF30" i="6"/>
  <c r="NBE30" i="6"/>
  <c r="NBD30" i="6"/>
  <c r="NBC30" i="6"/>
  <c r="NBB30" i="6"/>
  <c r="NBA30" i="6"/>
  <c r="NAZ30" i="6"/>
  <c r="NAY30" i="6"/>
  <c r="NAX30" i="6"/>
  <c r="NAW30" i="6"/>
  <c r="NAV30" i="6"/>
  <c r="NAU30" i="6"/>
  <c r="NAT30" i="6"/>
  <c r="NAS30" i="6"/>
  <c r="NAR30" i="6"/>
  <c r="NAQ30" i="6"/>
  <c r="NAP30" i="6"/>
  <c r="NAO30" i="6"/>
  <c r="NAN30" i="6"/>
  <c r="NAM30" i="6"/>
  <c r="NAL30" i="6"/>
  <c r="NAK30" i="6"/>
  <c r="NAJ30" i="6"/>
  <c r="NAI30" i="6"/>
  <c r="NAH30" i="6"/>
  <c r="NAG30" i="6"/>
  <c r="NAF30" i="6"/>
  <c r="NAE30" i="6"/>
  <c r="NAD30" i="6"/>
  <c r="NAC30" i="6"/>
  <c r="NAB30" i="6"/>
  <c r="NAA30" i="6"/>
  <c r="MZZ30" i="6"/>
  <c r="MZY30" i="6"/>
  <c r="MZX30" i="6"/>
  <c r="MZW30" i="6"/>
  <c r="MZV30" i="6"/>
  <c r="MZU30" i="6"/>
  <c r="MZT30" i="6"/>
  <c r="MZS30" i="6"/>
  <c r="MZR30" i="6"/>
  <c r="MZQ30" i="6"/>
  <c r="MZP30" i="6"/>
  <c r="MZO30" i="6"/>
  <c r="MZN30" i="6"/>
  <c r="MZM30" i="6"/>
  <c r="MZL30" i="6"/>
  <c r="MZK30" i="6"/>
  <c r="MZJ30" i="6"/>
  <c r="MZI30" i="6"/>
  <c r="MZH30" i="6"/>
  <c r="MZG30" i="6"/>
  <c r="MZF30" i="6"/>
  <c r="MZE30" i="6"/>
  <c r="MZD30" i="6"/>
  <c r="MZC30" i="6"/>
  <c r="MZB30" i="6"/>
  <c r="MZA30" i="6"/>
  <c r="MYZ30" i="6"/>
  <c r="MYY30" i="6"/>
  <c r="MYX30" i="6"/>
  <c r="MYW30" i="6"/>
  <c r="MYV30" i="6"/>
  <c r="MYU30" i="6"/>
  <c r="MYT30" i="6"/>
  <c r="MYS30" i="6"/>
  <c r="MYR30" i="6"/>
  <c r="MYQ30" i="6"/>
  <c r="MYP30" i="6"/>
  <c r="MYO30" i="6"/>
  <c r="MYN30" i="6"/>
  <c r="MYM30" i="6"/>
  <c r="MYL30" i="6"/>
  <c r="MYK30" i="6"/>
  <c r="MYJ30" i="6"/>
  <c r="MYI30" i="6"/>
  <c r="MYH30" i="6"/>
  <c r="MYG30" i="6"/>
  <c r="MYF30" i="6"/>
  <c r="MYE30" i="6"/>
  <c r="MYD30" i="6"/>
  <c r="MYC30" i="6"/>
  <c r="MYB30" i="6"/>
  <c r="MYA30" i="6"/>
  <c r="MXZ30" i="6"/>
  <c r="MXY30" i="6"/>
  <c r="MXX30" i="6"/>
  <c r="MXW30" i="6"/>
  <c r="MXV30" i="6"/>
  <c r="MXU30" i="6"/>
  <c r="MXT30" i="6"/>
  <c r="MXS30" i="6"/>
  <c r="MXR30" i="6"/>
  <c r="MXQ30" i="6"/>
  <c r="MXP30" i="6"/>
  <c r="MXO30" i="6"/>
  <c r="MXN30" i="6"/>
  <c r="MXM30" i="6"/>
  <c r="MXL30" i="6"/>
  <c r="MXK30" i="6"/>
  <c r="MXJ30" i="6"/>
  <c r="MXI30" i="6"/>
  <c r="MXH30" i="6"/>
  <c r="MXG30" i="6"/>
  <c r="MXF30" i="6"/>
  <c r="MXE30" i="6"/>
  <c r="MXD30" i="6"/>
  <c r="MXC30" i="6"/>
  <c r="MXB30" i="6"/>
  <c r="MXA30" i="6"/>
  <c r="MWZ30" i="6"/>
  <c r="MWY30" i="6"/>
  <c r="MWX30" i="6"/>
  <c r="MWW30" i="6"/>
  <c r="MWV30" i="6"/>
  <c r="MWU30" i="6"/>
  <c r="MWT30" i="6"/>
  <c r="MWS30" i="6"/>
  <c r="MWR30" i="6"/>
  <c r="MWQ30" i="6"/>
  <c r="MWP30" i="6"/>
  <c r="MWO30" i="6"/>
  <c r="MWN30" i="6"/>
  <c r="MWM30" i="6"/>
  <c r="MWL30" i="6"/>
  <c r="MWK30" i="6"/>
  <c r="MWJ30" i="6"/>
  <c r="MWI30" i="6"/>
  <c r="MWH30" i="6"/>
  <c r="MWG30" i="6"/>
  <c r="MWF30" i="6"/>
  <c r="MWE30" i="6"/>
  <c r="MWD30" i="6"/>
  <c r="MWC30" i="6"/>
  <c r="MWB30" i="6"/>
  <c r="MWA30" i="6"/>
  <c r="MVZ30" i="6"/>
  <c r="MVY30" i="6"/>
  <c r="MVX30" i="6"/>
  <c r="MVW30" i="6"/>
  <c r="MVV30" i="6"/>
  <c r="MVU30" i="6"/>
  <c r="MVT30" i="6"/>
  <c r="MVS30" i="6"/>
  <c r="MVR30" i="6"/>
  <c r="MVQ30" i="6"/>
  <c r="MVP30" i="6"/>
  <c r="MVO30" i="6"/>
  <c r="MVN30" i="6"/>
  <c r="MVM30" i="6"/>
  <c r="MVL30" i="6"/>
  <c r="MVK30" i="6"/>
  <c r="MVJ30" i="6"/>
  <c r="MVI30" i="6"/>
  <c r="MVH30" i="6"/>
  <c r="MVG30" i="6"/>
  <c r="MVF30" i="6"/>
  <c r="MVE30" i="6"/>
  <c r="MVD30" i="6"/>
  <c r="MVC30" i="6"/>
  <c r="MVB30" i="6"/>
  <c r="MVA30" i="6"/>
  <c r="MUZ30" i="6"/>
  <c r="MUY30" i="6"/>
  <c r="MUX30" i="6"/>
  <c r="MUW30" i="6"/>
  <c r="MUV30" i="6"/>
  <c r="MUU30" i="6"/>
  <c r="MUT30" i="6"/>
  <c r="MUS30" i="6"/>
  <c r="MUR30" i="6"/>
  <c r="MUQ30" i="6"/>
  <c r="MUP30" i="6"/>
  <c r="MUO30" i="6"/>
  <c r="MUN30" i="6"/>
  <c r="MUM30" i="6"/>
  <c r="MUL30" i="6"/>
  <c r="MUK30" i="6"/>
  <c r="MUJ30" i="6"/>
  <c r="MUI30" i="6"/>
  <c r="MUH30" i="6"/>
  <c r="MUG30" i="6"/>
  <c r="MUF30" i="6"/>
  <c r="MUE30" i="6"/>
  <c r="MUD30" i="6"/>
  <c r="MUC30" i="6"/>
  <c r="MUB30" i="6"/>
  <c r="MUA30" i="6"/>
  <c r="MTZ30" i="6"/>
  <c r="MTY30" i="6"/>
  <c r="MTX30" i="6"/>
  <c r="MTW30" i="6"/>
  <c r="MTV30" i="6"/>
  <c r="MTU30" i="6"/>
  <c r="MTT30" i="6"/>
  <c r="MTS30" i="6"/>
  <c r="MTR30" i="6"/>
  <c r="MTQ30" i="6"/>
  <c r="MTP30" i="6"/>
  <c r="MTO30" i="6"/>
  <c r="MTN30" i="6"/>
  <c r="MTM30" i="6"/>
  <c r="MTL30" i="6"/>
  <c r="MTK30" i="6"/>
  <c r="MTJ30" i="6"/>
  <c r="MTI30" i="6"/>
  <c r="MTH30" i="6"/>
  <c r="MTG30" i="6"/>
  <c r="MTF30" i="6"/>
  <c r="MTE30" i="6"/>
  <c r="MTD30" i="6"/>
  <c r="MTC30" i="6"/>
  <c r="MTB30" i="6"/>
  <c r="MTA30" i="6"/>
  <c r="MSZ30" i="6"/>
  <c r="MSY30" i="6"/>
  <c r="MSX30" i="6"/>
  <c r="MSW30" i="6"/>
  <c r="MSV30" i="6"/>
  <c r="MSU30" i="6"/>
  <c r="MST30" i="6"/>
  <c r="MSS30" i="6"/>
  <c r="MSR30" i="6"/>
  <c r="MSQ30" i="6"/>
  <c r="MSP30" i="6"/>
  <c r="MSO30" i="6"/>
  <c r="MSN30" i="6"/>
  <c r="MSM30" i="6"/>
  <c r="MSL30" i="6"/>
  <c r="MSK30" i="6"/>
  <c r="MSJ30" i="6"/>
  <c r="MSI30" i="6"/>
  <c r="MSH30" i="6"/>
  <c r="MSG30" i="6"/>
  <c r="MSF30" i="6"/>
  <c r="MSE30" i="6"/>
  <c r="MSD30" i="6"/>
  <c r="MSC30" i="6"/>
  <c r="MSB30" i="6"/>
  <c r="MSA30" i="6"/>
  <c r="MRZ30" i="6"/>
  <c r="MRY30" i="6"/>
  <c r="MRX30" i="6"/>
  <c r="MRW30" i="6"/>
  <c r="MRV30" i="6"/>
  <c r="MRU30" i="6"/>
  <c r="MRT30" i="6"/>
  <c r="MRS30" i="6"/>
  <c r="MRR30" i="6"/>
  <c r="MRQ30" i="6"/>
  <c r="MRP30" i="6"/>
  <c r="MRO30" i="6"/>
  <c r="MRN30" i="6"/>
  <c r="MRM30" i="6"/>
  <c r="MRL30" i="6"/>
  <c r="MRK30" i="6"/>
  <c r="MRJ30" i="6"/>
  <c r="MRI30" i="6"/>
  <c r="MRH30" i="6"/>
  <c r="MRG30" i="6"/>
  <c r="MRF30" i="6"/>
  <c r="MRE30" i="6"/>
  <c r="MRD30" i="6"/>
  <c r="MRC30" i="6"/>
  <c r="MRB30" i="6"/>
  <c r="MRA30" i="6"/>
  <c r="MQZ30" i="6"/>
  <c r="MQY30" i="6"/>
  <c r="MQX30" i="6"/>
  <c r="MQW30" i="6"/>
  <c r="MQV30" i="6"/>
  <c r="MQU30" i="6"/>
  <c r="MQT30" i="6"/>
  <c r="MQS30" i="6"/>
  <c r="MQR30" i="6"/>
  <c r="MQQ30" i="6"/>
  <c r="MQP30" i="6"/>
  <c r="MQO30" i="6"/>
  <c r="MQN30" i="6"/>
  <c r="MQM30" i="6"/>
  <c r="MQL30" i="6"/>
  <c r="MQK30" i="6"/>
  <c r="MQJ30" i="6"/>
  <c r="MQI30" i="6"/>
  <c r="MQH30" i="6"/>
  <c r="MQG30" i="6"/>
  <c r="MQF30" i="6"/>
  <c r="MQE30" i="6"/>
  <c r="MQD30" i="6"/>
  <c r="MQC30" i="6"/>
  <c r="MQB30" i="6"/>
  <c r="MQA30" i="6"/>
  <c r="MPZ30" i="6"/>
  <c r="MPY30" i="6"/>
  <c r="MPX30" i="6"/>
  <c r="MPW30" i="6"/>
  <c r="MPV30" i="6"/>
  <c r="MPU30" i="6"/>
  <c r="MPT30" i="6"/>
  <c r="MPS30" i="6"/>
  <c r="MPR30" i="6"/>
  <c r="MPQ30" i="6"/>
  <c r="MPP30" i="6"/>
  <c r="MPO30" i="6"/>
  <c r="MPN30" i="6"/>
  <c r="MPM30" i="6"/>
  <c r="MPL30" i="6"/>
  <c r="MPK30" i="6"/>
  <c r="MPJ30" i="6"/>
  <c r="MPI30" i="6"/>
  <c r="MPH30" i="6"/>
  <c r="MPG30" i="6"/>
  <c r="MPF30" i="6"/>
  <c r="MPE30" i="6"/>
  <c r="MPD30" i="6"/>
  <c r="MPC30" i="6"/>
  <c r="MPB30" i="6"/>
  <c r="MPA30" i="6"/>
  <c r="MOZ30" i="6"/>
  <c r="MOY30" i="6"/>
  <c r="MOX30" i="6"/>
  <c r="MOW30" i="6"/>
  <c r="MOV30" i="6"/>
  <c r="MOU30" i="6"/>
  <c r="MOT30" i="6"/>
  <c r="MOS30" i="6"/>
  <c r="MOR30" i="6"/>
  <c r="MOQ30" i="6"/>
  <c r="MOP30" i="6"/>
  <c r="MOO30" i="6"/>
  <c r="MON30" i="6"/>
  <c r="MOM30" i="6"/>
  <c r="MOL30" i="6"/>
  <c r="MOK30" i="6"/>
  <c r="MOJ30" i="6"/>
  <c r="MOI30" i="6"/>
  <c r="MOH30" i="6"/>
  <c r="MOG30" i="6"/>
  <c r="MOF30" i="6"/>
  <c r="MOE30" i="6"/>
  <c r="MOD30" i="6"/>
  <c r="MOC30" i="6"/>
  <c r="MOB30" i="6"/>
  <c r="MOA30" i="6"/>
  <c r="MNZ30" i="6"/>
  <c r="MNY30" i="6"/>
  <c r="MNX30" i="6"/>
  <c r="MNW30" i="6"/>
  <c r="MNV30" i="6"/>
  <c r="MNU30" i="6"/>
  <c r="MNT30" i="6"/>
  <c r="MNS30" i="6"/>
  <c r="MNR30" i="6"/>
  <c r="MNQ30" i="6"/>
  <c r="MNP30" i="6"/>
  <c r="MNO30" i="6"/>
  <c r="MNN30" i="6"/>
  <c r="MNM30" i="6"/>
  <c r="MNL30" i="6"/>
  <c r="MNK30" i="6"/>
  <c r="MNJ30" i="6"/>
  <c r="MNI30" i="6"/>
  <c r="MNH30" i="6"/>
  <c r="MNG30" i="6"/>
  <c r="MNF30" i="6"/>
  <c r="MNE30" i="6"/>
  <c r="MND30" i="6"/>
  <c r="MNC30" i="6"/>
  <c r="MNB30" i="6"/>
  <c r="MNA30" i="6"/>
  <c r="MMZ30" i="6"/>
  <c r="MMY30" i="6"/>
  <c r="MMX30" i="6"/>
  <c r="MMW30" i="6"/>
  <c r="MMV30" i="6"/>
  <c r="MMU30" i="6"/>
  <c r="MMT30" i="6"/>
  <c r="MMS30" i="6"/>
  <c r="MMR30" i="6"/>
  <c r="MMQ30" i="6"/>
  <c r="MMP30" i="6"/>
  <c r="MMO30" i="6"/>
  <c r="MMN30" i="6"/>
  <c r="MMM30" i="6"/>
  <c r="MML30" i="6"/>
  <c r="MMK30" i="6"/>
  <c r="MMJ30" i="6"/>
  <c r="MMI30" i="6"/>
  <c r="MMH30" i="6"/>
  <c r="MMG30" i="6"/>
  <c r="MMF30" i="6"/>
  <c r="MME30" i="6"/>
  <c r="MMD30" i="6"/>
  <c r="MMC30" i="6"/>
  <c r="MMB30" i="6"/>
  <c r="MMA30" i="6"/>
  <c r="MLZ30" i="6"/>
  <c r="MLY30" i="6"/>
  <c r="MLX30" i="6"/>
  <c r="MLW30" i="6"/>
  <c r="MLV30" i="6"/>
  <c r="MLU30" i="6"/>
  <c r="MLT30" i="6"/>
  <c r="MLS30" i="6"/>
  <c r="MLR30" i="6"/>
  <c r="MLQ30" i="6"/>
  <c r="MLP30" i="6"/>
  <c r="MLO30" i="6"/>
  <c r="MLN30" i="6"/>
  <c r="MLM30" i="6"/>
  <c r="MLL30" i="6"/>
  <c r="MLK30" i="6"/>
  <c r="MLJ30" i="6"/>
  <c r="MLI30" i="6"/>
  <c r="MLH30" i="6"/>
  <c r="MLG30" i="6"/>
  <c r="MLF30" i="6"/>
  <c r="MLE30" i="6"/>
  <c r="MLD30" i="6"/>
  <c r="MLC30" i="6"/>
  <c r="MLB30" i="6"/>
  <c r="MLA30" i="6"/>
  <c r="MKZ30" i="6"/>
  <c r="MKY30" i="6"/>
  <c r="MKX30" i="6"/>
  <c r="MKW30" i="6"/>
  <c r="MKV30" i="6"/>
  <c r="MKU30" i="6"/>
  <c r="MKT30" i="6"/>
  <c r="MKS30" i="6"/>
  <c r="MKR30" i="6"/>
  <c r="MKQ30" i="6"/>
  <c r="MKP30" i="6"/>
  <c r="MKO30" i="6"/>
  <c r="MKN30" i="6"/>
  <c r="MKM30" i="6"/>
  <c r="MKL30" i="6"/>
  <c r="MKK30" i="6"/>
  <c r="MKJ30" i="6"/>
  <c r="MKI30" i="6"/>
  <c r="MKH30" i="6"/>
  <c r="MKG30" i="6"/>
  <c r="MKF30" i="6"/>
  <c r="MKE30" i="6"/>
  <c r="MKD30" i="6"/>
  <c r="MKC30" i="6"/>
  <c r="MKB30" i="6"/>
  <c r="MKA30" i="6"/>
  <c r="MJZ30" i="6"/>
  <c r="MJY30" i="6"/>
  <c r="MJX30" i="6"/>
  <c r="MJW30" i="6"/>
  <c r="MJV30" i="6"/>
  <c r="MJU30" i="6"/>
  <c r="MJT30" i="6"/>
  <c r="MJS30" i="6"/>
  <c r="MJR30" i="6"/>
  <c r="MJQ30" i="6"/>
  <c r="MJP30" i="6"/>
  <c r="MJO30" i="6"/>
  <c r="MJN30" i="6"/>
  <c r="MJM30" i="6"/>
  <c r="MJL30" i="6"/>
  <c r="MJK30" i="6"/>
  <c r="MJJ30" i="6"/>
  <c r="MJI30" i="6"/>
  <c r="MJH30" i="6"/>
  <c r="MJG30" i="6"/>
  <c r="MJF30" i="6"/>
  <c r="MJE30" i="6"/>
  <c r="MJD30" i="6"/>
  <c r="MJC30" i="6"/>
  <c r="MJB30" i="6"/>
  <c r="MJA30" i="6"/>
  <c r="MIZ30" i="6"/>
  <c r="MIY30" i="6"/>
  <c r="MIX30" i="6"/>
  <c r="MIW30" i="6"/>
  <c r="MIV30" i="6"/>
  <c r="MIU30" i="6"/>
  <c r="MIT30" i="6"/>
  <c r="MIS30" i="6"/>
  <c r="MIR30" i="6"/>
  <c r="MIQ30" i="6"/>
  <c r="MIP30" i="6"/>
  <c r="MIO30" i="6"/>
  <c r="MIN30" i="6"/>
  <c r="MIM30" i="6"/>
  <c r="MIL30" i="6"/>
  <c r="MIK30" i="6"/>
  <c r="MIJ30" i="6"/>
  <c r="MII30" i="6"/>
  <c r="MIH30" i="6"/>
  <c r="MIG30" i="6"/>
  <c r="MIF30" i="6"/>
  <c r="MIE30" i="6"/>
  <c r="MID30" i="6"/>
  <c r="MIC30" i="6"/>
  <c r="MIB30" i="6"/>
  <c r="MIA30" i="6"/>
  <c r="MHZ30" i="6"/>
  <c r="MHY30" i="6"/>
  <c r="MHX30" i="6"/>
  <c r="MHW30" i="6"/>
  <c r="MHV30" i="6"/>
  <c r="MHU30" i="6"/>
  <c r="MHT30" i="6"/>
  <c r="MHS30" i="6"/>
  <c r="MHR30" i="6"/>
  <c r="MHQ30" i="6"/>
  <c r="MHP30" i="6"/>
  <c r="MHO30" i="6"/>
  <c r="MHN30" i="6"/>
  <c r="MHM30" i="6"/>
  <c r="MHL30" i="6"/>
  <c r="MHK30" i="6"/>
  <c r="MHJ30" i="6"/>
  <c r="MHI30" i="6"/>
  <c r="MHH30" i="6"/>
  <c r="MHG30" i="6"/>
  <c r="MHF30" i="6"/>
  <c r="MHE30" i="6"/>
  <c r="MHD30" i="6"/>
  <c r="MHC30" i="6"/>
  <c r="MHB30" i="6"/>
  <c r="MHA30" i="6"/>
  <c r="MGZ30" i="6"/>
  <c r="MGY30" i="6"/>
  <c r="MGX30" i="6"/>
  <c r="MGW30" i="6"/>
  <c r="MGV30" i="6"/>
  <c r="MGU30" i="6"/>
  <c r="MGT30" i="6"/>
  <c r="MGS30" i="6"/>
  <c r="MGR30" i="6"/>
  <c r="MGQ30" i="6"/>
  <c r="MGP30" i="6"/>
  <c r="MGO30" i="6"/>
  <c r="MGN30" i="6"/>
  <c r="MGM30" i="6"/>
  <c r="MGL30" i="6"/>
  <c r="MGK30" i="6"/>
  <c r="MGJ30" i="6"/>
  <c r="MGI30" i="6"/>
  <c r="MGH30" i="6"/>
  <c r="MGG30" i="6"/>
  <c r="MGF30" i="6"/>
  <c r="MGE30" i="6"/>
  <c r="MGD30" i="6"/>
  <c r="MGC30" i="6"/>
  <c r="MGB30" i="6"/>
  <c r="MGA30" i="6"/>
  <c r="MFZ30" i="6"/>
  <c r="MFY30" i="6"/>
  <c r="MFX30" i="6"/>
  <c r="MFW30" i="6"/>
  <c r="MFV30" i="6"/>
  <c r="MFU30" i="6"/>
  <c r="MFT30" i="6"/>
  <c r="MFS30" i="6"/>
  <c r="MFR30" i="6"/>
  <c r="MFQ30" i="6"/>
  <c r="MFP30" i="6"/>
  <c r="MFO30" i="6"/>
  <c r="MFN30" i="6"/>
  <c r="MFM30" i="6"/>
  <c r="MFL30" i="6"/>
  <c r="MFK30" i="6"/>
  <c r="MFJ30" i="6"/>
  <c r="MFI30" i="6"/>
  <c r="MFH30" i="6"/>
  <c r="MFG30" i="6"/>
  <c r="MFF30" i="6"/>
  <c r="MFE30" i="6"/>
  <c r="MFD30" i="6"/>
  <c r="MFC30" i="6"/>
  <c r="MFB30" i="6"/>
  <c r="MFA30" i="6"/>
  <c r="MEZ30" i="6"/>
  <c r="MEY30" i="6"/>
  <c r="MEX30" i="6"/>
  <c r="MEW30" i="6"/>
  <c r="MEV30" i="6"/>
  <c r="MEU30" i="6"/>
  <c r="MET30" i="6"/>
  <c r="MES30" i="6"/>
  <c r="MER30" i="6"/>
  <c r="MEQ30" i="6"/>
  <c r="MEP30" i="6"/>
  <c r="MEO30" i="6"/>
  <c r="MEN30" i="6"/>
  <c r="MEM30" i="6"/>
  <c r="MEL30" i="6"/>
  <c r="MEK30" i="6"/>
  <c r="MEJ30" i="6"/>
  <c r="MEI30" i="6"/>
  <c r="MEH30" i="6"/>
  <c r="MEG30" i="6"/>
  <c r="MEF30" i="6"/>
  <c r="MEE30" i="6"/>
  <c r="MED30" i="6"/>
  <c r="MEC30" i="6"/>
  <c r="MEB30" i="6"/>
  <c r="MEA30" i="6"/>
  <c r="MDZ30" i="6"/>
  <c r="MDY30" i="6"/>
  <c r="MDX30" i="6"/>
  <c r="MDW30" i="6"/>
  <c r="MDV30" i="6"/>
  <c r="MDU30" i="6"/>
  <c r="MDT30" i="6"/>
  <c r="MDS30" i="6"/>
  <c r="MDR30" i="6"/>
  <c r="MDQ30" i="6"/>
  <c r="MDP30" i="6"/>
  <c r="MDO30" i="6"/>
  <c r="MDN30" i="6"/>
  <c r="MDM30" i="6"/>
  <c r="MDL30" i="6"/>
  <c r="MDK30" i="6"/>
  <c r="MDJ30" i="6"/>
  <c r="MDI30" i="6"/>
  <c r="MDH30" i="6"/>
  <c r="MDG30" i="6"/>
  <c r="MDF30" i="6"/>
  <c r="MDE30" i="6"/>
  <c r="MDD30" i="6"/>
  <c r="MDC30" i="6"/>
  <c r="MDB30" i="6"/>
  <c r="MDA30" i="6"/>
  <c r="MCZ30" i="6"/>
  <c r="MCY30" i="6"/>
  <c r="MCX30" i="6"/>
  <c r="MCW30" i="6"/>
  <c r="MCV30" i="6"/>
  <c r="MCU30" i="6"/>
  <c r="MCT30" i="6"/>
  <c r="MCS30" i="6"/>
  <c r="MCR30" i="6"/>
  <c r="MCQ30" i="6"/>
  <c r="MCP30" i="6"/>
  <c r="MCO30" i="6"/>
  <c r="MCN30" i="6"/>
  <c r="MCM30" i="6"/>
  <c r="MCL30" i="6"/>
  <c r="MCK30" i="6"/>
  <c r="MCJ30" i="6"/>
  <c r="MCI30" i="6"/>
  <c r="MCH30" i="6"/>
  <c r="MCG30" i="6"/>
  <c r="MCF30" i="6"/>
  <c r="MCE30" i="6"/>
  <c r="MCD30" i="6"/>
  <c r="MCC30" i="6"/>
  <c r="MCB30" i="6"/>
  <c r="MCA30" i="6"/>
  <c r="MBZ30" i="6"/>
  <c r="MBY30" i="6"/>
  <c r="MBX30" i="6"/>
  <c r="MBW30" i="6"/>
  <c r="MBV30" i="6"/>
  <c r="MBU30" i="6"/>
  <c r="MBT30" i="6"/>
  <c r="MBS30" i="6"/>
  <c r="MBR30" i="6"/>
  <c r="MBQ30" i="6"/>
  <c r="MBP30" i="6"/>
  <c r="MBO30" i="6"/>
  <c r="MBN30" i="6"/>
  <c r="MBM30" i="6"/>
  <c r="MBL30" i="6"/>
  <c r="MBK30" i="6"/>
  <c r="MBJ30" i="6"/>
  <c r="MBI30" i="6"/>
  <c r="MBH30" i="6"/>
  <c r="MBG30" i="6"/>
  <c r="MBF30" i="6"/>
  <c r="MBE30" i="6"/>
  <c r="MBD30" i="6"/>
  <c r="MBC30" i="6"/>
  <c r="MBB30" i="6"/>
  <c r="MBA30" i="6"/>
  <c r="MAZ30" i="6"/>
  <c r="MAY30" i="6"/>
  <c r="MAX30" i="6"/>
  <c r="MAW30" i="6"/>
  <c r="MAV30" i="6"/>
  <c r="MAU30" i="6"/>
  <c r="MAT30" i="6"/>
  <c r="MAS30" i="6"/>
  <c r="MAR30" i="6"/>
  <c r="MAQ30" i="6"/>
  <c r="MAP30" i="6"/>
  <c r="MAO30" i="6"/>
  <c r="MAN30" i="6"/>
  <c r="MAM30" i="6"/>
  <c r="MAL30" i="6"/>
  <c r="MAK30" i="6"/>
  <c r="MAJ30" i="6"/>
  <c r="MAI30" i="6"/>
  <c r="MAH30" i="6"/>
  <c r="MAG30" i="6"/>
  <c r="MAF30" i="6"/>
  <c r="MAE30" i="6"/>
  <c r="MAD30" i="6"/>
  <c r="MAC30" i="6"/>
  <c r="MAB30" i="6"/>
  <c r="MAA30" i="6"/>
  <c r="LZZ30" i="6"/>
  <c r="LZY30" i="6"/>
  <c r="LZX30" i="6"/>
  <c r="LZW30" i="6"/>
  <c r="LZV30" i="6"/>
  <c r="LZU30" i="6"/>
  <c r="LZT30" i="6"/>
  <c r="LZS30" i="6"/>
  <c r="LZR30" i="6"/>
  <c r="LZQ30" i="6"/>
  <c r="LZP30" i="6"/>
  <c r="LZO30" i="6"/>
  <c r="LZN30" i="6"/>
  <c r="LZM30" i="6"/>
  <c r="LZL30" i="6"/>
  <c r="LZK30" i="6"/>
  <c r="LZJ30" i="6"/>
  <c r="LZI30" i="6"/>
  <c r="LZH30" i="6"/>
  <c r="LZG30" i="6"/>
  <c r="LZF30" i="6"/>
  <c r="LZE30" i="6"/>
  <c r="LZD30" i="6"/>
  <c r="LZC30" i="6"/>
  <c r="LZB30" i="6"/>
  <c r="LZA30" i="6"/>
  <c r="LYZ30" i="6"/>
  <c r="LYY30" i="6"/>
  <c r="LYX30" i="6"/>
  <c r="LYW30" i="6"/>
  <c r="LYV30" i="6"/>
  <c r="LYU30" i="6"/>
  <c r="LYT30" i="6"/>
  <c r="LYS30" i="6"/>
  <c r="LYR30" i="6"/>
  <c r="LYQ30" i="6"/>
  <c r="LYP30" i="6"/>
  <c r="LYO30" i="6"/>
  <c r="LYN30" i="6"/>
  <c r="LYM30" i="6"/>
  <c r="LYL30" i="6"/>
  <c r="LYK30" i="6"/>
  <c r="LYJ30" i="6"/>
  <c r="LYI30" i="6"/>
  <c r="LYH30" i="6"/>
  <c r="LYG30" i="6"/>
  <c r="LYF30" i="6"/>
  <c r="LYE30" i="6"/>
  <c r="LYD30" i="6"/>
  <c r="LYC30" i="6"/>
  <c r="LYB30" i="6"/>
  <c r="LYA30" i="6"/>
  <c r="LXZ30" i="6"/>
  <c r="LXY30" i="6"/>
  <c r="LXX30" i="6"/>
  <c r="LXW30" i="6"/>
  <c r="LXV30" i="6"/>
  <c r="LXU30" i="6"/>
  <c r="LXT30" i="6"/>
  <c r="LXS30" i="6"/>
  <c r="LXR30" i="6"/>
  <c r="LXQ30" i="6"/>
  <c r="LXP30" i="6"/>
  <c r="LXO30" i="6"/>
  <c r="LXN30" i="6"/>
  <c r="LXM30" i="6"/>
  <c r="LXL30" i="6"/>
  <c r="LXK30" i="6"/>
  <c r="LXJ30" i="6"/>
  <c r="LXI30" i="6"/>
  <c r="LXH30" i="6"/>
  <c r="LXG30" i="6"/>
  <c r="LXF30" i="6"/>
  <c r="LXE30" i="6"/>
  <c r="LXD30" i="6"/>
  <c r="LXC30" i="6"/>
  <c r="LXB30" i="6"/>
  <c r="LXA30" i="6"/>
  <c r="LWZ30" i="6"/>
  <c r="LWY30" i="6"/>
  <c r="LWX30" i="6"/>
  <c r="LWW30" i="6"/>
  <c r="LWV30" i="6"/>
  <c r="LWU30" i="6"/>
  <c r="LWT30" i="6"/>
  <c r="LWS30" i="6"/>
  <c r="LWR30" i="6"/>
  <c r="LWQ30" i="6"/>
  <c r="LWP30" i="6"/>
  <c r="LWO30" i="6"/>
  <c r="LWN30" i="6"/>
  <c r="LWM30" i="6"/>
  <c r="LWL30" i="6"/>
  <c r="LWK30" i="6"/>
  <c r="LWJ30" i="6"/>
  <c r="LWI30" i="6"/>
  <c r="LWH30" i="6"/>
  <c r="LWG30" i="6"/>
  <c r="LWF30" i="6"/>
  <c r="LWE30" i="6"/>
  <c r="LWD30" i="6"/>
  <c r="LWC30" i="6"/>
  <c r="LWB30" i="6"/>
  <c r="LWA30" i="6"/>
  <c r="LVZ30" i="6"/>
  <c r="LVY30" i="6"/>
  <c r="LVX30" i="6"/>
  <c r="LVW30" i="6"/>
  <c r="LVV30" i="6"/>
  <c r="LVU30" i="6"/>
  <c r="LVT30" i="6"/>
  <c r="LVS30" i="6"/>
  <c r="LVR30" i="6"/>
  <c r="LVQ30" i="6"/>
  <c r="LVP30" i="6"/>
  <c r="LVO30" i="6"/>
  <c r="LVN30" i="6"/>
  <c r="LVM30" i="6"/>
  <c r="LVL30" i="6"/>
  <c r="LVK30" i="6"/>
  <c r="LVJ30" i="6"/>
  <c r="LVI30" i="6"/>
  <c r="LVH30" i="6"/>
  <c r="LVG30" i="6"/>
  <c r="LVF30" i="6"/>
  <c r="LVE30" i="6"/>
  <c r="LVD30" i="6"/>
  <c r="LVC30" i="6"/>
  <c r="LVB30" i="6"/>
  <c r="LVA30" i="6"/>
  <c r="LUZ30" i="6"/>
  <c r="LUY30" i="6"/>
  <c r="LUX30" i="6"/>
  <c r="LUW30" i="6"/>
  <c r="LUV30" i="6"/>
  <c r="LUU30" i="6"/>
  <c r="LUT30" i="6"/>
  <c r="LUS30" i="6"/>
  <c r="LUR30" i="6"/>
  <c r="LUQ30" i="6"/>
  <c r="LUP30" i="6"/>
  <c r="LUO30" i="6"/>
  <c r="LUN30" i="6"/>
  <c r="LUM30" i="6"/>
  <c r="LUL30" i="6"/>
  <c r="LUK30" i="6"/>
  <c r="LUJ30" i="6"/>
  <c r="LUI30" i="6"/>
  <c r="LUH30" i="6"/>
  <c r="LUG30" i="6"/>
  <c r="LUF30" i="6"/>
  <c r="LUE30" i="6"/>
  <c r="LUD30" i="6"/>
  <c r="LUC30" i="6"/>
  <c r="LUB30" i="6"/>
  <c r="LUA30" i="6"/>
  <c r="LTZ30" i="6"/>
  <c r="LTY30" i="6"/>
  <c r="LTX30" i="6"/>
  <c r="LTW30" i="6"/>
  <c r="LTV30" i="6"/>
  <c r="LTU30" i="6"/>
  <c r="LTT30" i="6"/>
  <c r="LTS30" i="6"/>
  <c r="LTR30" i="6"/>
  <c r="LTQ30" i="6"/>
  <c r="LTP30" i="6"/>
  <c r="LTO30" i="6"/>
  <c r="LTN30" i="6"/>
  <c r="LTM30" i="6"/>
  <c r="LTL30" i="6"/>
  <c r="LTK30" i="6"/>
  <c r="LTJ30" i="6"/>
  <c r="LTI30" i="6"/>
  <c r="LTH30" i="6"/>
  <c r="LTG30" i="6"/>
  <c r="LTF30" i="6"/>
  <c r="LTE30" i="6"/>
  <c r="LTD30" i="6"/>
  <c r="LTC30" i="6"/>
  <c r="LTB30" i="6"/>
  <c r="LTA30" i="6"/>
  <c r="LSZ30" i="6"/>
  <c r="LSY30" i="6"/>
  <c r="LSX30" i="6"/>
  <c r="LSW30" i="6"/>
  <c r="LSV30" i="6"/>
  <c r="LSU30" i="6"/>
  <c r="LST30" i="6"/>
  <c r="LSS30" i="6"/>
  <c r="LSR30" i="6"/>
  <c r="LSQ30" i="6"/>
  <c r="LSP30" i="6"/>
  <c r="LSO30" i="6"/>
  <c r="LSN30" i="6"/>
  <c r="LSM30" i="6"/>
  <c r="LSL30" i="6"/>
  <c r="LSK30" i="6"/>
  <c r="LSJ30" i="6"/>
  <c r="LSI30" i="6"/>
  <c r="LSH30" i="6"/>
  <c r="LSG30" i="6"/>
  <c r="LSF30" i="6"/>
  <c r="LSE30" i="6"/>
  <c r="LSD30" i="6"/>
  <c r="LSC30" i="6"/>
  <c r="LSB30" i="6"/>
  <c r="LSA30" i="6"/>
  <c r="LRZ30" i="6"/>
  <c r="LRY30" i="6"/>
  <c r="LRX30" i="6"/>
  <c r="LRW30" i="6"/>
  <c r="LRV30" i="6"/>
  <c r="LRU30" i="6"/>
  <c r="LRT30" i="6"/>
  <c r="LRS30" i="6"/>
  <c r="LRR30" i="6"/>
  <c r="LRQ30" i="6"/>
  <c r="LRP30" i="6"/>
  <c r="LRO30" i="6"/>
  <c r="LRN30" i="6"/>
  <c r="LRM30" i="6"/>
  <c r="LRL30" i="6"/>
  <c r="LRK30" i="6"/>
  <c r="LRJ30" i="6"/>
  <c r="LRI30" i="6"/>
  <c r="LRH30" i="6"/>
  <c r="LRG30" i="6"/>
  <c r="LRF30" i="6"/>
  <c r="LRE30" i="6"/>
  <c r="LRD30" i="6"/>
  <c r="LRC30" i="6"/>
  <c r="LRB30" i="6"/>
  <c r="LRA30" i="6"/>
  <c r="LQZ30" i="6"/>
  <c r="LQY30" i="6"/>
  <c r="LQX30" i="6"/>
  <c r="LQW30" i="6"/>
  <c r="LQV30" i="6"/>
  <c r="LQU30" i="6"/>
  <c r="LQT30" i="6"/>
  <c r="LQS30" i="6"/>
  <c r="LQR30" i="6"/>
  <c r="LQQ30" i="6"/>
  <c r="LQP30" i="6"/>
  <c r="LQO30" i="6"/>
  <c r="LQN30" i="6"/>
  <c r="LQM30" i="6"/>
  <c r="LQL30" i="6"/>
  <c r="LQK30" i="6"/>
  <c r="LQJ30" i="6"/>
  <c r="LQI30" i="6"/>
  <c r="LQH30" i="6"/>
  <c r="LQG30" i="6"/>
  <c r="LQF30" i="6"/>
  <c r="LQE30" i="6"/>
  <c r="LQD30" i="6"/>
  <c r="LQC30" i="6"/>
  <c r="LQB30" i="6"/>
  <c r="LQA30" i="6"/>
  <c r="LPZ30" i="6"/>
  <c r="LPY30" i="6"/>
  <c r="LPX30" i="6"/>
  <c r="LPW30" i="6"/>
  <c r="LPV30" i="6"/>
  <c r="LPU30" i="6"/>
  <c r="LPT30" i="6"/>
  <c r="LPS30" i="6"/>
  <c r="LPR30" i="6"/>
  <c r="LPQ30" i="6"/>
  <c r="LPP30" i="6"/>
  <c r="LPO30" i="6"/>
  <c r="LPN30" i="6"/>
  <c r="LPM30" i="6"/>
  <c r="LPL30" i="6"/>
  <c r="LPK30" i="6"/>
  <c r="LPJ30" i="6"/>
  <c r="LPI30" i="6"/>
  <c r="LPH30" i="6"/>
  <c r="LPG30" i="6"/>
  <c r="LPF30" i="6"/>
  <c r="LPE30" i="6"/>
  <c r="LPD30" i="6"/>
  <c r="LPC30" i="6"/>
  <c r="LPB30" i="6"/>
  <c r="LPA30" i="6"/>
  <c r="LOZ30" i="6"/>
  <c r="LOY30" i="6"/>
  <c r="LOX30" i="6"/>
  <c r="LOW30" i="6"/>
  <c r="LOV30" i="6"/>
  <c r="LOU30" i="6"/>
  <c r="LOT30" i="6"/>
  <c r="LOS30" i="6"/>
  <c r="LOR30" i="6"/>
  <c r="LOQ30" i="6"/>
  <c r="LOP30" i="6"/>
  <c r="LOO30" i="6"/>
  <c r="LON30" i="6"/>
  <c r="LOM30" i="6"/>
  <c r="LOL30" i="6"/>
  <c r="LOK30" i="6"/>
  <c r="LOJ30" i="6"/>
  <c r="LOI30" i="6"/>
  <c r="LOH30" i="6"/>
  <c r="LOG30" i="6"/>
  <c r="LOF30" i="6"/>
  <c r="LOE30" i="6"/>
  <c r="LOD30" i="6"/>
  <c r="LOC30" i="6"/>
  <c r="LOB30" i="6"/>
  <c r="LOA30" i="6"/>
  <c r="LNZ30" i="6"/>
  <c r="LNY30" i="6"/>
  <c r="LNX30" i="6"/>
  <c r="LNW30" i="6"/>
  <c r="LNV30" i="6"/>
  <c r="LNU30" i="6"/>
  <c r="LNT30" i="6"/>
  <c r="LNS30" i="6"/>
  <c r="LNR30" i="6"/>
  <c r="LNQ30" i="6"/>
  <c r="LNP30" i="6"/>
  <c r="LNO30" i="6"/>
  <c r="LNN30" i="6"/>
  <c r="LNM30" i="6"/>
  <c r="LNL30" i="6"/>
  <c r="LNK30" i="6"/>
  <c r="LNJ30" i="6"/>
  <c r="LNI30" i="6"/>
  <c r="LNH30" i="6"/>
  <c r="LNG30" i="6"/>
  <c r="LNF30" i="6"/>
  <c r="LNE30" i="6"/>
  <c r="LND30" i="6"/>
  <c r="LNC30" i="6"/>
  <c r="LNB30" i="6"/>
  <c r="LNA30" i="6"/>
  <c r="LMZ30" i="6"/>
  <c r="LMY30" i="6"/>
  <c r="LMX30" i="6"/>
  <c r="LMW30" i="6"/>
  <c r="LMV30" i="6"/>
  <c r="LMU30" i="6"/>
  <c r="LMT30" i="6"/>
  <c r="LMS30" i="6"/>
  <c r="LMR30" i="6"/>
  <c r="LMQ30" i="6"/>
  <c r="LMP30" i="6"/>
  <c r="LMO30" i="6"/>
  <c r="LMN30" i="6"/>
  <c r="LMM30" i="6"/>
  <c r="LML30" i="6"/>
  <c r="LMK30" i="6"/>
  <c r="LMJ30" i="6"/>
  <c r="LMI30" i="6"/>
  <c r="LMH30" i="6"/>
  <c r="LMG30" i="6"/>
  <c r="LMF30" i="6"/>
  <c r="LME30" i="6"/>
  <c r="LMD30" i="6"/>
  <c r="LMC30" i="6"/>
  <c r="LMB30" i="6"/>
  <c r="LMA30" i="6"/>
  <c r="LLZ30" i="6"/>
  <c r="LLY30" i="6"/>
  <c r="LLX30" i="6"/>
  <c r="LLW30" i="6"/>
  <c r="LLV30" i="6"/>
  <c r="LLU30" i="6"/>
  <c r="LLT30" i="6"/>
  <c r="LLS30" i="6"/>
  <c r="LLR30" i="6"/>
  <c r="LLQ30" i="6"/>
  <c r="LLP30" i="6"/>
  <c r="LLO30" i="6"/>
  <c r="LLN30" i="6"/>
  <c r="LLM30" i="6"/>
  <c r="LLL30" i="6"/>
  <c r="LLK30" i="6"/>
  <c r="LLJ30" i="6"/>
  <c r="LLI30" i="6"/>
  <c r="LLH30" i="6"/>
  <c r="LLG30" i="6"/>
  <c r="LLF30" i="6"/>
  <c r="LLE30" i="6"/>
  <c r="LLD30" i="6"/>
  <c r="LLC30" i="6"/>
  <c r="LLB30" i="6"/>
  <c r="LLA30" i="6"/>
  <c r="LKZ30" i="6"/>
  <c r="LKY30" i="6"/>
  <c r="LKX30" i="6"/>
  <c r="LKW30" i="6"/>
  <c r="LKV30" i="6"/>
  <c r="LKU30" i="6"/>
  <c r="LKT30" i="6"/>
  <c r="LKS30" i="6"/>
  <c r="LKR30" i="6"/>
  <c r="LKQ30" i="6"/>
  <c r="LKP30" i="6"/>
  <c r="LKO30" i="6"/>
  <c r="LKN30" i="6"/>
  <c r="LKM30" i="6"/>
  <c r="LKL30" i="6"/>
  <c r="LKK30" i="6"/>
  <c r="LKJ30" i="6"/>
  <c r="LKI30" i="6"/>
  <c r="LKH30" i="6"/>
  <c r="LKG30" i="6"/>
  <c r="LKF30" i="6"/>
  <c r="LKE30" i="6"/>
  <c r="LKD30" i="6"/>
  <c r="LKC30" i="6"/>
  <c r="LKB30" i="6"/>
  <c r="LKA30" i="6"/>
  <c r="LJZ30" i="6"/>
  <c r="LJY30" i="6"/>
  <c r="LJX30" i="6"/>
  <c r="LJW30" i="6"/>
  <c r="LJV30" i="6"/>
  <c r="LJU30" i="6"/>
  <c r="LJT30" i="6"/>
  <c r="LJS30" i="6"/>
  <c r="LJR30" i="6"/>
  <c r="LJQ30" i="6"/>
  <c r="LJP30" i="6"/>
  <c r="LJO30" i="6"/>
  <c r="LJN30" i="6"/>
  <c r="LJM30" i="6"/>
  <c r="LJL30" i="6"/>
  <c r="LJK30" i="6"/>
  <c r="LJJ30" i="6"/>
  <c r="LJI30" i="6"/>
  <c r="LJH30" i="6"/>
  <c r="LJG30" i="6"/>
  <c r="LJF30" i="6"/>
  <c r="LJE30" i="6"/>
  <c r="LJD30" i="6"/>
  <c r="LJC30" i="6"/>
  <c r="LJB30" i="6"/>
  <c r="LJA30" i="6"/>
  <c r="LIZ30" i="6"/>
  <c r="LIY30" i="6"/>
  <c r="LIX30" i="6"/>
  <c r="LIW30" i="6"/>
  <c r="LIV30" i="6"/>
  <c r="LIU30" i="6"/>
  <c r="LIT30" i="6"/>
  <c r="LIS30" i="6"/>
  <c r="LIR30" i="6"/>
  <c r="LIQ30" i="6"/>
  <c r="LIP30" i="6"/>
  <c r="LIO30" i="6"/>
  <c r="LIN30" i="6"/>
  <c r="LIM30" i="6"/>
  <c r="LIL30" i="6"/>
  <c r="LIK30" i="6"/>
  <c r="LIJ30" i="6"/>
  <c r="LII30" i="6"/>
  <c r="LIH30" i="6"/>
  <c r="LIG30" i="6"/>
  <c r="LIF30" i="6"/>
  <c r="LIE30" i="6"/>
  <c r="LID30" i="6"/>
  <c r="LIC30" i="6"/>
  <c r="LIB30" i="6"/>
  <c r="LIA30" i="6"/>
  <c r="LHZ30" i="6"/>
  <c r="LHY30" i="6"/>
  <c r="LHX30" i="6"/>
  <c r="LHW30" i="6"/>
  <c r="LHV30" i="6"/>
  <c r="LHU30" i="6"/>
  <c r="LHT30" i="6"/>
  <c r="LHS30" i="6"/>
  <c r="LHR30" i="6"/>
  <c r="LHQ30" i="6"/>
  <c r="LHP30" i="6"/>
  <c r="LHO30" i="6"/>
  <c r="LHN30" i="6"/>
  <c r="LHM30" i="6"/>
  <c r="LHL30" i="6"/>
  <c r="LHK30" i="6"/>
  <c r="LHJ30" i="6"/>
  <c r="LHI30" i="6"/>
  <c r="LHH30" i="6"/>
  <c r="LHG30" i="6"/>
  <c r="LHF30" i="6"/>
  <c r="LHE30" i="6"/>
  <c r="LHD30" i="6"/>
  <c r="LHC30" i="6"/>
  <c r="LHB30" i="6"/>
  <c r="LHA30" i="6"/>
  <c r="LGZ30" i="6"/>
  <c r="LGY30" i="6"/>
  <c r="LGX30" i="6"/>
  <c r="LGW30" i="6"/>
  <c r="LGV30" i="6"/>
  <c r="LGU30" i="6"/>
  <c r="LGT30" i="6"/>
  <c r="LGS30" i="6"/>
  <c r="LGR30" i="6"/>
  <c r="LGQ30" i="6"/>
  <c r="LGP30" i="6"/>
  <c r="LGO30" i="6"/>
  <c r="LGN30" i="6"/>
  <c r="LGM30" i="6"/>
  <c r="LGL30" i="6"/>
  <c r="LGK30" i="6"/>
  <c r="LGJ30" i="6"/>
  <c r="LGI30" i="6"/>
  <c r="LGH30" i="6"/>
  <c r="LGG30" i="6"/>
  <c r="LGF30" i="6"/>
  <c r="LGE30" i="6"/>
  <c r="LGD30" i="6"/>
  <c r="LGC30" i="6"/>
  <c r="LGB30" i="6"/>
  <c r="LGA30" i="6"/>
  <c r="LFZ30" i="6"/>
  <c r="LFY30" i="6"/>
  <c r="LFX30" i="6"/>
  <c r="LFW30" i="6"/>
  <c r="LFV30" i="6"/>
  <c r="LFU30" i="6"/>
  <c r="LFT30" i="6"/>
  <c r="LFS30" i="6"/>
  <c r="LFR30" i="6"/>
  <c r="LFQ30" i="6"/>
  <c r="LFP30" i="6"/>
  <c r="LFO30" i="6"/>
  <c r="LFN30" i="6"/>
  <c r="LFM30" i="6"/>
  <c r="LFL30" i="6"/>
  <c r="LFK30" i="6"/>
  <c r="LFJ30" i="6"/>
  <c r="LFI30" i="6"/>
  <c r="LFH30" i="6"/>
  <c r="LFG30" i="6"/>
  <c r="LFF30" i="6"/>
  <c r="LFE30" i="6"/>
  <c r="LFD30" i="6"/>
  <c r="LFC30" i="6"/>
  <c r="LFB30" i="6"/>
  <c r="LFA30" i="6"/>
  <c r="LEZ30" i="6"/>
  <c r="LEY30" i="6"/>
  <c r="LEX30" i="6"/>
  <c r="LEW30" i="6"/>
  <c r="LEV30" i="6"/>
  <c r="LEU30" i="6"/>
  <c r="LET30" i="6"/>
  <c r="LES30" i="6"/>
  <c r="LER30" i="6"/>
  <c r="LEQ30" i="6"/>
  <c r="LEP30" i="6"/>
  <c r="LEO30" i="6"/>
  <c r="LEN30" i="6"/>
  <c r="LEM30" i="6"/>
  <c r="LEL30" i="6"/>
  <c r="LEK30" i="6"/>
  <c r="LEJ30" i="6"/>
  <c r="LEI30" i="6"/>
  <c r="LEH30" i="6"/>
  <c r="LEG30" i="6"/>
  <c r="LEF30" i="6"/>
  <c r="LEE30" i="6"/>
  <c r="LED30" i="6"/>
  <c r="LEC30" i="6"/>
  <c r="LEB30" i="6"/>
  <c r="LEA30" i="6"/>
  <c r="LDZ30" i="6"/>
  <c r="LDY30" i="6"/>
  <c r="LDX30" i="6"/>
  <c r="LDW30" i="6"/>
  <c r="LDV30" i="6"/>
  <c r="LDU30" i="6"/>
  <c r="LDT30" i="6"/>
  <c r="LDS30" i="6"/>
  <c r="LDR30" i="6"/>
  <c r="LDQ30" i="6"/>
  <c r="LDP30" i="6"/>
  <c r="LDO30" i="6"/>
  <c r="LDN30" i="6"/>
  <c r="LDM30" i="6"/>
  <c r="LDL30" i="6"/>
  <c r="LDK30" i="6"/>
  <c r="LDJ30" i="6"/>
  <c r="LDI30" i="6"/>
  <c r="LDH30" i="6"/>
  <c r="LDG30" i="6"/>
  <c r="LDF30" i="6"/>
  <c r="LDE30" i="6"/>
  <c r="LDD30" i="6"/>
  <c r="LDC30" i="6"/>
  <c r="LDB30" i="6"/>
  <c r="LDA30" i="6"/>
  <c r="LCZ30" i="6"/>
  <c r="LCY30" i="6"/>
  <c r="LCX30" i="6"/>
  <c r="LCW30" i="6"/>
  <c r="LCV30" i="6"/>
  <c r="LCU30" i="6"/>
  <c r="LCT30" i="6"/>
  <c r="LCS30" i="6"/>
  <c r="LCR30" i="6"/>
  <c r="LCQ30" i="6"/>
  <c r="LCP30" i="6"/>
  <c r="LCO30" i="6"/>
  <c r="LCN30" i="6"/>
  <c r="LCM30" i="6"/>
  <c r="LCL30" i="6"/>
  <c r="LCK30" i="6"/>
  <c r="LCJ30" i="6"/>
  <c r="LCI30" i="6"/>
  <c r="LCH30" i="6"/>
  <c r="LCG30" i="6"/>
  <c r="LCF30" i="6"/>
  <c r="LCE30" i="6"/>
  <c r="LCD30" i="6"/>
  <c r="LCC30" i="6"/>
  <c r="LCB30" i="6"/>
  <c r="LCA30" i="6"/>
  <c r="LBZ30" i="6"/>
  <c r="LBY30" i="6"/>
  <c r="LBX30" i="6"/>
  <c r="LBW30" i="6"/>
  <c r="LBV30" i="6"/>
  <c r="LBU30" i="6"/>
  <c r="LBT30" i="6"/>
  <c r="LBS30" i="6"/>
  <c r="LBR30" i="6"/>
  <c r="LBQ30" i="6"/>
  <c r="LBP30" i="6"/>
  <c r="LBO30" i="6"/>
  <c r="LBN30" i="6"/>
  <c r="LBM30" i="6"/>
  <c r="LBL30" i="6"/>
  <c r="LBK30" i="6"/>
  <c r="LBJ30" i="6"/>
  <c r="LBI30" i="6"/>
  <c r="LBH30" i="6"/>
  <c r="LBG30" i="6"/>
  <c r="LBF30" i="6"/>
  <c r="LBE30" i="6"/>
  <c r="LBD30" i="6"/>
  <c r="LBC30" i="6"/>
  <c r="LBB30" i="6"/>
  <c r="LBA30" i="6"/>
  <c r="LAZ30" i="6"/>
  <c r="LAY30" i="6"/>
  <c r="LAX30" i="6"/>
  <c r="LAW30" i="6"/>
  <c r="LAV30" i="6"/>
  <c r="LAU30" i="6"/>
  <c r="LAT30" i="6"/>
  <c r="LAS30" i="6"/>
  <c r="LAR30" i="6"/>
  <c r="LAQ30" i="6"/>
  <c r="LAP30" i="6"/>
  <c r="LAO30" i="6"/>
  <c r="LAN30" i="6"/>
  <c r="LAM30" i="6"/>
  <c r="LAL30" i="6"/>
  <c r="LAK30" i="6"/>
  <c r="LAJ30" i="6"/>
  <c r="LAI30" i="6"/>
  <c r="LAH30" i="6"/>
  <c r="LAG30" i="6"/>
  <c r="LAF30" i="6"/>
  <c r="LAE30" i="6"/>
  <c r="LAD30" i="6"/>
  <c r="LAC30" i="6"/>
  <c r="LAB30" i="6"/>
  <c r="LAA30" i="6"/>
  <c r="KZZ30" i="6"/>
  <c r="KZY30" i="6"/>
  <c r="KZX30" i="6"/>
  <c r="KZW30" i="6"/>
  <c r="KZV30" i="6"/>
  <c r="KZU30" i="6"/>
  <c r="KZT30" i="6"/>
  <c r="KZS30" i="6"/>
  <c r="KZR30" i="6"/>
  <c r="KZQ30" i="6"/>
  <c r="KZP30" i="6"/>
  <c r="KZO30" i="6"/>
  <c r="KZN30" i="6"/>
  <c r="KZM30" i="6"/>
  <c r="KZL30" i="6"/>
  <c r="KZK30" i="6"/>
  <c r="KZJ30" i="6"/>
  <c r="KZI30" i="6"/>
  <c r="KZH30" i="6"/>
  <c r="KZG30" i="6"/>
  <c r="KZF30" i="6"/>
  <c r="KZE30" i="6"/>
  <c r="KZD30" i="6"/>
  <c r="KZC30" i="6"/>
  <c r="KZB30" i="6"/>
  <c r="KZA30" i="6"/>
  <c r="KYZ30" i="6"/>
  <c r="KYY30" i="6"/>
  <c r="KYX30" i="6"/>
  <c r="KYW30" i="6"/>
  <c r="KYV30" i="6"/>
  <c r="KYU30" i="6"/>
  <c r="KYT30" i="6"/>
  <c r="KYS30" i="6"/>
  <c r="KYR30" i="6"/>
  <c r="KYQ30" i="6"/>
  <c r="KYP30" i="6"/>
  <c r="KYO30" i="6"/>
  <c r="KYN30" i="6"/>
  <c r="KYM30" i="6"/>
  <c r="KYL30" i="6"/>
  <c r="KYK30" i="6"/>
  <c r="KYJ30" i="6"/>
  <c r="KYI30" i="6"/>
  <c r="KYH30" i="6"/>
  <c r="KYG30" i="6"/>
  <c r="KYF30" i="6"/>
  <c r="KYE30" i="6"/>
  <c r="KYD30" i="6"/>
  <c r="KYC30" i="6"/>
  <c r="KYB30" i="6"/>
  <c r="KYA30" i="6"/>
  <c r="KXZ30" i="6"/>
  <c r="KXY30" i="6"/>
  <c r="KXX30" i="6"/>
  <c r="KXW30" i="6"/>
  <c r="KXV30" i="6"/>
  <c r="KXU30" i="6"/>
  <c r="KXT30" i="6"/>
  <c r="KXS30" i="6"/>
  <c r="KXR30" i="6"/>
  <c r="KXQ30" i="6"/>
  <c r="KXP30" i="6"/>
  <c r="KXO30" i="6"/>
  <c r="KXN30" i="6"/>
  <c r="KXM30" i="6"/>
  <c r="KXL30" i="6"/>
  <c r="KXK30" i="6"/>
  <c r="KXJ30" i="6"/>
  <c r="KXI30" i="6"/>
  <c r="KXH30" i="6"/>
  <c r="KXG30" i="6"/>
  <c r="KXF30" i="6"/>
  <c r="KXE30" i="6"/>
  <c r="KXD30" i="6"/>
  <c r="KXC30" i="6"/>
  <c r="KXB30" i="6"/>
  <c r="KXA30" i="6"/>
  <c r="KWZ30" i="6"/>
  <c r="KWY30" i="6"/>
  <c r="KWX30" i="6"/>
  <c r="KWW30" i="6"/>
  <c r="KWV30" i="6"/>
  <c r="KWU30" i="6"/>
  <c r="KWT30" i="6"/>
  <c r="KWS30" i="6"/>
  <c r="KWR30" i="6"/>
  <c r="KWQ30" i="6"/>
  <c r="KWP30" i="6"/>
  <c r="KWO30" i="6"/>
  <c r="KWN30" i="6"/>
  <c r="KWM30" i="6"/>
  <c r="KWL30" i="6"/>
  <c r="KWK30" i="6"/>
  <c r="KWJ30" i="6"/>
  <c r="KWI30" i="6"/>
  <c r="KWH30" i="6"/>
  <c r="KWG30" i="6"/>
  <c r="KWF30" i="6"/>
  <c r="KWE30" i="6"/>
  <c r="KWD30" i="6"/>
  <c r="KWC30" i="6"/>
  <c r="KWB30" i="6"/>
  <c r="KWA30" i="6"/>
  <c r="KVZ30" i="6"/>
  <c r="KVY30" i="6"/>
  <c r="KVX30" i="6"/>
  <c r="KVW30" i="6"/>
  <c r="KVV30" i="6"/>
  <c r="KVU30" i="6"/>
  <c r="KVT30" i="6"/>
  <c r="KVS30" i="6"/>
  <c r="KVR30" i="6"/>
  <c r="KVQ30" i="6"/>
  <c r="KVP30" i="6"/>
  <c r="KVO30" i="6"/>
  <c r="KVN30" i="6"/>
  <c r="KVM30" i="6"/>
  <c r="KVL30" i="6"/>
  <c r="KVK30" i="6"/>
  <c r="KVJ30" i="6"/>
  <c r="KVI30" i="6"/>
  <c r="KVH30" i="6"/>
  <c r="KVG30" i="6"/>
  <c r="KVF30" i="6"/>
  <c r="KVE30" i="6"/>
  <c r="KVD30" i="6"/>
  <c r="KVC30" i="6"/>
  <c r="KVB30" i="6"/>
  <c r="KVA30" i="6"/>
  <c r="KUZ30" i="6"/>
  <c r="KUY30" i="6"/>
  <c r="KUX30" i="6"/>
  <c r="KUW30" i="6"/>
  <c r="KUV30" i="6"/>
  <c r="KUU30" i="6"/>
  <c r="KUT30" i="6"/>
  <c r="KUS30" i="6"/>
  <c r="KUR30" i="6"/>
  <c r="KUQ30" i="6"/>
  <c r="KUP30" i="6"/>
  <c r="KUO30" i="6"/>
  <c r="KUN30" i="6"/>
  <c r="KUM30" i="6"/>
  <c r="KUL30" i="6"/>
  <c r="KUK30" i="6"/>
  <c r="KUJ30" i="6"/>
  <c r="KUI30" i="6"/>
  <c r="KUH30" i="6"/>
  <c r="KUG30" i="6"/>
  <c r="KUF30" i="6"/>
  <c r="KUE30" i="6"/>
  <c r="KUD30" i="6"/>
  <c r="KUC30" i="6"/>
  <c r="KUB30" i="6"/>
  <c r="KUA30" i="6"/>
  <c r="KTZ30" i="6"/>
  <c r="KTY30" i="6"/>
  <c r="KTX30" i="6"/>
  <c r="KTW30" i="6"/>
  <c r="KTV30" i="6"/>
  <c r="KTU30" i="6"/>
  <c r="KTT30" i="6"/>
  <c r="KTS30" i="6"/>
  <c r="KTR30" i="6"/>
  <c r="KTQ30" i="6"/>
  <c r="KTP30" i="6"/>
  <c r="KTO30" i="6"/>
  <c r="KTN30" i="6"/>
  <c r="KTM30" i="6"/>
  <c r="KTL30" i="6"/>
  <c r="KTK30" i="6"/>
  <c r="KTJ30" i="6"/>
  <c r="KTI30" i="6"/>
  <c r="KTH30" i="6"/>
  <c r="KTG30" i="6"/>
  <c r="KTF30" i="6"/>
  <c r="KTE30" i="6"/>
  <c r="KTD30" i="6"/>
  <c r="KTC30" i="6"/>
  <c r="KTB30" i="6"/>
  <c r="KTA30" i="6"/>
  <c r="KSZ30" i="6"/>
  <c r="KSY30" i="6"/>
  <c r="KSX30" i="6"/>
  <c r="KSW30" i="6"/>
  <c r="KSV30" i="6"/>
  <c r="KSU30" i="6"/>
  <c r="KST30" i="6"/>
  <c r="KSS30" i="6"/>
  <c r="KSR30" i="6"/>
  <c r="KSQ30" i="6"/>
  <c r="KSP30" i="6"/>
  <c r="KSO30" i="6"/>
  <c r="KSN30" i="6"/>
  <c r="KSM30" i="6"/>
  <c r="KSL30" i="6"/>
  <c r="KSK30" i="6"/>
  <c r="KSJ30" i="6"/>
  <c r="KSI30" i="6"/>
  <c r="KSH30" i="6"/>
  <c r="KSG30" i="6"/>
  <c r="KSF30" i="6"/>
  <c r="KSE30" i="6"/>
  <c r="KSD30" i="6"/>
  <c r="KSC30" i="6"/>
  <c r="KSB30" i="6"/>
  <c r="KSA30" i="6"/>
  <c r="KRZ30" i="6"/>
  <c r="KRY30" i="6"/>
  <c r="KRX30" i="6"/>
  <c r="KRW30" i="6"/>
  <c r="KRV30" i="6"/>
  <c r="KRU30" i="6"/>
  <c r="KRT30" i="6"/>
  <c r="KRS30" i="6"/>
  <c r="KRR30" i="6"/>
  <c r="KRQ30" i="6"/>
  <c r="KRP30" i="6"/>
  <c r="KRO30" i="6"/>
  <c r="KRN30" i="6"/>
  <c r="KRM30" i="6"/>
  <c r="KRL30" i="6"/>
  <c r="KRK30" i="6"/>
  <c r="KRJ30" i="6"/>
  <c r="KRI30" i="6"/>
  <c r="KRH30" i="6"/>
  <c r="KRG30" i="6"/>
  <c r="KRF30" i="6"/>
  <c r="KRE30" i="6"/>
  <c r="KRD30" i="6"/>
  <c r="KRC30" i="6"/>
  <c r="KRB30" i="6"/>
  <c r="KRA30" i="6"/>
  <c r="KQZ30" i="6"/>
  <c r="KQY30" i="6"/>
  <c r="KQX30" i="6"/>
  <c r="KQW30" i="6"/>
  <c r="KQV30" i="6"/>
  <c r="KQU30" i="6"/>
  <c r="KQT30" i="6"/>
  <c r="KQS30" i="6"/>
  <c r="KQR30" i="6"/>
  <c r="KQQ30" i="6"/>
  <c r="KQP30" i="6"/>
  <c r="KQO30" i="6"/>
  <c r="KQN30" i="6"/>
  <c r="KQM30" i="6"/>
  <c r="KQL30" i="6"/>
  <c r="KQK30" i="6"/>
  <c r="KQJ30" i="6"/>
  <c r="KQI30" i="6"/>
  <c r="KQH30" i="6"/>
  <c r="KQG30" i="6"/>
  <c r="KQF30" i="6"/>
  <c r="KQE30" i="6"/>
  <c r="KQD30" i="6"/>
  <c r="KQC30" i="6"/>
  <c r="KQB30" i="6"/>
  <c r="KQA30" i="6"/>
  <c r="KPZ30" i="6"/>
  <c r="KPY30" i="6"/>
  <c r="KPX30" i="6"/>
  <c r="KPW30" i="6"/>
  <c r="KPV30" i="6"/>
  <c r="KPU30" i="6"/>
  <c r="KPT30" i="6"/>
  <c r="KPS30" i="6"/>
  <c r="KPR30" i="6"/>
  <c r="KPQ30" i="6"/>
  <c r="KPP30" i="6"/>
  <c r="KPO30" i="6"/>
  <c r="KPN30" i="6"/>
  <c r="KPM30" i="6"/>
  <c r="KPL30" i="6"/>
  <c r="KPK30" i="6"/>
  <c r="KPJ30" i="6"/>
  <c r="KPI30" i="6"/>
  <c r="KPH30" i="6"/>
  <c r="KPG30" i="6"/>
  <c r="KPF30" i="6"/>
  <c r="KPE30" i="6"/>
  <c r="KPD30" i="6"/>
  <c r="KPC30" i="6"/>
  <c r="KPB30" i="6"/>
  <c r="KPA30" i="6"/>
  <c r="KOZ30" i="6"/>
  <c r="KOY30" i="6"/>
  <c r="KOX30" i="6"/>
  <c r="KOW30" i="6"/>
  <c r="KOV30" i="6"/>
  <c r="KOU30" i="6"/>
  <c r="KOT30" i="6"/>
  <c r="KOS30" i="6"/>
  <c r="KOR30" i="6"/>
  <c r="KOQ30" i="6"/>
  <c r="KOP30" i="6"/>
  <c r="KOO30" i="6"/>
  <c r="KON30" i="6"/>
  <c r="KOM30" i="6"/>
  <c r="KOL30" i="6"/>
  <c r="KOK30" i="6"/>
  <c r="KOJ30" i="6"/>
  <c r="KOI30" i="6"/>
  <c r="KOH30" i="6"/>
  <c r="KOG30" i="6"/>
  <c r="KOF30" i="6"/>
  <c r="KOE30" i="6"/>
  <c r="KOD30" i="6"/>
  <c r="KOC30" i="6"/>
  <c r="KOB30" i="6"/>
  <c r="KOA30" i="6"/>
  <c r="KNZ30" i="6"/>
  <c r="KNY30" i="6"/>
  <c r="KNX30" i="6"/>
  <c r="KNW30" i="6"/>
  <c r="KNV30" i="6"/>
  <c r="KNU30" i="6"/>
  <c r="KNT30" i="6"/>
  <c r="KNS30" i="6"/>
  <c r="KNR30" i="6"/>
  <c r="KNQ30" i="6"/>
  <c r="KNP30" i="6"/>
  <c r="KNO30" i="6"/>
  <c r="KNN30" i="6"/>
  <c r="KNM30" i="6"/>
  <c r="KNL30" i="6"/>
  <c r="KNK30" i="6"/>
  <c r="KNJ30" i="6"/>
  <c r="KNI30" i="6"/>
  <c r="KNH30" i="6"/>
  <c r="KNG30" i="6"/>
  <c r="KNF30" i="6"/>
  <c r="KNE30" i="6"/>
  <c r="KND30" i="6"/>
  <c r="KNC30" i="6"/>
  <c r="KNB30" i="6"/>
  <c r="KNA30" i="6"/>
  <c r="KMZ30" i="6"/>
  <c r="KMY30" i="6"/>
  <c r="KMX30" i="6"/>
  <c r="KMW30" i="6"/>
  <c r="KMV30" i="6"/>
  <c r="KMU30" i="6"/>
  <c r="KMT30" i="6"/>
  <c r="KMS30" i="6"/>
  <c r="KMR30" i="6"/>
  <c r="KMQ30" i="6"/>
  <c r="KMP30" i="6"/>
  <c r="KMO30" i="6"/>
  <c r="KMN30" i="6"/>
  <c r="KMM30" i="6"/>
  <c r="KML30" i="6"/>
  <c r="KMK30" i="6"/>
  <c r="KMJ30" i="6"/>
  <c r="KMI30" i="6"/>
  <c r="KMH30" i="6"/>
  <c r="KMG30" i="6"/>
  <c r="KMF30" i="6"/>
  <c r="KME30" i="6"/>
  <c r="KMD30" i="6"/>
  <c r="KMC30" i="6"/>
  <c r="KMB30" i="6"/>
  <c r="KMA30" i="6"/>
  <c r="KLZ30" i="6"/>
  <c r="KLY30" i="6"/>
  <c r="KLX30" i="6"/>
  <c r="KLW30" i="6"/>
  <c r="KLV30" i="6"/>
  <c r="KLU30" i="6"/>
  <c r="KLT30" i="6"/>
  <c r="KLS30" i="6"/>
  <c r="KLR30" i="6"/>
  <c r="KLQ30" i="6"/>
  <c r="KLP30" i="6"/>
  <c r="KLO30" i="6"/>
  <c r="KLN30" i="6"/>
  <c r="KLM30" i="6"/>
  <c r="KLL30" i="6"/>
  <c r="KLK30" i="6"/>
  <c r="KLJ30" i="6"/>
  <c r="KLI30" i="6"/>
  <c r="KLH30" i="6"/>
  <c r="KLG30" i="6"/>
  <c r="KLF30" i="6"/>
  <c r="KLE30" i="6"/>
  <c r="KLD30" i="6"/>
  <c r="KLC30" i="6"/>
  <c r="KLB30" i="6"/>
  <c r="KLA30" i="6"/>
  <c r="KKZ30" i="6"/>
  <c r="KKY30" i="6"/>
  <c r="KKX30" i="6"/>
  <c r="KKW30" i="6"/>
  <c r="KKV30" i="6"/>
  <c r="KKU30" i="6"/>
  <c r="KKT30" i="6"/>
  <c r="KKS30" i="6"/>
  <c r="KKR30" i="6"/>
  <c r="KKQ30" i="6"/>
  <c r="KKP30" i="6"/>
  <c r="KKO30" i="6"/>
  <c r="KKN30" i="6"/>
  <c r="KKM30" i="6"/>
  <c r="KKL30" i="6"/>
  <c r="KKK30" i="6"/>
  <c r="KKJ30" i="6"/>
  <c r="KKI30" i="6"/>
  <c r="KKH30" i="6"/>
  <c r="KKG30" i="6"/>
  <c r="KKF30" i="6"/>
  <c r="KKE30" i="6"/>
  <c r="KKD30" i="6"/>
  <c r="KKC30" i="6"/>
  <c r="KKB30" i="6"/>
  <c r="KKA30" i="6"/>
  <c r="KJZ30" i="6"/>
  <c r="KJY30" i="6"/>
  <c r="KJX30" i="6"/>
  <c r="KJW30" i="6"/>
  <c r="KJV30" i="6"/>
  <c r="KJU30" i="6"/>
  <c r="KJT30" i="6"/>
  <c r="KJS30" i="6"/>
  <c r="KJR30" i="6"/>
  <c r="KJQ30" i="6"/>
  <c r="KJP30" i="6"/>
  <c r="KJO30" i="6"/>
  <c r="KJN30" i="6"/>
  <c r="KJM30" i="6"/>
  <c r="KJL30" i="6"/>
  <c r="KJK30" i="6"/>
  <c r="KJJ30" i="6"/>
  <c r="KJI30" i="6"/>
  <c r="KJH30" i="6"/>
  <c r="KJG30" i="6"/>
  <c r="KJF30" i="6"/>
  <c r="KJE30" i="6"/>
  <c r="KJD30" i="6"/>
  <c r="KJC30" i="6"/>
  <c r="KJB30" i="6"/>
  <c r="KJA30" i="6"/>
  <c r="KIZ30" i="6"/>
  <c r="KIY30" i="6"/>
  <c r="KIX30" i="6"/>
  <c r="KIW30" i="6"/>
  <c r="KIV30" i="6"/>
  <c r="KIU30" i="6"/>
  <c r="KIT30" i="6"/>
  <c r="KIS30" i="6"/>
  <c r="KIR30" i="6"/>
  <c r="KIQ30" i="6"/>
  <c r="KIP30" i="6"/>
  <c r="KIO30" i="6"/>
  <c r="KIN30" i="6"/>
  <c r="KIM30" i="6"/>
  <c r="KIL30" i="6"/>
  <c r="KIK30" i="6"/>
  <c r="KIJ30" i="6"/>
  <c r="KII30" i="6"/>
  <c r="KIH30" i="6"/>
  <c r="KIG30" i="6"/>
  <c r="KIF30" i="6"/>
  <c r="KIE30" i="6"/>
  <c r="KID30" i="6"/>
  <c r="KIC30" i="6"/>
  <c r="KIB30" i="6"/>
  <c r="KIA30" i="6"/>
  <c r="KHZ30" i="6"/>
  <c r="KHY30" i="6"/>
  <c r="KHX30" i="6"/>
  <c r="KHW30" i="6"/>
  <c r="KHV30" i="6"/>
  <c r="KHU30" i="6"/>
  <c r="KHT30" i="6"/>
  <c r="KHS30" i="6"/>
  <c r="KHR30" i="6"/>
  <c r="KHQ30" i="6"/>
  <c r="KHP30" i="6"/>
  <c r="KHO30" i="6"/>
  <c r="KHN30" i="6"/>
  <c r="KHM30" i="6"/>
  <c r="KHL30" i="6"/>
  <c r="KHK30" i="6"/>
  <c r="KHJ30" i="6"/>
  <c r="KHI30" i="6"/>
  <c r="KHH30" i="6"/>
  <c r="KHG30" i="6"/>
  <c r="KHF30" i="6"/>
  <c r="KHE30" i="6"/>
  <c r="KHD30" i="6"/>
  <c r="KHC30" i="6"/>
  <c r="KHB30" i="6"/>
  <c r="KHA30" i="6"/>
  <c r="KGZ30" i="6"/>
  <c r="KGY30" i="6"/>
  <c r="KGX30" i="6"/>
  <c r="KGW30" i="6"/>
  <c r="KGV30" i="6"/>
  <c r="KGU30" i="6"/>
  <c r="KGT30" i="6"/>
  <c r="KGS30" i="6"/>
  <c r="KGR30" i="6"/>
  <c r="KGQ30" i="6"/>
  <c r="KGP30" i="6"/>
  <c r="KGO30" i="6"/>
  <c r="KGN30" i="6"/>
  <c r="KGM30" i="6"/>
  <c r="KGL30" i="6"/>
  <c r="KGK30" i="6"/>
  <c r="KGJ30" i="6"/>
  <c r="KGI30" i="6"/>
  <c r="KGH30" i="6"/>
  <c r="KGG30" i="6"/>
  <c r="KGF30" i="6"/>
  <c r="KGE30" i="6"/>
  <c r="KGD30" i="6"/>
  <c r="KGC30" i="6"/>
  <c r="KGB30" i="6"/>
  <c r="KGA30" i="6"/>
  <c r="KFZ30" i="6"/>
  <c r="KFY30" i="6"/>
  <c r="KFX30" i="6"/>
  <c r="KFW30" i="6"/>
  <c r="KFV30" i="6"/>
  <c r="KFU30" i="6"/>
  <c r="KFT30" i="6"/>
  <c r="KFS30" i="6"/>
  <c r="KFR30" i="6"/>
  <c r="KFQ30" i="6"/>
  <c r="KFP30" i="6"/>
  <c r="KFO30" i="6"/>
  <c r="KFN30" i="6"/>
  <c r="KFM30" i="6"/>
  <c r="KFL30" i="6"/>
  <c r="KFK30" i="6"/>
  <c r="KFJ30" i="6"/>
  <c r="KFI30" i="6"/>
  <c r="KFH30" i="6"/>
  <c r="KFG30" i="6"/>
  <c r="KFF30" i="6"/>
  <c r="KFE30" i="6"/>
  <c r="KFD30" i="6"/>
  <c r="KFC30" i="6"/>
  <c r="KFB30" i="6"/>
  <c r="KFA30" i="6"/>
  <c r="KEZ30" i="6"/>
  <c r="KEY30" i="6"/>
  <c r="KEX30" i="6"/>
  <c r="KEW30" i="6"/>
  <c r="KEV30" i="6"/>
  <c r="KEU30" i="6"/>
  <c r="KET30" i="6"/>
  <c r="KES30" i="6"/>
  <c r="KER30" i="6"/>
  <c r="KEQ30" i="6"/>
  <c r="KEP30" i="6"/>
  <c r="KEO30" i="6"/>
  <c r="KEN30" i="6"/>
  <c r="KEM30" i="6"/>
  <c r="KEL30" i="6"/>
  <c r="KEK30" i="6"/>
  <c r="KEJ30" i="6"/>
  <c r="KEI30" i="6"/>
  <c r="KEH30" i="6"/>
  <c r="KEG30" i="6"/>
  <c r="KEF30" i="6"/>
  <c r="KEE30" i="6"/>
  <c r="KED30" i="6"/>
  <c r="KEC30" i="6"/>
  <c r="KEB30" i="6"/>
  <c r="KEA30" i="6"/>
  <c r="KDZ30" i="6"/>
  <c r="KDY30" i="6"/>
  <c r="KDX30" i="6"/>
  <c r="KDW30" i="6"/>
  <c r="KDV30" i="6"/>
  <c r="KDU30" i="6"/>
  <c r="KDT30" i="6"/>
  <c r="KDS30" i="6"/>
  <c r="KDR30" i="6"/>
  <c r="KDQ30" i="6"/>
  <c r="KDP30" i="6"/>
  <c r="KDO30" i="6"/>
  <c r="KDN30" i="6"/>
  <c r="KDM30" i="6"/>
  <c r="KDL30" i="6"/>
  <c r="KDK30" i="6"/>
  <c r="KDJ30" i="6"/>
  <c r="KDI30" i="6"/>
  <c r="KDH30" i="6"/>
  <c r="KDG30" i="6"/>
  <c r="KDF30" i="6"/>
  <c r="KDE30" i="6"/>
  <c r="KDD30" i="6"/>
  <c r="KDC30" i="6"/>
  <c r="KDB30" i="6"/>
  <c r="KDA30" i="6"/>
  <c r="KCZ30" i="6"/>
  <c r="KCY30" i="6"/>
  <c r="KCX30" i="6"/>
  <c r="KCW30" i="6"/>
  <c r="KCV30" i="6"/>
  <c r="KCU30" i="6"/>
  <c r="KCT30" i="6"/>
  <c r="KCS30" i="6"/>
  <c r="KCR30" i="6"/>
  <c r="KCQ30" i="6"/>
  <c r="KCP30" i="6"/>
  <c r="KCO30" i="6"/>
  <c r="KCN30" i="6"/>
  <c r="KCM30" i="6"/>
  <c r="KCL30" i="6"/>
  <c r="KCK30" i="6"/>
  <c r="KCJ30" i="6"/>
  <c r="KCI30" i="6"/>
  <c r="KCH30" i="6"/>
  <c r="KCG30" i="6"/>
  <c r="KCF30" i="6"/>
  <c r="KCE30" i="6"/>
  <c r="KCD30" i="6"/>
  <c r="KCC30" i="6"/>
  <c r="KCB30" i="6"/>
  <c r="KCA30" i="6"/>
  <c r="KBZ30" i="6"/>
  <c r="KBY30" i="6"/>
  <c r="KBX30" i="6"/>
  <c r="KBW30" i="6"/>
  <c r="KBV30" i="6"/>
  <c r="KBU30" i="6"/>
  <c r="KBT30" i="6"/>
  <c r="KBS30" i="6"/>
  <c r="KBR30" i="6"/>
  <c r="KBQ30" i="6"/>
  <c r="KBP30" i="6"/>
  <c r="KBO30" i="6"/>
  <c r="KBN30" i="6"/>
  <c r="KBM30" i="6"/>
  <c r="KBL30" i="6"/>
  <c r="KBK30" i="6"/>
  <c r="KBJ30" i="6"/>
  <c r="KBI30" i="6"/>
  <c r="KBH30" i="6"/>
  <c r="KBG30" i="6"/>
  <c r="KBF30" i="6"/>
  <c r="KBE30" i="6"/>
  <c r="KBD30" i="6"/>
  <c r="KBC30" i="6"/>
  <c r="KBB30" i="6"/>
  <c r="KBA30" i="6"/>
  <c r="KAZ30" i="6"/>
  <c r="KAY30" i="6"/>
  <c r="KAX30" i="6"/>
  <c r="KAW30" i="6"/>
  <c r="KAV30" i="6"/>
  <c r="KAU30" i="6"/>
  <c r="KAT30" i="6"/>
  <c r="KAS30" i="6"/>
  <c r="KAR30" i="6"/>
  <c r="KAQ30" i="6"/>
  <c r="KAP30" i="6"/>
  <c r="KAO30" i="6"/>
  <c r="KAN30" i="6"/>
  <c r="KAM30" i="6"/>
  <c r="KAL30" i="6"/>
  <c r="KAK30" i="6"/>
  <c r="KAJ30" i="6"/>
  <c r="KAI30" i="6"/>
  <c r="KAH30" i="6"/>
  <c r="KAG30" i="6"/>
  <c r="KAF30" i="6"/>
  <c r="KAE30" i="6"/>
  <c r="KAD30" i="6"/>
  <c r="KAC30" i="6"/>
  <c r="KAB30" i="6"/>
  <c r="KAA30" i="6"/>
  <c r="JZZ30" i="6"/>
  <c r="JZY30" i="6"/>
  <c r="JZX30" i="6"/>
  <c r="JZW30" i="6"/>
  <c r="JZV30" i="6"/>
  <c r="JZU30" i="6"/>
  <c r="JZT30" i="6"/>
  <c r="JZS30" i="6"/>
  <c r="JZR30" i="6"/>
  <c r="JZQ30" i="6"/>
  <c r="JZP30" i="6"/>
  <c r="JZO30" i="6"/>
  <c r="JZN30" i="6"/>
  <c r="JZM30" i="6"/>
  <c r="JZL30" i="6"/>
  <c r="JZK30" i="6"/>
  <c r="JZJ30" i="6"/>
  <c r="JZI30" i="6"/>
  <c r="JZH30" i="6"/>
  <c r="JZG30" i="6"/>
  <c r="JZF30" i="6"/>
  <c r="JZE30" i="6"/>
  <c r="JZD30" i="6"/>
  <c r="JZC30" i="6"/>
  <c r="JZB30" i="6"/>
  <c r="JZA30" i="6"/>
  <c r="JYZ30" i="6"/>
  <c r="JYY30" i="6"/>
  <c r="JYX30" i="6"/>
  <c r="JYW30" i="6"/>
  <c r="JYV30" i="6"/>
  <c r="JYU30" i="6"/>
  <c r="JYT30" i="6"/>
  <c r="JYS30" i="6"/>
  <c r="JYR30" i="6"/>
  <c r="JYQ30" i="6"/>
  <c r="JYP30" i="6"/>
  <c r="JYO30" i="6"/>
  <c r="JYN30" i="6"/>
  <c r="JYM30" i="6"/>
  <c r="JYL30" i="6"/>
  <c r="JYK30" i="6"/>
  <c r="JYJ30" i="6"/>
  <c r="JYI30" i="6"/>
  <c r="JYH30" i="6"/>
  <c r="JYG30" i="6"/>
  <c r="JYF30" i="6"/>
  <c r="JYE30" i="6"/>
  <c r="JYD30" i="6"/>
  <c r="JYC30" i="6"/>
  <c r="JYB30" i="6"/>
  <c r="JYA30" i="6"/>
  <c r="JXZ30" i="6"/>
  <c r="JXY30" i="6"/>
  <c r="JXX30" i="6"/>
  <c r="JXW30" i="6"/>
  <c r="JXV30" i="6"/>
  <c r="JXU30" i="6"/>
  <c r="JXT30" i="6"/>
  <c r="JXS30" i="6"/>
  <c r="JXR30" i="6"/>
  <c r="JXQ30" i="6"/>
  <c r="JXP30" i="6"/>
  <c r="JXO30" i="6"/>
  <c r="JXN30" i="6"/>
  <c r="JXM30" i="6"/>
  <c r="JXL30" i="6"/>
  <c r="JXK30" i="6"/>
  <c r="JXJ30" i="6"/>
  <c r="JXI30" i="6"/>
  <c r="JXH30" i="6"/>
  <c r="JXG30" i="6"/>
  <c r="JXF30" i="6"/>
  <c r="JXE30" i="6"/>
  <c r="JXD30" i="6"/>
  <c r="JXC30" i="6"/>
  <c r="JXB30" i="6"/>
  <c r="JXA30" i="6"/>
  <c r="JWZ30" i="6"/>
  <c r="JWY30" i="6"/>
  <c r="JWX30" i="6"/>
  <c r="JWW30" i="6"/>
  <c r="JWV30" i="6"/>
  <c r="JWU30" i="6"/>
  <c r="JWT30" i="6"/>
  <c r="JWS30" i="6"/>
  <c r="JWR30" i="6"/>
  <c r="JWQ30" i="6"/>
  <c r="JWP30" i="6"/>
  <c r="JWO30" i="6"/>
  <c r="JWN30" i="6"/>
  <c r="JWM30" i="6"/>
  <c r="JWL30" i="6"/>
  <c r="JWK30" i="6"/>
  <c r="JWJ30" i="6"/>
  <c r="JWI30" i="6"/>
  <c r="JWH30" i="6"/>
  <c r="JWG30" i="6"/>
  <c r="JWF30" i="6"/>
  <c r="JWE30" i="6"/>
  <c r="JWD30" i="6"/>
  <c r="JWC30" i="6"/>
  <c r="JWB30" i="6"/>
  <c r="JWA30" i="6"/>
  <c r="JVZ30" i="6"/>
  <c r="JVY30" i="6"/>
  <c r="JVX30" i="6"/>
  <c r="JVW30" i="6"/>
  <c r="JVV30" i="6"/>
  <c r="JVU30" i="6"/>
  <c r="JVT30" i="6"/>
  <c r="JVS30" i="6"/>
  <c r="JVR30" i="6"/>
  <c r="JVQ30" i="6"/>
  <c r="JVP30" i="6"/>
  <c r="JVO30" i="6"/>
  <c r="JVN30" i="6"/>
  <c r="JVM30" i="6"/>
  <c r="JVL30" i="6"/>
  <c r="JVK30" i="6"/>
  <c r="JVJ30" i="6"/>
  <c r="JVI30" i="6"/>
  <c r="JVH30" i="6"/>
  <c r="JVG30" i="6"/>
  <c r="JVF30" i="6"/>
  <c r="JVE30" i="6"/>
  <c r="JVD30" i="6"/>
  <c r="JVC30" i="6"/>
  <c r="JVB30" i="6"/>
  <c r="JVA30" i="6"/>
  <c r="JUZ30" i="6"/>
  <c r="JUY30" i="6"/>
  <c r="JUX30" i="6"/>
  <c r="JUW30" i="6"/>
  <c r="JUV30" i="6"/>
  <c r="JUU30" i="6"/>
  <c r="JUT30" i="6"/>
  <c r="JUS30" i="6"/>
  <c r="JUR30" i="6"/>
  <c r="JUQ30" i="6"/>
  <c r="JUP30" i="6"/>
  <c r="JUO30" i="6"/>
  <c r="JUN30" i="6"/>
  <c r="JUM30" i="6"/>
  <c r="JUL30" i="6"/>
  <c r="JUK30" i="6"/>
  <c r="JUJ30" i="6"/>
  <c r="JUI30" i="6"/>
  <c r="JUH30" i="6"/>
  <c r="JUG30" i="6"/>
  <c r="JUF30" i="6"/>
  <c r="JUE30" i="6"/>
  <c r="JUD30" i="6"/>
  <c r="JUC30" i="6"/>
  <c r="JUB30" i="6"/>
  <c r="JUA30" i="6"/>
  <c r="JTZ30" i="6"/>
  <c r="JTY30" i="6"/>
  <c r="JTX30" i="6"/>
  <c r="JTW30" i="6"/>
  <c r="JTV30" i="6"/>
  <c r="JTU30" i="6"/>
  <c r="JTT30" i="6"/>
  <c r="JTS30" i="6"/>
  <c r="JTR30" i="6"/>
  <c r="JTQ30" i="6"/>
  <c r="JTP30" i="6"/>
  <c r="JTO30" i="6"/>
  <c r="JTN30" i="6"/>
  <c r="JTM30" i="6"/>
  <c r="JTL30" i="6"/>
  <c r="JTK30" i="6"/>
  <c r="JTJ30" i="6"/>
  <c r="JTI30" i="6"/>
  <c r="JTH30" i="6"/>
  <c r="JTG30" i="6"/>
  <c r="JTF30" i="6"/>
  <c r="JTE30" i="6"/>
  <c r="JTD30" i="6"/>
  <c r="JTC30" i="6"/>
  <c r="JTB30" i="6"/>
  <c r="JTA30" i="6"/>
  <c r="JSZ30" i="6"/>
  <c r="JSY30" i="6"/>
  <c r="JSX30" i="6"/>
  <c r="JSW30" i="6"/>
  <c r="JSV30" i="6"/>
  <c r="JSU30" i="6"/>
  <c r="JST30" i="6"/>
  <c r="JSS30" i="6"/>
  <c r="JSR30" i="6"/>
  <c r="JSQ30" i="6"/>
  <c r="JSP30" i="6"/>
  <c r="JSO30" i="6"/>
  <c r="JSN30" i="6"/>
  <c r="JSM30" i="6"/>
  <c r="JSL30" i="6"/>
  <c r="JSK30" i="6"/>
  <c r="JSJ30" i="6"/>
  <c r="JSI30" i="6"/>
  <c r="JSH30" i="6"/>
  <c r="JSG30" i="6"/>
  <c r="JSF30" i="6"/>
  <c r="JSE30" i="6"/>
  <c r="JSD30" i="6"/>
  <c r="JSC30" i="6"/>
  <c r="JSB30" i="6"/>
  <c r="JSA30" i="6"/>
  <c r="JRZ30" i="6"/>
  <c r="JRY30" i="6"/>
  <c r="JRX30" i="6"/>
  <c r="JRW30" i="6"/>
  <c r="JRV30" i="6"/>
  <c r="JRU30" i="6"/>
  <c r="JRT30" i="6"/>
  <c r="JRS30" i="6"/>
  <c r="JRR30" i="6"/>
  <c r="JRQ30" i="6"/>
  <c r="JRP30" i="6"/>
  <c r="JRO30" i="6"/>
  <c r="JRN30" i="6"/>
  <c r="JRM30" i="6"/>
  <c r="JRL30" i="6"/>
  <c r="JRK30" i="6"/>
  <c r="JRJ30" i="6"/>
  <c r="JRI30" i="6"/>
  <c r="JRH30" i="6"/>
  <c r="JRG30" i="6"/>
  <c r="JRF30" i="6"/>
  <c r="JRE30" i="6"/>
  <c r="JRD30" i="6"/>
  <c r="JRC30" i="6"/>
  <c r="JRB30" i="6"/>
  <c r="JRA30" i="6"/>
  <c r="JQZ30" i="6"/>
  <c r="JQY30" i="6"/>
  <c r="JQX30" i="6"/>
  <c r="JQW30" i="6"/>
  <c r="JQV30" i="6"/>
  <c r="JQU30" i="6"/>
  <c r="JQT30" i="6"/>
  <c r="JQS30" i="6"/>
  <c r="JQR30" i="6"/>
  <c r="JQQ30" i="6"/>
  <c r="JQP30" i="6"/>
  <c r="JQO30" i="6"/>
  <c r="JQN30" i="6"/>
  <c r="JQM30" i="6"/>
  <c r="JQL30" i="6"/>
  <c r="JQK30" i="6"/>
  <c r="JQJ30" i="6"/>
  <c r="JQI30" i="6"/>
  <c r="JQH30" i="6"/>
  <c r="JQG30" i="6"/>
  <c r="JQF30" i="6"/>
  <c r="JQE30" i="6"/>
  <c r="JQD30" i="6"/>
  <c r="JQC30" i="6"/>
  <c r="JQB30" i="6"/>
  <c r="JQA30" i="6"/>
  <c r="JPZ30" i="6"/>
  <c r="JPY30" i="6"/>
  <c r="JPX30" i="6"/>
  <c r="JPW30" i="6"/>
  <c r="JPV30" i="6"/>
  <c r="JPU30" i="6"/>
  <c r="JPT30" i="6"/>
  <c r="JPS30" i="6"/>
  <c r="JPR30" i="6"/>
  <c r="JPQ30" i="6"/>
  <c r="JPP30" i="6"/>
  <c r="JPO30" i="6"/>
  <c r="JPN30" i="6"/>
  <c r="JPM30" i="6"/>
  <c r="JPL30" i="6"/>
  <c r="JPK30" i="6"/>
  <c r="JPJ30" i="6"/>
  <c r="JPI30" i="6"/>
  <c r="JPH30" i="6"/>
  <c r="JPG30" i="6"/>
  <c r="JPF30" i="6"/>
  <c r="JPE30" i="6"/>
  <c r="JPD30" i="6"/>
  <c r="JPC30" i="6"/>
  <c r="JPB30" i="6"/>
  <c r="JPA30" i="6"/>
  <c r="JOZ30" i="6"/>
  <c r="JOY30" i="6"/>
  <c r="JOX30" i="6"/>
  <c r="JOW30" i="6"/>
  <c r="JOV30" i="6"/>
  <c r="JOU30" i="6"/>
  <c r="JOT30" i="6"/>
  <c r="JOS30" i="6"/>
  <c r="JOR30" i="6"/>
  <c r="JOQ30" i="6"/>
  <c r="JOP30" i="6"/>
  <c r="JOO30" i="6"/>
  <c r="JON30" i="6"/>
  <c r="JOM30" i="6"/>
  <c r="JOL30" i="6"/>
  <c r="JOK30" i="6"/>
  <c r="JOJ30" i="6"/>
  <c r="JOI30" i="6"/>
  <c r="JOH30" i="6"/>
  <c r="JOG30" i="6"/>
  <c r="JOF30" i="6"/>
  <c r="JOE30" i="6"/>
  <c r="JOD30" i="6"/>
  <c r="JOC30" i="6"/>
  <c r="JOB30" i="6"/>
  <c r="JOA30" i="6"/>
  <c r="JNZ30" i="6"/>
  <c r="JNY30" i="6"/>
  <c r="JNX30" i="6"/>
  <c r="JNW30" i="6"/>
  <c r="JNV30" i="6"/>
  <c r="JNU30" i="6"/>
  <c r="JNT30" i="6"/>
  <c r="JNS30" i="6"/>
  <c r="JNR30" i="6"/>
  <c r="JNQ30" i="6"/>
  <c r="JNP30" i="6"/>
  <c r="JNO30" i="6"/>
  <c r="JNN30" i="6"/>
  <c r="JNM30" i="6"/>
  <c r="JNL30" i="6"/>
  <c r="JNK30" i="6"/>
  <c r="JNJ30" i="6"/>
  <c r="JNI30" i="6"/>
  <c r="JNH30" i="6"/>
  <c r="JNG30" i="6"/>
  <c r="JNF30" i="6"/>
  <c r="JNE30" i="6"/>
  <c r="JND30" i="6"/>
  <c r="JNC30" i="6"/>
  <c r="JNB30" i="6"/>
  <c r="JNA30" i="6"/>
  <c r="JMZ30" i="6"/>
  <c r="JMY30" i="6"/>
  <c r="JMX30" i="6"/>
  <c r="JMW30" i="6"/>
  <c r="JMV30" i="6"/>
  <c r="JMU30" i="6"/>
  <c r="JMT30" i="6"/>
  <c r="JMS30" i="6"/>
  <c r="JMR30" i="6"/>
  <c r="JMQ30" i="6"/>
  <c r="JMP30" i="6"/>
  <c r="JMO30" i="6"/>
  <c r="JMN30" i="6"/>
  <c r="JMM30" i="6"/>
  <c r="JML30" i="6"/>
  <c r="JMK30" i="6"/>
  <c r="JMJ30" i="6"/>
  <c r="JMI30" i="6"/>
  <c r="JMH30" i="6"/>
  <c r="JMG30" i="6"/>
  <c r="JMF30" i="6"/>
  <c r="JME30" i="6"/>
  <c r="JMD30" i="6"/>
  <c r="JMC30" i="6"/>
  <c r="JMB30" i="6"/>
  <c r="JMA30" i="6"/>
  <c r="JLZ30" i="6"/>
  <c r="JLY30" i="6"/>
  <c r="JLX30" i="6"/>
  <c r="JLW30" i="6"/>
  <c r="JLV30" i="6"/>
  <c r="JLU30" i="6"/>
  <c r="JLT30" i="6"/>
  <c r="JLS30" i="6"/>
  <c r="JLR30" i="6"/>
  <c r="JLQ30" i="6"/>
  <c r="JLP30" i="6"/>
  <c r="JLO30" i="6"/>
  <c r="JLN30" i="6"/>
  <c r="JLM30" i="6"/>
  <c r="JLL30" i="6"/>
  <c r="JLK30" i="6"/>
  <c r="JLJ30" i="6"/>
  <c r="JLI30" i="6"/>
  <c r="JLH30" i="6"/>
  <c r="JLG30" i="6"/>
  <c r="JLF30" i="6"/>
  <c r="JLE30" i="6"/>
  <c r="JLD30" i="6"/>
  <c r="JLC30" i="6"/>
  <c r="JLB30" i="6"/>
  <c r="JLA30" i="6"/>
  <c r="JKZ30" i="6"/>
  <c r="JKY30" i="6"/>
  <c r="JKX30" i="6"/>
  <c r="JKW30" i="6"/>
  <c r="JKV30" i="6"/>
  <c r="JKU30" i="6"/>
  <c r="JKT30" i="6"/>
  <c r="JKS30" i="6"/>
  <c r="JKR30" i="6"/>
  <c r="JKQ30" i="6"/>
  <c r="JKP30" i="6"/>
  <c r="JKO30" i="6"/>
  <c r="JKN30" i="6"/>
  <c r="JKM30" i="6"/>
  <c r="JKL30" i="6"/>
  <c r="JKK30" i="6"/>
  <c r="JKJ30" i="6"/>
  <c r="JKI30" i="6"/>
  <c r="JKH30" i="6"/>
  <c r="JKG30" i="6"/>
  <c r="JKF30" i="6"/>
  <c r="JKE30" i="6"/>
  <c r="JKD30" i="6"/>
  <c r="JKC30" i="6"/>
  <c r="JKB30" i="6"/>
  <c r="JKA30" i="6"/>
  <c r="JJZ30" i="6"/>
  <c r="JJY30" i="6"/>
  <c r="JJX30" i="6"/>
  <c r="JJW30" i="6"/>
  <c r="JJV30" i="6"/>
  <c r="JJU30" i="6"/>
  <c r="JJT30" i="6"/>
  <c r="JJS30" i="6"/>
  <c r="JJR30" i="6"/>
  <c r="JJQ30" i="6"/>
  <c r="JJP30" i="6"/>
  <c r="JJO30" i="6"/>
  <c r="JJN30" i="6"/>
  <c r="JJM30" i="6"/>
  <c r="JJL30" i="6"/>
  <c r="JJK30" i="6"/>
  <c r="JJJ30" i="6"/>
  <c r="JJI30" i="6"/>
  <c r="JJH30" i="6"/>
  <c r="JJG30" i="6"/>
  <c r="JJF30" i="6"/>
  <c r="JJE30" i="6"/>
  <c r="JJD30" i="6"/>
  <c r="JJC30" i="6"/>
  <c r="JJB30" i="6"/>
  <c r="JJA30" i="6"/>
  <c r="JIZ30" i="6"/>
  <c r="JIY30" i="6"/>
  <c r="JIX30" i="6"/>
  <c r="JIW30" i="6"/>
  <c r="JIV30" i="6"/>
  <c r="JIU30" i="6"/>
  <c r="JIT30" i="6"/>
  <c r="JIS30" i="6"/>
  <c r="JIR30" i="6"/>
  <c r="JIQ30" i="6"/>
  <c r="JIP30" i="6"/>
  <c r="JIO30" i="6"/>
  <c r="JIN30" i="6"/>
  <c r="JIM30" i="6"/>
  <c r="JIL30" i="6"/>
  <c r="JIK30" i="6"/>
  <c r="JIJ30" i="6"/>
  <c r="JII30" i="6"/>
  <c r="JIH30" i="6"/>
  <c r="JIG30" i="6"/>
  <c r="JIF30" i="6"/>
  <c r="JIE30" i="6"/>
  <c r="JID30" i="6"/>
  <c r="JIC30" i="6"/>
  <c r="JIB30" i="6"/>
  <c r="JIA30" i="6"/>
  <c r="JHZ30" i="6"/>
  <c r="JHY30" i="6"/>
  <c r="JHX30" i="6"/>
  <c r="JHW30" i="6"/>
  <c r="JHV30" i="6"/>
  <c r="JHU30" i="6"/>
  <c r="JHT30" i="6"/>
  <c r="JHS30" i="6"/>
  <c r="JHR30" i="6"/>
  <c r="JHQ30" i="6"/>
  <c r="JHP30" i="6"/>
  <c r="JHO30" i="6"/>
  <c r="JHN30" i="6"/>
  <c r="JHM30" i="6"/>
  <c r="JHL30" i="6"/>
  <c r="JHK30" i="6"/>
  <c r="JHJ30" i="6"/>
  <c r="JHI30" i="6"/>
  <c r="JHH30" i="6"/>
  <c r="JHG30" i="6"/>
  <c r="JHF30" i="6"/>
  <c r="JHE30" i="6"/>
  <c r="JHD30" i="6"/>
  <c r="JHC30" i="6"/>
  <c r="JHB30" i="6"/>
  <c r="JHA30" i="6"/>
  <c r="JGZ30" i="6"/>
  <c r="JGY30" i="6"/>
  <c r="JGX30" i="6"/>
  <c r="JGW30" i="6"/>
  <c r="JGV30" i="6"/>
  <c r="JGU30" i="6"/>
  <c r="JGT30" i="6"/>
  <c r="JGS30" i="6"/>
  <c r="JGR30" i="6"/>
  <c r="JGQ30" i="6"/>
  <c r="JGP30" i="6"/>
  <c r="JGO30" i="6"/>
  <c r="JGN30" i="6"/>
  <c r="JGM30" i="6"/>
  <c r="JGL30" i="6"/>
  <c r="JGK30" i="6"/>
  <c r="JGJ30" i="6"/>
  <c r="JGI30" i="6"/>
  <c r="JGH30" i="6"/>
  <c r="JGG30" i="6"/>
  <c r="JGF30" i="6"/>
  <c r="JGE30" i="6"/>
  <c r="JGD30" i="6"/>
  <c r="JGC30" i="6"/>
  <c r="JGB30" i="6"/>
  <c r="JGA30" i="6"/>
  <c r="JFZ30" i="6"/>
  <c r="JFY30" i="6"/>
  <c r="JFX30" i="6"/>
  <c r="JFW30" i="6"/>
  <c r="JFV30" i="6"/>
  <c r="JFU30" i="6"/>
  <c r="JFT30" i="6"/>
  <c r="JFS30" i="6"/>
  <c r="JFR30" i="6"/>
  <c r="JFQ30" i="6"/>
  <c r="JFP30" i="6"/>
  <c r="JFO30" i="6"/>
  <c r="JFN30" i="6"/>
  <c r="JFM30" i="6"/>
  <c r="JFL30" i="6"/>
  <c r="JFK30" i="6"/>
  <c r="JFJ30" i="6"/>
  <c r="JFI30" i="6"/>
  <c r="JFH30" i="6"/>
  <c r="JFG30" i="6"/>
  <c r="JFF30" i="6"/>
  <c r="JFE30" i="6"/>
  <c r="JFD30" i="6"/>
  <c r="JFC30" i="6"/>
  <c r="JFB30" i="6"/>
  <c r="JFA30" i="6"/>
  <c r="JEZ30" i="6"/>
  <c r="JEY30" i="6"/>
  <c r="JEX30" i="6"/>
  <c r="JEW30" i="6"/>
  <c r="JEV30" i="6"/>
  <c r="JEU30" i="6"/>
  <c r="JET30" i="6"/>
  <c r="JES30" i="6"/>
  <c r="JER30" i="6"/>
  <c r="JEQ30" i="6"/>
  <c r="JEP30" i="6"/>
  <c r="JEO30" i="6"/>
  <c r="JEN30" i="6"/>
  <c r="JEM30" i="6"/>
  <c r="JEL30" i="6"/>
  <c r="JEK30" i="6"/>
  <c r="JEJ30" i="6"/>
  <c r="JEI30" i="6"/>
  <c r="JEH30" i="6"/>
  <c r="JEG30" i="6"/>
  <c r="JEF30" i="6"/>
  <c r="JEE30" i="6"/>
  <c r="JED30" i="6"/>
  <c r="JEC30" i="6"/>
  <c r="JEB30" i="6"/>
  <c r="JEA30" i="6"/>
  <c r="JDZ30" i="6"/>
  <c r="JDY30" i="6"/>
  <c r="JDX30" i="6"/>
  <c r="JDW30" i="6"/>
  <c r="JDV30" i="6"/>
  <c r="JDU30" i="6"/>
  <c r="JDT30" i="6"/>
  <c r="JDS30" i="6"/>
  <c r="JDR30" i="6"/>
  <c r="JDQ30" i="6"/>
  <c r="JDP30" i="6"/>
  <c r="JDO30" i="6"/>
  <c r="JDN30" i="6"/>
  <c r="JDM30" i="6"/>
  <c r="JDL30" i="6"/>
  <c r="JDK30" i="6"/>
  <c r="JDJ30" i="6"/>
  <c r="JDI30" i="6"/>
  <c r="JDH30" i="6"/>
  <c r="JDG30" i="6"/>
  <c r="JDF30" i="6"/>
  <c r="JDE30" i="6"/>
  <c r="JDD30" i="6"/>
  <c r="JDC30" i="6"/>
  <c r="JDB30" i="6"/>
  <c r="JDA30" i="6"/>
  <c r="JCZ30" i="6"/>
  <c r="JCY30" i="6"/>
  <c r="JCX30" i="6"/>
  <c r="JCW30" i="6"/>
  <c r="JCV30" i="6"/>
  <c r="JCU30" i="6"/>
  <c r="JCT30" i="6"/>
  <c r="JCS30" i="6"/>
  <c r="JCR30" i="6"/>
  <c r="JCQ30" i="6"/>
  <c r="JCP30" i="6"/>
  <c r="JCO30" i="6"/>
  <c r="JCN30" i="6"/>
  <c r="JCM30" i="6"/>
  <c r="JCL30" i="6"/>
  <c r="JCK30" i="6"/>
  <c r="JCJ30" i="6"/>
  <c r="JCI30" i="6"/>
  <c r="JCH30" i="6"/>
  <c r="JCG30" i="6"/>
  <c r="JCF30" i="6"/>
  <c r="JCE30" i="6"/>
  <c r="JCD30" i="6"/>
  <c r="JCC30" i="6"/>
  <c r="JCB30" i="6"/>
  <c r="JCA30" i="6"/>
  <c r="JBZ30" i="6"/>
  <c r="JBY30" i="6"/>
  <c r="JBX30" i="6"/>
  <c r="JBW30" i="6"/>
  <c r="JBV30" i="6"/>
  <c r="JBU30" i="6"/>
  <c r="JBT30" i="6"/>
  <c r="JBS30" i="6"/>
  <c r="JBR30" i="6"/>
  <c r="JBQ30" i="6"/>
  <c r="JBP30" i="6"/>
  <c r="JBO30" i="6"/>
  <c r="JBN30" i="6"/>
  <c r="JBM30" i="6"/>
  <c r="JBL30" i="6"/>
  <c r="JBK30" i="6"/>
  <c r="JBJ30" i="6"/>
  <c r="JBI30" i="6"/>
  <c r="JBH30" i="6"/>
  <c r="JBG30" i="6"/>
  <c r="JBF30" i="6"/>
  <c r="JBE30" i="6"/>
  <c r="JBD30" i="6"/>
  <c r="JBC30" i="6"/>
  <c r="JBB30" i="6"/>
  <c r="JBA30" i="6"/>
  <c r="JAZ30" i="6"/>
  <c r="JAY30" i="6"/>
  <c r="JAX30" i="6"/>
  <c r="JAW30" i="6"/>
  <c r="JAV30" i="6"/>
  <c r="JAU30" i="6"/>
  <c r="JAT30" i="6"/>
  <c r="JAS30" i="6"/>
  <c r="JAR30" i="6"/>
  <c r="JAQ30" i="6"/>
  <c r="JAP30" i="6"/>
  <c r="JAO30" i="6"/>
  <c r="JAN30" i="6"/>
  <c r="JAM30" i="6"/>
  <c r="JAL30" i="6"/>
  <c r="JAK30" i="6"/>
  <c r="JAJ30" i="6"/>
  <c r="JAI30" i="6"/>
  <c r="JAH30" i="6"/>
  <c r="JAG30" i="6"/>
  <c r="JAF30" i="6"/>
  <c r="JAE30" i="6"/>
  <c r="JAD30" i="6"/>
  <c r="JAC30" i="6"/>
  <c r="JAB30" i="6"/>
  <c r="JAA30" i="6"/>
  <c r="IZZ30" i="6"/>
  <c r="IZY30" i="6"/>
  <c r="IZX30" i="6"/>
  <c r="IZW30" i="6"/>
  <c r="IZV30" i="6"/>
  <c r="IZU30" i="6"/>
  <c r="IZT30" i="6"/>
  <c r="IZS30" i="6"/>
  <c r="IZR30" i="6"/>
  <c r="IZQ30" i="6"/>
  <c r="IZP30" i="6"/>
  <c r="IZO30" i="6"/>
  <c r="IZN30" i="6"/>
  <c r="IZM30" i="6"/>
  <c r="IZL30" i="6"/>
  <c r="IZK30" i="6"/>
  <c r="IZJ30" i="6"/>
  <c r="IZI30" i="6"/>
  <c r="IZH30" i="6"/>
  <c r="IZG30" i="6"/>
  <c r="IZF30" i="6"/>
  <c r="IZE30" i="6"/>
  <c r="IZD30" i="6"/>
  <c r="IZC30" i="6"/>
  <c r="IZB30" i="6"/>
  <c r="IZA30" i="6"/>
  <c r="IYZ30" i="6"/>
  <c r="IYY30" i="6"/>
  <c r="IYX30" i="6"/>
  <c r="IYW30" i="6"/>
  <c r="IYV30" i="6"/>
  <c r="IYU30" i="6"/>
  <c r="IYT30" i="6"/>
  <c r="IYS30" i="6"/>
  <c r="IYR30" i="6"/>
  <c r="IYQ30" i="6"/>
  <c r="IYP30" i="6"/>
  <c r="IYO30" i="6"/>
  <c r="IYN30" i="6"/>
  <c r="IYM30" i="6"/>
  <c r="IYL30" i="6"/>
  <c r="IYK30" i="6"/>
  <c r="IYJ30" i="6"/>
  <c r="IYI30" i="6"/>
  <c r="IYH30" i="6"/>
  <c r="IYG30" i="6"/>
  <c r="IYF30" i="6"/>
  <c r="IYE30" i="6"/>
  <c r="IYD30" i="6"/>
  <c r="IYC30" i="6"/>
  <c r="IYB30" i="6"/>
  <c r="IYA30" i="6"/>
  <c r="IXZ30" i="6"/>
  <c r="IXY30" i="6"/>
  <c r="IXX30" i="6"/>
  <c r="IXW30" i="6"/>
  <c r="IXV30" i="6"/>
  <c r="IXU30" i="6"/>
  <c r="IXT30" i="6"/>
  <c r="IXS30" i="6"/>
  <c r="IXR30" i="6"/>
  <c r="IXQ30" i="6"/>
  <c r="IXP30" i="6"/>
  <c r="IXO30" i="6"/>
  <c r="IXN30" i="6"/>
  <c r="IXM30" i="6"/>
  <c r="IXL30" i="6"/>
  <c r="IXK30" i="6"/>
  <c r="IXJ30" i="6"/>
  <c r="IXI30" i="6"/>
  <c r="IXH30" i="6"/>
  <c r="IXG30" i="6"/>
  <c r="IXF30" i="6"/>
  <c r="IXE30" i="6"/>
  <c r="IXD30" i="6"/>
  <c r="IXC30" i="6"/>
  <c r="IXB30" i="6"/>
  <c r="IXA30" i="6"/>
  <c r="IWZ30" i="6"/>
  <c r="IWY30" i="6"/>
  <c r="IWX30" i="6"/>
  <c r="IWW30" i="6"/>
  <c r="IWV30" i="6"/>
  <c r="IWU30" i="6"/>
  <c r="IWT30" i="6"/>
  <c r="IWS30" i="6"/>
  <c r="IWR30" i="6"/>
  <c r="IWQ30" i="6"/>
  <c r="IWP30" i="6"/>
  <c r="IWO30" i="6"/>
  <c r="IWN30" i="6"/>
  <c r="IWM30" i="6"/>
  <c r="IWL30" i="6"/>
  <c r="IWK30" i="6"/>
  <c r="IWJ30" i="6"/>
  <c r="IWI30" i="6"/>
  <c r="IWH30" i="6"/>
  <c r="IWG30" i="6"/>
  <c r="IWF30" i="6"/>
  <c r="IWE30" i="6"/>
  <c r="IWD30" i="6"/>
  <c r="IWC30" i="6"/>
  <c r="IWB30" i="6"/>
  <c r="IWA30" i="6"/>
  <c r="IVZ30" i="6"/>
  <c r="IVY30" i="6"/>
  <c r="IVX30" i="6"/>
  <c r="IVW30" i="6"/>
  <c r="IVV30" i="6"/>
  <c r="IVU30" i="6"/>
  <c r="IVT30" i="6"/>
  <c r="IVS30" i="6"/>
  <c r="IVR30" i="6"/>
  <c r="IVQ30" i="6"/>
  <c r="IVP30" i="6"/>
  <c r="IVO30" i="6"/>
  <c r="IVN30" i="6"/>
  <c r="IVM30" i="6"/>
  <c r="IVL30" i="6"/>
  <c r="IVK30" i="6"/>
  <c r="IVJ30" i="6"/>
  <c r="IVI30" i="6"/>
  <c r="IVH30" i="6"/>
  <c r="IVG30" i="6"/>
  <c r="IVF30" i="6"/>
  <c r="IVE30" i="6"/>
  <c r="IVD30" i="6"/>
  <c r="IVC30" i="6"/>
  <c r="IVB30" i="6"/>
  <c r="IVA30" i="6"/>
  <c r="IUZ30" i="6"/>
  <c r="IUY30" i="6"/>
  <c r="IUX30" i="6"/>
  <c r="IUW30" i="6"/>
  <c r="IUV30" i="6"/>
  <c r="IUU30" i="6"/>
  <c r="IUT30" i="6"/>
  <c r="IUS30" i="6"/>
  <c r="IUR30" i="6"/>
  <c r="IUQ30" i="6"/>
  <c r="IUP30" i="6"/>
  <c r="IUO30" i="6"/>
  <c r="IUN30" i="6"/>
  <c r="IUM30" i="6"/>
  <c r="IUL30" i="6"/>
  <c r="IUK30" i="6"/>
  <c r="IUJ30" i="6"/>
  <c r="IUI30" i="6"/>
  <c r="IUH30" i="6"/>
  <c r="IUG30" i="6"/>
  <c r="IUF30" i="6"/>
  <c r="IUE30" i="6"/>
  <c r="IUD30" i="6"/>
  <c r="IUC30" i="6"/>
  <c r="IUB30" i="6"/>
  <c r="IUA30" i="6"/>
  <c r="ITZ30" i="6"/>
  <c r="ITY30" i="6"/>
  <c r="ITX30" i="6"/>
  <c r="ITW30" i="6"/>
  <c r="ITV30" i="6"/>
  <c r="ITU30" i="6"/>
  <c r="ITT30" i="6"/>
  <c r="ITS30" i="6"/>
  <c r="ITR30" i="6"/>
  <c r="ITQ30" i="6"/>
  <c r="ITP30" i="6"/>
  <c r="ITO30" i="6"/>
  <c r="ITN30" i="6"/>
  <c r="ITM30" i="6"/>
  <c r="ITL30" i="6"/>
  <c r="ITK30" i="6"/>
  <c r="ITJ30" i="6"/>
  <c r="ITI30" i="6"/>
  <c r="ITH30" i="6"/>
  <c r="ITG30" i="6"/>
  <c r="ITF30" i="6"/>
  <c r="ITE30" i="6"/>
  <c r="ITD30" i="6"/>
  <c r="ITC30" i="6"/>
  <c r="ITB30" i="6"/>
  <c r="ITA30" i="6"/>
  <c r="ISZ30" i="6"/>
  <c r="ISY30" i="6"/>
  <c r="ISX30" i="6"/>
  <c r="ISW30" i="6"/>
  <c r="ISV30" i="6"/>
  <c r="ISU30" i="6"/>
  <c r="IST30" i="6"/>
  <c r="ISS30" i="6"/>
  <c r="ISR30" i="6"/>
  <c r="ISQ30" i="6"/>
  <c r="ISP30" i="6"/>
  <c r="ISO30" i="6"/>
  <c r="ISN30" i="6"/>
  <c r="ISM30" i="6"/>
  <c r="ISL30" i="6"/>
  <c r="ISK30" i="6"/>
  <c r="ISJ30" i="6"/>
  <c r="ISI30" i="6"/>
  <c r="ISH30" i="6"/>
  <c r="ISG30" i="6"/>
  <c r="ISF30" i="6"/>
  <c r="ISE30" i="6"/>
  <c r="ISD30" i="6"/>
  <c r="ISC30" i="6"/>
  <c r="ISB30" i="6"/>
  <c r="ISA30" i="6"/>
  <c r="IRZ30" i="6"/>
  <c r="IRY30" i="6"/>
  <c r="IRX30" i="6"/>
  <c r="IRW30" i="6"/>
  <c r="IRV30" i="6"/>
  <c r="IRU30" i="6"/>
  <c r="IRT30" i="6"/>
  <c r="IRS30" i="6"/>
  <c r="IRR30" i="6"/>
  <c r="IRQ30" i="6"/>
  <c r="IRP30" i="6"/>
  <c r="IRO30" i="6"/>
  <c r="IRN30" i="6"/>
  <c r="IRM30" i="6"/>
  <c r="IRL30" i="6"/>
  <c r="IRK30" i="6"/>
  <c r="IRJ30" i="6"/>
  <c r="IRI30" i="6"/>
  <c r="IRH30" i="6"/>
  <c r="IRG30" i="6"/>
  <c r="IRF30" i="6"/>
  <c r="IRE30" i="6"/>
  <c r="IRD30" i="6"/>
  <c r="IRC30" i="6"/>
  <c r="IRB30" i="6"/>
  <c r="IRA30" i="6"/>
  <c r="IQZ30" i="6"/>
  <c r="IQY30" i="6"/>
  <c r="IQX30" i="6"/>
  <c r="IQW30" i="6"/>
  <c r="IQV30" i="6"/>
  <c r="IQU30" i="6"/>
  <c r="IQT30" i="6"/>
  <c r="IQS30" i="6"/>
  <c r="IQR30" i="6"/>
  <c r="IQQ30" i="6"/>
  <c r="IQP30" i="6"/>
  <c r="IQO30" i="6"/>
  <c r="IQN30" i="6"/>
  <c r="IQM30" i="6"/>
  <c r="IQL30" i="6"/>
  <c r="IQK30" i="6"/>
  <c r="IQJ30" i="6"/>
  <c r="IQI30" i="6"/>
  <c r="IQH30" i="6"/>
  <c r="IQG30" i="6"/>
  <c r="IQF30" i="6"/>
  <c r="IQE30" i="6"/>
  <c r="IQD30" i="6"/>
  <c r="IQC30" i="6"/>
  <c r="IQB30" i="6"/>
  <c r="IQA30" i="6"/>
  <c r="IPZ30" i="6"/>
  <c r="IPY30" i="6"/>
  <c r="IPX30" i="6"/>
  <c r="IPW30" i="6"/>
  <c r="IPV30" i="6"/>
  <c r="IPU30" i="6"/>
  <c r="IPT30" i="6"/>
  <c r="IPS30" i="6"/>
  <c r="IPR30" i="6"/>
  <c r="IPQ30" i="6"/>
  <c r="IPP30" i="6"/>
  <c r="IPO30" i="6"/>
  <c r="IPN30" i="6"/>
  <c r="IPM30" i="6"/>
  <c r="IPL30" i="6"/>
  <c r="IPK30" i="6"/>
  <c r="IPJ30" i="6"/>
  <c r="IPI30" i="6"/>
  <c r="IPH30" i="6"/>
  <c r="IPG30" i="6"/>
  <c r="IPF30" i="6"/>
  <c r="IPE30" i="6"/>
  <c r="IPD30" i="6"/>
  <c r="IPC30" i="6"/>
  <c r="IPB30" i="6"/>
  <c r="IPA30" i="6"/>
  <c r="IOZ30" i="6"/>
  <c r="IOY30" i="6"/>
  <c r="IOX30" i="6"/>
  <c r="IOW30" i="6"/>
  <c r="IOV30" i="6"/>
  <c r="IOU30" i="6"/>
  <c r="IOT30" i="6"/>
  <c r="IOS30" i="6"/>
  <c r="IOR30" i="6"/>
  <c r="IOQ30" i="6"/>
  <c r="IOP30" i="6"/>
  <c r="IOO30" i="6"/>
  <c r="ION30" i="6"/>
  <c r="IOM30" i="6"/>
  <c r="IOL30" i="6"/>
  <c r="IOK30" i="6"/>
  <c r="IOJ30" i="6"/>
  <c r="IOI30" i="6"/>
  <c r="IOH30" i="6"/>
  <c r="IOG30" i="6"/>
  <c r="IOF30" i="6"/>
  <c r="IOE30" i="6"/>
  <c r="IOD30" i="6"/>
  <c r="IOC30" i="6"/>
  <c r="IOB30" i="6"/>
  <c r="IOA30" i="6"/>
  <c r="INZ30" i="6"/>
  <c r="INY30" i="6"/>
  <c r="INX30" i="6"/>
  <c r="INW30" i="6"/>
  <c r="INV30" i="6"/>
  <c r="INU30" i="6"/>
  <c r="INT30" i="6"/>
  <c r="INS30" i="6"/>
  <c r="INR30" i="6"/>
  <c r="INQ30" i="6"/>
  <c r="INP30" i="6"/>
  <c r="INO30" i="6"/>
  <c r="INN30" i="6"/>
  <c r="INM30" i="6"/>
  <c r="INL30" i="6"/>
  <c r="INK30" i="6"/>
  <c r="INJ30" i="6"/>
  <c r="INI30" i="6"/>
  <c r="INH30" i="6"/>
  <c r="ING30" i="6"/>
  <c r="INF30" i="6"/>
  <c r="INE30" i="6"/>
  <c r="IND30" i="6"/>
  <c r="INC30" i="6"/>
  <c r="INB30" i="6"/>
  <c r="INA30" i="6"/>
  <c r="IMZ30" i="6"/>
  <c r="IMY30" i="6"/>
  <c r="IMX30" i="6"/>
  <c r="IMW30" i="6"/>
  <c r="IMV30" i="6"/>
  <c r="IMU30" i="6"/>
  <c r="IMT30" i="6"/>
  <c r="IMS30" i="6"/>
  <c r="IMR30" i="6"/>
  <c r="IMQ30" i="6"/>
  <c r="IMP30" i="6"/>
  <c r="IMO30" i="6"/>
  <c r="IMN30" i="6"/>
  <c r="IMM30" i="6"/>
  <c r="IML30" i="6"/>
  <c r="IMK30" i="6"/>
  <c r="IMJ30" i="6"/>
  <c r="IMI30" i="6"/>
  <c r="IMH30" i="6"/>
  <c r="IMG30" i="6"/>
  <c r="IMF30" i="6"/>
  <c r="IME30" i="6"/>
  <c r="IMD30" i="6"/>
  <c r="IMC30" i="6"/>
  <c r="IMB30" i="6"/>
  <c r="IMA30" i="6"/>
  <c r="ILZ30" i="6"/>
  <c r="ILY30" i="6"/>
  <c r="ILX30" i="6"/>
  <c r="ILW30" i="6"/>
  <c r="ILV30" i="6"/>
  <c r="ILU30" i="6"/>
  <c r="ILT30" i="6"/>
  <c r="ILS30" i="6"/>
  <c r="ILR30" i="6"/>
  <c r="ILQ30" i="6"/>
  <c r="ILP30" i="6"/>
  <c r="ILO30" i="6"/>
  <c r="ILN30" i="6"/>
  <c r="ILM30" i="6"/>
  <c r="ILL30" i="6"/>
  <c r="ILK30" i="6"/>
  <c r="ILJ30" i="6"/>
  <c r="ILI30" i="6"/>
  <c r="ILH30" i="6"/>
  <c r="ILG30" i="6"/>
  <c r="ILF30" i="6"/>
  <c r="ILE30" i="6"/>
  <c r="ILD30" i="6"/>
  <c r="ILC30" i="6"/>
  <c r="ILB30" i="6"/>
  <c r="ILA30" i="6"/>
  <c r="IKZ30" i="6"/>
  <c r="IKY30" i="6"/>
  <c r="IKX30" i="6"/>
  <c r="IKW30" i="6"/>
  <c r="IKV30" i="6"/>
  <c r="IKU30" i="6"/>
  <c r="IKT30" i="6"/>
  <c r="IKS30" i="6"/>
  <c r="IKR30" i="6"/>
  <c r="IKQ30" i="6"/>
  <c r="IKP30" i="6"/>
  <c r="IKO30" i="6"/>
  <c r="IKN30" i="6"/>
  <c r="IKM30" i="6"/>
  <c r="IKL30" i="6"/>
  <c r="IKK30" i="6"/>
  <c r="IKJ30" i="6"/>
  <c r="IKI30" i="6"/>
  <c r="IKH30" i="6"/>
  <c r="IKG30" i="6"/>
  <c r="IKF30" i="6"/>
  <c r="IKE30" i="6"/>
  <c r="IKD30" i="6"/>
  <c r="IKC30" i="6"/>
  <c r="IKB30" i="6"/>
  <c r="IKA30" i="6"/>
  <c r="IJZ30" i="6"/>
  <c r="IJY30" i="6"/>
  <c r="IJX30" i="6"/>
  <c r="IJW30" i="6"/>
  <c r="IJV30" i="6"/>
  <c r="IJU30" i="6"/>
  <c r="IJT30" i="6"/>
  <c r="IJS30" i="6"/>
  <c r="IJR30" i="6"/>
  <c r="IJQ30" i="6"/>
  <c r="IJP30" i="6"/>
  <c r="IJO30" i="6"/>
  <c r="IJN30" i="6"/>
  <c r="IJM30" i="6"/>
  <c r="IJL30" i="6"/>
  <c r="IJK30" i="6"/>
  <c r="IJJ30" i="6"/>
  <c r="IJI30" i="6"/>
  <c r="IJH30" i="6"/>
  <c r="IJG30" i="6"/>
  <c r="IJF30" i="6"/>
  <c r="IJE30" i="6"/>
  <c r="IJD30" i="6"/>
  <c r="IJC30" i="6"/>
  <c r="IJB30" i="6"/>
  <c r="IJA30" i="6"/>
  <c r="IIZ30" i="6"/>
  <c r="IIY30" i="6"/>
  <c r="IIX30" i="6"/>
  <c r="IIW30" i="6"/>
  <c r="IIV30" i="6"/>
  <c r="IIU30" i="6"/>
  <c r="IIT30" i="6"/>
  <c r="IIS30" i="6"/>
  <c r="IIR30" i="6"/>
  <c r="IIQ30" i="6"/>
  <c r="IIP30" i="6"/>
  <c r="IIO30" i="6"/>
  <c r="IIN30" i="6"/>
  <c r="IIM30" i="6"/>
  <c r="IIL30" i="6"/>
  <c r="IIK30" i="6"/>
  <c r="IIJ30" i="6"/>
  <c r="III30" i="6"/>
  <c r="IIH30" i="6"/>
  <c r="IIG30" i="6"/>
  <c r="IIF30" i="6"/>
  <c r="IIE30" i="6"/>
  <c r="IID30" i="6"/>
  <c r="IIC30" i="6"/>
  <c r="IIB30" i="6"/>
  <c r="IIA30" i="6"/>
  <c r="IHZ30" i="6"/>
  <c r="IHY30" i="6"/>
  <c r="IHX30" i="6"/>
  <c r="IHW30" i="6"/>
  <c r="IHV30" i="6"/>
  <c r="IHU30" i="6"/>
  <c r="IHT30" i="6"/>
  <c r="IHS30" i="6"/>
  <c r="IHR30" i="6"/>
  <c r="IHQ30" i="6"/>
  <c r="IHP30" i="6"/>
  <c r="IHO30" i="6"/>
  <c r="IHN30" i="6"/>
  <c r="IHM30" i="6"/>
  <c r="IHL30" i="6"/>
  <c r="IHK30" i="6"/>
  <c r="IHJ30" i="6"/>
  <c r="IHI30" i="6"/>
  <c r="IHH30" i="6"/>
  <c r="IHG30" i="6"/>
  <c r="IHF30" i="6"/>
  <c r="IHE30" i="6"/>
  <c r="IHD30" i="6"/>
  <c r="IHC30" i="6"/>
  <c r="IHB30" i="6"/>
  <c r="IHA30" i="6"/>
  <c r="IGZ30" i="6"/>
  <c r="IGY30" i="6"/>
  <c r="IGX30" i="6"/>
  <c r="IGW30" i="6"/>
  <c r="IGV30" i="6"/>
  <c r="IGU30" i="6"/>
  <c r="IGT30" i="6"/>
  <c r="IGS30" i="6"/>
  <c r="IGR30" i="6"/>
  <c r="IGQ30" i="6"/>
  <c r="IGP30" i="6"/>
  <c r="IGO30" i="6"/>
  <c r="IGN30" i="6"/>
  <c r="IGM30" i="6"/>
  <c r="IGL30" i="6"/>
  <c r="IGK30" i="6"/>
  <c r="IGJ30" i="6"/>
  <c r="IGI30" i="6"/>
  <c r="IGH30" i="6"/>
  <c r="IGG30" i="6"/>
  <c r="IGF30" i="6"/>
  <c r="IGE30" i="6"/>
  <c r="IGD30" i="6"/>
  <c r="IGC30" i="6"/>
  <c r="IGB30" i="6"/>
  <c r="IGA30" i="6"/>
  <c r="IFZ30" i="6"/>
  <c r="IFY30" i="6"/>
  <c r="IFX30" i="6"/>
  <c r="IFW30" i="6"/>
  <c r="IFV30" i="6"/>
  <c r="IFU30" i="6"/>
  <c r="IFT30" i="6"/>
  <c r="IFS30" i="6"/>
  <c r="IFR30" i="6"/>
  <c r="IFQ30" i="6"/>
  <c r="IFP30" i="6"/>
  <c r="IFO30" i="6"/>
  <c r="IFN30" i="6"/>
  <c r="IFM30" i="6"/>
  <c r="IFL30" i="6"/>
  <c r="IFK30" i="6"/>
  <c r="IFJ30" i="6"/>
  <c r="IFI30" i="6"/>
  <c r="IFH30" i="6"/>
  <c r="IFG30" i="6"/>
  <c r="IFF30" i="6"/>
  <c r="IFE30" i="6"/>
  <c r="IFD30" i="6"/>
  <c r="IFC30" i="6"/>
  <c r="IFB30" i="6"/>
  <c r="IFA30" i="6"/>
  <c r="IEZ30" i="6"/>
  <c r="IEY30" i="6"/>
  <c r="IEX30" i="6"/>
  <c r="IEW30" i="6"/>
  <c r="IEV30" i="6"/>
  <c r="IEU30" i="6"/>
  <c r="IET30" i="6"/>
  <c r="IES30" i="6"/>
  <c r="IER30" i="6"/>
  <c r="IEQ30" i="6"/>
  <c r="IEP30" i="6"/>
  <c r="IEO30" i="6"/>
  <c r="IEN30" i="6"/>
  <c r="IEM30" i="6"/>
  <c r="IEL30" i="6"/>
  <c r="IEK30" i="6"/>
  <c r="IEJ30" i="6"/>
  <c r="IEI30" i="6"/>
  <c r="IEH30" i="6"/>
  <c r="IEG30" i="6"/>
  <c r="IEF30" i="6"/>
  <c r="IEE30" i="6"/>
  <c r="IED30" i="6"/>
  <c r="IEC30" i="6"/>
  <c r="IEB30" i="6"/>
  <c r="IEA30" i="6"/>
  <c r="IDZ30" i="6"/>
  <c r="IDY30" i="6"/>
  <c r="IDX30" i="6"/>
  <c r="IDW30" i="6"/>
  <c r="IDV30" i="6"/>
  <c r="IDU30" i="6"/>
  <c r="IDT30" i="6"/>
  <c r="IDS30" i="6"/>
  <c r="IDR30" i="6"/>
  <c r="IDQ30" i="6"/>
  <c r="IDP30" i="6"/>
  <c r="IDO30" i="6"/>
  <c r="IDN30" i="6"/>
  <c r="IDM30" i="6"/>
  <c r="IDL30" i="6"/>
  <c r="IDK30" i="6"/>
  <c r="IDJ30" i="6"/>
  <c r="IDI30" i="6"/>
  <c r="IDH30" i="6"/>
  <c r="IDG30" i="6"/>
  <c r="IDF30" i="6"/>
  <c r="IDE30" i="6"/>
  <c r="IDD30" i="6"/>
  <c r="IDC30" i="6"/>
  <c r="IDB30" i="6"/>
  <c r="IDA30" i="6"/>
  <c r="ICZ30" i="6"/>
  <c r="ICY30" i="6"/>
  <c r="ICX30" i="6"/>
  <c r="ICW30" i="6"/>
  <c r="ICV30" i="6"/>
  <c r="ICU30" i="6"/>
  <c r="ICT30" i="6"/>
  <c r="ICS30" i="6"/>
  <c r="ICR30" i="6"/>
  <c r="ICQ30" i="6"/>
  <c r="ICP30" i="6"/>
  <c r="ICO30" i="6"/>
  <c r="ICN30" i="6"/>
  <c r="ICM30" i="6"/>
  <c r="ICL30" i="6"/>
  <c r="ICK30" i="6"/>
  <c r="ICJ30" i="6"/>
  <c r="ICI30" i="6"/>
  <c r="ICH30" i="6"/>
  <c r="ICG30" i="6"/>
  <c r="ICF30" i="6"/>
  <c r="ICE30" i="6"/>
  <c r="ICD30" i="6"/>
  <c r="ICC30" i="6"/>
  <c r="ICB30" i="6"/>
  <c r="ICA30" i="6"/>
  <c r="IBZ30" i="6"/>
  <c r="IBY30" i="6"/>
  <c r="IBX30" i="6"/>
  <c r="IBW30" i="6"/>
  <c r="IBV30" i="6"/>
  <c r="IBU30" i="6"/>
  <c r="IBT30" i="6"/>
  <c r="IBS30" i="6"/>
  <c r="IBR30" i="6"/>
  <c r="IBQ30" i="6"/>
  <c r="IBP30" i="6"/>
  <c r="IBO30" i="6"/>
  <c r="IBN30" i="6"/>
  <c r="IBM30" i="6"/>
  <c r="IBL30" i="6"/>
  <c r="IBK30" i="6"/>
  <c r="IBJ30" i="6"/>
  <c r="IBI30" i="6"/>
  <c r="IBH30" i="6"/>
  <c r="IBG30" i="6"/>
  <c r="IBF30" i="6"/>
  <c r="IBE30" i="6"/>
  <c r="IBD30" i="6"/>
  <c r="IBC30" i="6"/>
  <c r="IBB30" i="6"/>
  <c r="IBA30" i="6"/>
  <c r="IAZ30" i="6"/>
  <c r="IAY30" i="6"/>
  <c r="IAX30" i="6"/>
  <c r="IAW30" i="6"/>
  <c r="IAV30" i="6"/>
  <c r="IAU30" i="6"/>
  <c r="IAT30" i="6"/>
  <c r="IAS30" i="6"/>
  <c r="IAR30" i="6"/>
  <c r="IAQ30" i="6"/>
  <c r="IAP30" i="6"/>
  <c r="IAO30" i="6"/>
  <c r="IAN30" i="6"/>
  <c r="IAM30" i="6"/>
  <c r="IAL30" i="6"/>
  <c r="IAK30" i="6"/>
  <c r="IAJ30" i="6"/>
  <c r="IAI30" i="6"/>
  <c r="IAH30" i="6"/>
  <c r="IAG30" i="6"/>
  <c r="IAF30" i="6"/>
  <c r="IAE30" i="6"/>
  <c r="IAD30" i="6"/>
  <c r="IAC30" i="6"/>
  <c r="IAB30" i="6"/>
  <c r="IAA30" i="6"/>
  <c r="HZZ30" i="6"/>
  <c r="HZY30" i="6"/>
  <c r="HZX30" i="6"/>
  <c r="HZW30" i="6"/>
  <c r="HZV30" i="6"/>
  <c r="HZU30" i="6"/>
  <c r="HZT30" i="6"/>
  <c r="HZS30" i="6"/>
  <c r="HZR30" i="6"/>
  <c r="HZQ30" i="6"/>
  <c r="HZP30" i="6"/>
  <c r="HZO30" i="6"/>
  <c r="HZN30" i="6"/>
  <c r="HZM30" i="6"/>
  <c r="HZL30" i="6"/>
  <c r="HZK30" i="6"/>
  <c r="HZJ30" i="6"/>
  <c r="HZI30" i="6"/>
  <c r="HZH30" i="6"/>
  <c r="HZG30" i="6"/>
  <c r="HZF30" i="6"/>
  <c r="HZE30" i="6"/>
  <c r="HZD30" i="6"/>
  <c r="HZC30" i="6"/>
  <c r="HZB30" i="6"/>
  <c r="HZA30" i="6"/>
  <c r="HYZ30" i="6"/>
  <c r="HYY30" i="6"/>
  <c r="HYX30" i="6"/>
  <c r="HYW30" i="6"/>
  <c r="HYV30" i="6"/>
  <c r="HYU30" i="6"/>
  <c r="HYT30" i="6"/>
  <c r="HYS30" i="6"/>
  <c r="HYR30" i="6"/>
  <c r="HYQ30" i="6"/>
  <c r="HYP30" i="6"/>
  <c r="HYO30" i="6"/>
  <c r="HYN30" i="6"/>
  <c r="HYM30" i="6"/>
  <c r="HYL30" i="6"/>
  <c r="HYK30" i="6"/>
  <c r="HYJ30" i="6"/>
  <c r="HYI30" i="6"/>
  <c r="HYH30" i="6"/>
  <c r="HYG30" i="6"/>
  <c r="HYF30" i="6"/>
  <c r="HYE30" i="6"/>
  <c r="HYD30" i="6"/>
  <c r="HYC30" i="6"/>
  <c r="HYB30" i="6"/>
  <c r="HYA30" i="6"/>
  <c r="HXZ30" i="6"/>
  <c r="HXY30" i="6"/>
  <c r="HXX30" i="6"/>
  <c r="HXW30" i="6"/>
  <c r="HXV30" i="6"/>
  <c r="HXU30" i="6"/>
  <c r="HXT30" i="6"/>
  <c r="HXS30" i="6"/>
  <c r="HXR30" i="6"/>
  <c r="HXQ30" i="6"/>
  <c r="HXP30" i="6"/>
  <c r="HXO30" i="6"/>
  <c r="HXN30" i="6"/>
  <c r="HXM30" i="6"/>
  <c r="HXL30" i="6"/>
  <c r="HXK30" i="6"/>
  <c r="HXJ30" i="6"/>
  <c r="HXI30" i="6"/>
  <c r="HXH30" i="6"/>
  <c r="HXG30" i="6"/>
  <c r="HXF30" i="6"/>
  <c r="HXE30" i="6"/>
  <c r="HXD30" i="6"/>
  <c r="HXC30" i="6"/>
  <c r="HXB30" i="6"/>
  <c r="HXA30" i="6"/>
  <c r="HWZ30" i="6"/>
  <c r="HWY30" i="6"/>
  <c r="HWX30" i="6"/>
  <c r="HWW30" i="6"/>
  <c r="HWV30" i="6"/>
  <c r="HWU30" i="6"/>
  <c r="HWT30" i="6"/>
  <c r="HWS30" i="6"/>
  <c r="HWR30" i="6"/>
  <c r="HWQ30" i="6"/>
  <c r="HWP30" i="6"/>
  <c r="HWO30" i="6"/>
  <c r="HWN30" i="6"/>
  <c r="HWM30" i="6"/>
  <c r="HWL30" i="6"/>
  <c r="HWK30" i="6"/>
  <c r="HWJ30" i="6"/>
  <c r="HWI30" i="6"/>
  <c r="HWH30" i="6"/>
  <c r="HWG30" i="6"/>
  <c r="HWF30" i="6"/>
  <c r="HWE30" i="6"/>
  <c r="HWD30" i="6"/>
  <c r="HWC30" i="6"/>
  <c r="HWB30" i="6"/>
  <c r="HWA30" i="6"/>
  <c r="HVZ30" i="6"/>
  <c r="HVY30" i="6"/>
  <c r="HVX30" i="6"/>
  <c r="HVW30" i="6"/>
  <c r="HVV30" i="6"/>
  <c r="HVU30" i="6"/>
  <c r="HVT30" i="6"/>
  <c r="HVS30" i="6"/>
  <c r="HVR30" i="6"/>
  <c r="HVQ30" i="6"/>
  <c r="HVP30" i="6"/>
  <c r="HVO30" i="6"/>
  <c r="HVN30" i="6"/>
  <c r="HVM30" i="6"/>
  <c r="HVL30" i="6"/>
  <c r="HVK30" i="6"/>
  <c r="HVJ30" i="6"/>
  <c r="HVI30" i="6"/>
  <c r="HVH30" i="6"/>
  <c r="HVG30" i="6"/>
  <c r="HVF30" i="6"/>
  <c r="HVE30" i="6"/>
  <c r="HVD30" i="6"/>
  <c r="HVC30" i="6"/>
  <c r="HVB30" i="6"/>
  <c r="HVA30" i="6"/>
  <c r="HUZ30" i="6"/>
  <c r="HUY30" i="6"/>
  <c r="HUX30" i="6"/>
  <c r="HUW30" i="6"/>
  <c r="HUV30" i="6"/>
  <c r="HUU30" i="6"/>
  <c r="HUT30" i="6"/>
  <c r="HUS30" i="6"/>
  <c r="HUR30" i="6"/>
  <c r="HUQ30" i="6"/>
  <c r="HUP30" i="6"/>
  <c r="HUO30" i="6"/>
  <c r="HUN30" i="6"/>
  <c r="HUM30" i="6"/>
  <c r="HUL30" i="6"/>
  <c r="HUK30" i="6"/>
  <c r="HUJ30" i="6"/>
  <c r="HUI30" i="6"/>
  <c r="HUH30" i="6"/>
  <c r="HUG30" i="6"/>
  <c r="HUF30" i="6"/>
  <c r="HUE30" i="6"/>
  <c r="HUD30" i="6"/>
  <c r="HUC30" i="6"/>
  <c r="HUB30" i="6"/>
  <c r="HUA30" i="6"/>
  <c r="HTZ30" i="6"/>
  <c r="HTY30" i="6"/>
  <c r="HTX30" i="6"/>
  <c r="HTW30" i="6"/>
  <c r="HTV30" i="6"/>
  <c r="HTU30" i="6"/>
  <c r="HTT30" i="6"/>
  <c r="HTS30" i="6"/>
  <c r="HTR30" i="6"/>
  <c r="HTQ30" i="6"/>
  <c r="HTP30" i="6"/>
  <c r="HTO30" i="6"/>
  <c r="HTN30" i="6"/>
  <c r="HTM30" i="6"/>
  <c r="HTL30" i="6"/>
  <c r="HTK30" i="6"/>
  <c r="HTJ30" i="6"/>
  <c r="HTI30" i="6"/>
  <c r="HTH30" i="6"/>
  <c r="HTG30" i="6"/>
  <c r="HTF30" i="6"/>
  <c r="HTE30" i="6"/>
  <c r="HTD30" i="6"/>
  <c r="HTC30" i="6"/>
  <c r="HTB30" i="6"/>
  <c r="HTA30" i="6"/>
  <c r="HSZ30" i="6"/>
  <c r="HSY30" i="6"/>
  <c r="HSX30" i="6"/>
  <c r="HSW30" i="6"/>
  <c r="HSV30" i="6"/>
  <c r="HSU30" i="6"/>
  <c r="HST30" i="6"/>
  <c r="HSS30" i="6"/>
  <c r="HSR30" i="6"/>
  <c r="HSQ30" i="6"/>
  <c r="HSP30" i="6"/>
  <c r="HSO30" i="6"/>
  <c r="HSN30" i="6"/>
  <c r="HSM30" i="6"/>
  <c r="HSL30" i="6"/>
  <c r="HSK30" i="6"/>
  <c r="HSJ30" i="6"/>
  <c r="HSI30" i="6"/>
  <c r="HSH30" i="6"/>
  <c r="HSG30" i="6"/>
  <c r="HSF30" i="6"/>
  <c r="HSE30" i="6"/>
  <c r="HSD30" i="6"/>
  <c r="HSC30" i="6"/>
  <c r="HSB30" i="6"/>
  <c r="HSA30" i="6"/>
  <c r="HRZ30" i="6"/>
  <c r="HRY30" i="6"/>
  <c r="HRX30" i="6"/>
  <c r="HRW30" i="6"/>
  <c r="HRV30" i="6"/>
  <c r="HRU30" i="6"/>
  <c r="HRT30" i="6"/>
  <c r="HRS30" i="6"/>
  <c r="HRR30" i="6"/>
  <c r="HRQ30" i="6"/>
  <c r="HRP30" i="6"/>
  <c r="HRO30" i="6"/>
  <c r="HRN30" i="6"/>
  <c r="HRM30" i="6"/>
  <c r="HRL30" i="6"/>
  <c r="HRK30" i="6"/>
  <c r="HRJ30" i="6"/>
  <c r="HRI30" i="6"/>
  <c r="HRH30" i="6"/>
  <c r="HRG30" i="6"/>
  <c r="HRF30" i="6"/>
  <c r="HRE30" i="6"/>
  <c r="HRD30" i="6"/>
  <c r="HRC30" i="6"/>
  <c r="HRB30" i="6"/>
  <c r="HRA30" i="6"/>
  <c r="HQZ30" i="6"/>
  <c r="HQY30" i="6"/>
  <c r="HQX30" i="6"/>
  <c r="HQW30" i="6"/>
  <c r="HQV30" i="6"/>
  <c r="HQU30" i="6"/>
  <c r="HQT30" i="6"/>
  <c r="HQS30" i="6"/>
  <c r="HQR30" i="6"/>
  <c r="HQQ30" i="6"/>
  <c r="HQP30" i="6"/>
  <c r="HQO30" i="6"/>
  <c r="HQN30" i="6"/>
  <c r="HQM30" i="6"/>
  <c r="HQL30" i="6"/>
  <c r="HQK30" i="6"/>
  <c r="HQJ30" i="6"/>
  <c r="HQI30" i="6"/>
  <c r="HQH30" i="6"/>
  <c r="HQG30" i="6"/>
  <c r="HQF30" i="6"/>
  <c r="HQE30" i="6"/>
  <c r="HQD30" i="6"/>
  <c r="HQC30" i="6"/>
  <c r="HQB30" i="6"/>
  <c r="HQA30" i="6"/>
  <c r="HPZ30" i="6"/>
  <c r="HPY30" i="6"/>
  <c r="HPX30" i="6"/>
  <c r="HPW30" i="6"/>
  <c r="HPV30" i="6"/>
  <c r="HPU30" i="6"/>
  <c r="HPT30" i="6"/>
  <c r="HPS30" i="6"/>
  <c r="HPR30" i="6"/>
  <c r="HPQ30" i="6"/>
  <c r="HPP30" i="6"/>
  <c r="HPO30" i="6"/>
  <c r="HPN30" i="6"/>
  <c r="HPM30" i="6"/>
  <c r="HPL30" i="6"/>
  <c r="HPK30" i="6"/>
  <c r="HPJ30" i="6"/>
  <c r="HPI30" i="6"/>
  <c r="HPH30" i="6"/>
  <c r="HPG30" i="6"/>
  <c r="HPF30" i="6"/>
  <c r="HPE30" i="6"/>
  <c r="HPD30" i="6"/>
  <c r="HPC30" i="6"/>
  <c r="HPB30" i="6"/>
  <c r="HPA30" i="6"/>
  <c r="HOZ30" i="6"/>
  <c r="HOY30" i="6"/>
  <c r="HOX30" i="6"/>
  <c r="HOW30" i="6"/>
  <c r="HOV30" i="6"/>
  <c r="HOU30" i="6"/>
  <c r="HOT30" i="6"/>
  <c r="HOS30" i="6"/>
  <c r="HOR30" i="6"/>
  <c r="HOQ30" i="6"/>
  <c r="HOP30" i="6"/>
  <c r="HOO30" i="6"/>
  <c r="HON30" i="6"/>
  <c r="HOM30" i="6"/>
  <c r="HOL30" i="6"/>
  <c r="HOK30" i="6"/>
  <c r="HOJ30" i="6"/>
  <c r="HOI30" i="6"/>
  <c r="HOH30" i="6"/>
  <c r="HOG30" i="6"/>
  <c r="HOF30" i="6"/>
  <c r="HOE30" i="6"/>
  <c r="HOD30" i="6"/>
  <c r="HOC30" i="6"/>
  <c r="HOB30" i="6"/>
  <c r="HOA30" i="6"/>
  <c r="HNZ30" i="6"/>
  <c r="HNY30" i="6"/>
  <c r="HNX30" i="6"/>
  <c r="HNW30" i="6"/>
  <c r="HNV30" i="6"/>
  <c r="HNU30" i="6"/>
  <c r="HNT30" i="6"/>
  <c r="HNS30" i="6"/>
  <c r="HNR30" i="6"/>
  <c r="HNQ30" i="6"/>
  <c r="HNP30" i="6"/>
  <c r="HNO30" i="6"/>
  <c r="HNN30" i="6"/>
  <c r="HNM30" i="6"/>
  <c r="HNL30" i="6"/>
  <c r="HNK30" i="6"/>
  <c r="HNJ30" i="6"/>
  <c r="HNI30" i="6"/>
  <c r="HNH30" i="6"/>
  <c r="HNG30" i="6"/>
  <c r="HNF30" i="6"/>
  <c r="HNE30" i="6"/>
  <c r="HND30" i="6"/>
  <c r="HNC30" i="6"/>
  <c r="HNB30" i="6"/>
  <c r="HNA30" i="6"/>
  <c r="HMZ30" i="6"/>
  <c r="HMY30" i="6"/>
  <c r="HMX30" i="6"/>
  <c r="HMW30" i="6"/>
  <c r="HMV30" i="6"/>
  <c r="HMU30" i="6"/>
  <c r="HMT30" i="6"/>
  <c r="HMS30" i="6"/>
  <c r="HMR30" i="6"/>
  <c r="HMQ30" i="6"/>
  <c r="HMP30" i="6"/>
  <c r="HMO30" i="6"/>
  <c r="HMN30" i="6"/>
  <c r="HMM30" i="6"/>
  <c r="HML30" i="6"/>
  <c r="HMK30" i="6"/>
  <c r="HMJ30" i="6"/>
  <c r="HMI30" i="6"/>
  <c r="HMH30" i="6"/>
  <c r="HMG30" i="6"/>
  <c r="HMF30" i="6"/>
  <c r="HME30" i="6"/>
  <c r="HMD30" i="6"/>
  <c r="HMC30" i="6"/>
  <c r="HMB30" i="6"/>
  <c r="HMA30" i="6"/>
  <c r="HLZ30" i="6"/>
  <c r="HLY30" i="6"/>
  <c r="HLX30" i="6"/>
  <c r="HLW30" i="6"/>
  <c r="HLV30" i="6"/>
  <c r="HLU30" i="6"/>
  <c r="HLT30" i="6"/>
  <c r="HLS30" i="6"/>
  <c r="HLR30" i="6"/>
  <c r="HLQ30" i="6"/>
  <c r="HLP30" i="6"/>
  <c r="HLO30" i="6"/>
  <c r="HLN30" i="6"/>
  <c r="HLM30" i="6"/>
  <c r="HLL30" i="6"/>
  <c r="HLK30" i="6"/>
  <c r="HLJ30" i="6"/>
  <c r="HLI30" i="6"/>
  <c r="HLH30" i="6"/>
  <c r="HLG30" i="6"/>
  <c r="HLF30" i="6"/>
  <c r="HLE30" i="6"/>
  <c r="HLD30" i="6"/>
  <c r="HLC30" i="6"/>
  <c r="HLB30" i="6"/>
  <c r="HLA30" i="6"/>
  <c r="HKZ30" i="6"/>
  <c r="HKY30" i="6"/>
  <c r="HKX30" i="6"/>
  <c r="HKW30" i="6"/>
  <c r="HKV30" i="6"/>
  <c r="HKU30" i="6"/>
  <c r="HKT30" i="6"/>
  <c r="HKS30" i="6"/>
  <c r="HKR30" i="6"/>
  <c r="HKQ30" i="6"/>
  <c r="HKP30" i="6"/>
  <c r="HKO30" i="6"/>
  <c r="HKN30" i="6"/>
  <c r="HKM30" i="6"/>
  <c r="HKL30" i="6"/>
  <c r="HKK30" i="6"/>
  <c r="HKJ30" i="6"/>
  <c r="HKI30" i="6"/>
  <c r="HKH30" i="6"/>
  <c r="HKG30" i="6"/>
  <c r="HKF30" i="6"/>
  <c r="HKE30" i="6"/>
  <c r="HKD30" i="6"/>
  <c r="HKC30" i="6"/>
  <c r="HKB30" i="6"/>
  <c r="HKA30" i="6"/>
  <c r="HJZ30" i="6"/>
  <c r="HJY30" i="6"/>
  <c r="HJX30" i="6"/>
  <c r="HJW30" i="6"/>
  <c r="HJV30" i="6"/>
  <c r="HJU30" i="6"/>
  <c r="HJT30" i="6"/>
  <c r="HJS30" i="6"/>
  <c r="HJR30" i="6"/>
  <c r="HJQ30" i="6"/>
  <c r="HJP30" i="6"/>
  <c r="HJO30" i="6"/>
  <c r="HJN30" i="6"/>
  <c r="HJM30" i="6"/>
  <c r="HJL30" i="6"/>
  <c r="HJK30" i="6"/>
  <c r="HJJ30" i="6"/>
  <c r="HJI30" i="6"/>
  <c r="HJH30" i="6"/>
  <c r="HJG30" i="6"/>
  <c r="HJF30" i="6"/>
  <c r="HJE30" i="6"/>
  <c r="HJD30" i="6"/>
  <c r="HJC30" i="6"/>
  <c r="HJB30" i="6"/>
  <c r="HJA30" i="6"/>
  <c r="HIZ30" i="6"/>
  <c r="HIY30" i="6"/>
  <c r="HIX30" i="6"/>
  <c r="HIW30" i="6"/>
  <c r="HIV30" i="6"/>
  <c r="HIU30" i="6"/>
  <c r="HIT30" i="6"/>
  <c r="HIS30" i="6"/>
  <c r="HIR30" i="6"/>
  <c r="HIQ30" i="6"/>
  <c r="HIP30" i="6"/>
  <c r="HIO30" i="6"/>
  <c r="HIN30" i="6"/>
  <c r="HIM30" i="6"/>
  <c r="HIL30" i="6"/>
  <c r="HIK30" i="6"/>
  <c r="HIJ30" i="6"/>
  <c r="HII30" i="6"/>
  <c r="HIH30" i="6"/>
  <c r="HIG30" i="6"/>
  <c r="HIF30" i="6"/>
  <c r="HIE30" i="6"/>
  <c r="HID30" i="6"/>
  <c r="HIC30" i="6"/>
  <c r="HIB30" i="6"/>
  <c r="HIA30" i="6"/>
  <c r="HHZ30" i="6"/>
  <c r="HHY30" i="6"/>
  <c r="HHX30" i="6"/>
  <c r="HHW30" i="6"/>
  <c r="HHV30" i="6"/>
  <c r="HHU30" i="6"/>
  <c r="HHT30" i="6"/>
  <c r="HHS30" i="6"/>
  <c r="HHR30" i="6"/>
  <c r="HHQ30" i="6"/>
  <c r="HHP30" i="6"/>
  <c r="HHO30" i="6"/>
  <c r="HHN30" i="6"/>
  <c r="HHM30" i="6"/>
  <c r="HHL30" i="6"/>
  <c r="HHK30" i="6"/>
  <c r="HHJ30" i="6"/>
  <c r="HHI30" i="6"/>
  <c r="HHH30" i="6"/>
  <c r="HHG30" i="6"/>
  <c r="HHF30" i="6"/>
  <c r="HHE30" i="6"/>
  <c r="HHD30" i="6"/>
  <c r="HHC30" i="6"/>
  <c r="HHB30" i="6"/>
  <c r="HHA30" i="6"/>
  <c r="HGZ30" i="6"/>
  <c r="HGY30" i="6"/>
  <c r="HGX30" i="6"/>
  <c r="HGW30" i="6"/>
  <c r="HGV30" i="6"/>
  <c r="HGU30" i="6"/>
  <c r="HGT30" i="6"/>
  <c r="HGS30" i="6"/>
  <c r="HGR30" i="6"/>
  <c r="HGQ30" i="6"/>
  <c r="HGP30" i="6"/>
  <c r="HGO30" i="6"/>
  <c r="HGN30" i="6"/>
  <c r="HGM30" i="6"/>
  <c r="HGL30" i="6"/>
  <c r="HGK30" i="6"/>
  <c r="HGJ30" i="6"/>
  <c r="HGI30" i="6"/>
  <c r="HGH30" i="6"/>
  <c r="HGG30" i="6"/>
  <c r="HGF30" i="6"/>
  <c r="HGE30" i="6"/>
  <c r="HGD30" i="6"/>
  <c r="HGC30" i="6"/>
  <c r="HGB30" i="6"/>
  <c r="HGA30" i="6"/>
  <c r="HFZ30" i="6"/>
  <c r="HFY30" i="6"/>
  <c r="HFX30" i="6"/>
  <c r="HFW30" i="6"/>
  <c r="HFV30" i="6"/>
  <c r="HFU30" i="6"/>
  <c r="HFT30" i="6"/>
  <c r="HFS30" i="6"/>
  <c r="HFR30" i="6"/>
  <c r="HFQ30" i="6"/>
  <c r="HFP30" i="6"/>
  <c r="HFO30" i="6"/>
  <c r="HFN30" i="6"/>
  <c r="HFM30" i="6"/>
  <c r="HFL30" i="6"/>
  <c r="HFK30" i="6"/>
  <c r="HFJ30" i="6"/>
  <c r="HFI30" i="6"/>
  <c r="HFH30" i="6"/>
  <c r="HFG30" i="6"/>
  <c r="HFF30" i="6"/>
  <c r="HFE30" i="6"/>
  <c r="HFD30" i="6"/>
  <c r="HFC30" i="6"/>
  <c r="HFB30" i="6"/>
  <c r="HFA30" i="6"/>
  <c r="HEZ30" i="6"/>
  <c r="HEY30" i="6"/>
  <c r="HEX30" i="6"/>
  <c r="HEW30" i="6"/>
  <c r="HEV30" i="6"/>
  <c r="HEU30" i="6"/>
  <c r="HET30" i="6"/>
  <c r="HES30" i="6"/>
  <c r="HER30" i="6"/>
  <c r="HEQ30" i="6"/>
  <c r="HEP30" i="6"/>
  <c r="HEO30" i="6"/>
  <c r="HEN30" i="6"/>
  <c r="HEM30" i="6"/>
  <c r="HEL30" i="6"/>
  <c r="HEK30" i="6"/>
  <c r="HEJ30" i="6"/>
  <c r="HEI30" i="6"/>
  <c r="HEH30" i="6"/>
  <c r="HEG30" i="6"/>
  <c r="HEF30" i="6"/>
  <c r="HEE30" i="6"/>
  <c r="HED30" i="6"/>
  <c r="HEC30" i="6"/>
  <c r="HEB30" i="6"/>
  <c r="HEA30" i="6"/>
  <c r="HDZ30" i="6"/>
  <c r="HDY30" i="6"/>
  <c r="HDX30" i="6"/>
  <c r="HDW30" i="6"/>
  <c r="HDV30" i="6"/>
  <c r="HDU30" i="6"/>
  <c r="HDT30" i="6"/>
  <c r="HDS30" i="6"/>
  <c r="HDR30" i="6"/>
  <c r="HDQ30" i="6"/>
  <c r="HDP30" i="6"/>
  <c r="HDO30" i="6"/>
  <c r="HDN30" i="6"/>
  <c r="HDM30" i="6"/>
  <c r="HDL30" i="6"/>
  <c r="HDK30" i="6"/>
  <c r="HDJ30" i="6"/>
  <c r="HDI30" i="6"/>
  <c r="HDH30" i="6"/>
  <c r="HDG30" i="6"/>
  <c r="HDF30" i="6"/>
  <c r="HDE30" i="6"/>
  <c r="HDD30" i="6"/>
  <c r="HDC30" i="6"/>
  <c r="HDB30" i="6"/>
  <c r="HDA30" i="6"/>
  <c r="HCZ30" i="6"/>
  <c r="HCY30" i="6"/>
  <c r="HCX30" i="6"/>
  <c r="HCW30" i="6"/>
  <c r="HCV30" i="6"/>
  <c r="HCU30" i="6"/>
  <c r="HCT30" i="6"/>
  <c r="HCS30" i="6"/>
  <c r="HCR30" i="6"/>
  <c r="HCQ30" i="6"/>
  <c r="HCP30" i="6"/>
  <c r="HCO30" i="6"/>
  <c r="HCN30" i="6"/>
  <c r="HCM30" i="6"/>
  <c r="HCL30" i="6"/>
  <c r="HCK30" i="6"/>
  <c r="HCJ30" i="6"/>
  <c r="HCI30" i="6"/>
  <c r="HCH30" i="6"/>
  <c r="HCG30" i="6"/>
  <c r="HCF30" i="6"/>
  <c r="HCE30" i="6"/>
  <c r="HCD30" i="6"/>
  <c r="HCC30" i="6"/>
  <c r="HCB30" i="6"/>
  <c r="HCA30" i="6"/>
  <c r="HBZ30" i="6"/>
  <c r="HBY30" i="6"/>
  <c r="HBX30" i="6"/>
  <c r="HBW30" i="6"/>
  <c r="HBV30" i="6"/>
  <c r="HBU30" i="6"/>
  <c r="HBT30" i="6"/>
  <c r="HBS30" i="6"/>
  <c r="HBR30" i="6"/>
  <c r="HBQ30" i="6"/>
  <c r="HBP30" i="6"/>
  <c r="HBO30" i="6"/>
  <c r="HBN30" i="6"/>
  <c r="HBM30" i="6"/>
  <c r="HBL30" i="6"/>
  <c r="HBK30" i="6"/>
  <c r="HBJ30" i="6"/>
  <c r="HBI30" i="6"/>
  <c r="HBH30" i="6"/>
  <c r="HBG30" i="6"/>
  <c r="HBF30" i="6"/>
  <c r="HBE30" i="6"/>
  <c r="HBD30" i="6"/>
  <c r="HBC30" i="6"/>
  <c r="HBB30" i="6"/>
  <c r="HBA30" i="6"/>
  <c r="HAZ30" i="6"/>
  <c r="HAY30" i="6"/>
  <c r="HAX30" i="6"/>
  <c r="HAW30" i="6"/>
  <c r="HAV30" i="6"/>
  <c r="HAU30" i="6"/>
  <c r="HAT30" i="6"/>
  <c r="HAS30" i="6"/>
  <c r="HAR30" i="6"/>
  <c r="HAQ30" i="6"/>
  <c r="HAP30" i="6"/>
  <c r="HAO30" i="6"/>
  <c r="HAN30" i="6"/>
  <c r="HAM30" i="6"/>
  <c r="HAL30" i="6"/>
  <c r="HAK30" i="6"/>
  <c r="HAJ30" i="6"/>
  <c r="HAI30" i="6"/>
  <c r="HAH30" i="6"/>
  <c r="HAG30" i="6"/>
  <c r="HAF30" i="6"/>
  <c r="HAE30" i="6"/>
  <c r="HAD30" i="6"/>
  <c r="HAC30" i="6"/>
  <c r="HAB30" i="6"/>
  <c r="HAA30" i="6"/>
  <c r="GZZ30" i="6"/>
  <c r="GZY30" i="6"/>
  <c r="GZX30" i="6"/>
  <c r="GZW30" i="6"/>
  <c r="GZV30" i="6"/>
  <c r="GZU30" i="6"/>
  <c r="GZT30" i="6"/>
  <c r="GZS30" i="6"/>
  <c r="GZR30" i="6"/>
  <c r="GZQ30" i="6"/>
  <c r="GZP30" i="6"/>
  <c r="GZO30" i="6"/>
  <c r="GZN30" i="6"/>
  <c r="GZM30" i="6"/>
  <c r="GZL30" i="6"/>
  <c r="GZK30" i="6"/>
  <c r="GZJ30" i="6"/>
  <c r="GZI30" i="6"/>
  <c r="GZH30" i="6"/>
  <c r="GZG30" i="6"/>
  <c r="GZF30" i="6"/>
  <c r="GZE30" i="6"/>
  <c r="GZD30" i="6"/>
  <c r="GZC30" i="6"/>
  <c r="GZB30" i="6"/>
  <c r="GZA30" i="6"/>
  <c r="GYZ30" i="6"/>
  <c r="GYY30" i="6"/>
  <c r="GYX30" i="6"/>
  <c r="GYW30" i="6"/>
  <c r="GYV30" i="6"/>
  <c r="GYU30" i="6"/>
  <c r="GYT30" i="6"/>
  <c r="GYS30" i="6"/>
  <c r="GYR30" i="6"/>
  <c r="GYQ30" i="6"/>
  <c r="GYP30" i="6"/>
  <c r="GYO30" i="6"/>
  <c r="GYN30" i="6"/>
  <c r="GYM30" i="6"/>
  <c r="GYL30" i="6"/>
  <c r="GYK30" i="6"/>
  <c r="GYJ30" i="6"/>
  <c r="GYI30" i="6"/>
  <c r="GYH30" i="6"/>
  <c r="GYG30" i="6"/>
  <c r="GYF30" i="6"/>
  <c r="GYE30" i="6"/>
  <c r="GYD30" i="6"/>
  <c r="GYC30" i="6"/>
  <c r="GYB30" i="6"/>
  <c r="GYA30" i="6"/>
  <c r="GXZ30" i="6"/>
  <c r="GXY30" i="6"/>
  <c r="GXX30" i="6"/>
  <c r="GXW30" i="6"/>
  <c r="GXV30" i="6"/>
  <c r="GXU30" i="6"/>
  <c r="GXT30" i="6"/>
  <c r="GXS30" i="6"/>
  <c r="GXR30" i="6"/>
  <c r="GXQ30" i="6"/>
  <c r="GXP30" i="6"/>
  <c r="GXO30" i="6"/>
  <c r="GXN30" i="6"/>
  <c r="GXM30" i="6"/>
  <c r="GXL30" i="6"/>
  <c r="GXK30" i="6"/>
  <c r="GXJ30" i="6"/>
  <c r="GXI30" i="6"/>
  <c r="GXH30" i="6"/>
  <c r="GXG30" i="6"/>
  <c r="GXF30" i="6"/>
  <c r="GXE30" i="6"/>
  <c r="GXD30" i="6"/>
  <c r="GXC30" i="6"/>
  <c r="GXB30" i="6"/>
  <c r="GXA30" i="6"/>
  <c r="GWZ30" i="6"/>
  <c r="GWY30" i="6"/>
  <c r="GWX30" i="6"/>
  <c r="GWW30" i="6"/>
  <c r="GWV30" i="6"/>
  <c r="GWU30" i="6"/>
  <c r="GWT30" i="6"/>
  <c r="GWS30" i="6"/>
  <c r="GWR30" i="6"/>
  <c r="GWQ30" i="6"/>
  <c r="GWP30" i="6"/>
  <c r="GWO30" i="6"/>
  <c r="GWN30" i="6"/>
  <c r="GWM30" i="6"/>
  <c r="GWL30" i="6"/>
  <c r="GWK30" i="6"/>
  <c r="GWJ30" i="6"/>
  <c r="GWI30" i="6"/>
  <c r="GWH30" i="6"/>
  <c r="GWG30" i="6"/>
  <c r="GWF30" i="6"/>
  <c r="GWE30" i="6"/>
  <c r="GWD30" i="6"/>
  <c r="GWC30" i="6"/>
  <c r="GWB30" i="6"/>
  <c r="GWA30" i="6"/>
  <c r="GVZ30" i="6"/>
  <c r="GVY30" i="6"/>
  <c r="GVX30" i="6"/>
  <c r="GVW30" i="6"/>
  <c r="GVV30" i="6"/>
  <c r="GVU30" i="6"/>
  <c r="GVT30" i="6"/>
  <c r="GVS30" i="6"/>
  <c r="GVR30" i="6"/>
  <c r="GVQ30" i="6"/>
  <c r="GVP30" i="6"/>
  <c r="GVO30" i="6"/>
  <c r="GVN30" i="6"/>
  <c r="GVM30" i="6"/>
  <c r="GVL30" i="6"/>
  <c r="GVK30" i="6"/>
  <c r="GVJ30" i="6"/>
  <c r="GVI30" i="6"/>
  <c r="GVH30" i="6"/>
  <c r="GVG30" i="6"/>
  <c r="GVF30" i="6"/>
  <c r="GVE30" i="6"/>
  <c r="GVD30" i="6"/>
  <c r="GVC30" i="6"/>
  <c r="GVB30" i="6"/>
  <c r="GVA30" i="6"/>
  <c r="GUZ30" i="6"/>
  <c r="GUY30" i="6"/>
  <c r="GUX30" i="6"/>
  <c r="GUW30" i="6"/>
  <c r="GUV30" i="6"/>
  <c r="GUU30" i="6"/>
  <c r="GUT30" i="6"/>
  <c r="GUS30" i="6"/>
  <c r="GUR30" i="6"/>
  <c r="GUQ30" i="6"/>
  <c r="GUP30" i="6"/>
  <c r="GUO30" i="6"/>
  <c r="GUN30" i="6"/>
  <c r="GUM30" i="6"/>
  <c r="GUL30" i="6"/>
  <c r="GUK30" i="6"/>
  <c r="GUJ30" i="6"/>
  <c r="GUI30" i="6"/>
  <c r="GUH30" i="6"/>
  <c r="GUG30" i="6"/>
  <c r="GUF30" i="6"/>
  <c r="GUE30" i="6"/>
  <c r="GUD30" i="6"/>
  <c r="GUC30" i="6"/>
  <c r="GUB30" i="6"/>
  <c r="GUA30" i="6"/>
  <c r="GTZ30" i="6"/>
  <c r="GTY30" i="6"/>
  <c r="GTX30" i="6"/>
  <c r="GTW30" i="6"/>
  <c r="GTV30" i="6"/>
  <c r="GTU30" i="6"/>
  <c r="GTT30" i="6"/>
  <c r="GTS30" i="6"/>
  <c r="GTR30" i="6"/>
  <c r="GTQ30" i="6"/>
  <c r="GTP30" i="6"/>
  <c r="GTO30" i="6"/>
  <c r="GTN30" i="6"/>
  <c r="GTM30" i="6"/>
  <c r="GTL30" i="6"/>
  <c r="GTK30" i="6"/>
  <c r="GTJ30" i="6"/>
  <c r="GTI30" i="6"/>
  <c r="GTH30" i="6"/>
  <c r="GTG30" i="6"/>
  <c r="GTF30" i="6"/>
  <c r="GTE30" i="6"/>
  <c r="GTD30" i="6"/>
  <c r="GTC30" i="6"/>
  <c r="GTB30" i="6"/>
  <c r="GTA30" i="6"/>
  <c r="GSZ30" i="6"/>
  <c r="GSY30" i="6"/>
  <c r="GSX30" i="6"/>
  <c r="GSW30" i="6"/>
  <c r="GSV30" i="6"/>
  <c r="GSU30" i="6"/>
  <c r="GST30" i="6"/>
  <c r="GSS30" i="6"/>
  <c r="GSR30" i="6"/>
  <c r="GSQ30" i="6"/>
  <c r="GSP30" i="6"/>
  <c r="GSO30" i="6"/>
  <c r="GSN30" i="6"/>
  <c r="GSM30" i="6"/>
  <c r="GSL30" i="6"/>
  <c r="GSK30" i="6"/>
  <c r="GSJ30" i="6"/>
  <c r="GSI30" i="6"/>
  <c r="GSH30" i="6"/>
  <c r="GSG30" i="6"/>
  <c r="GSF30" i="6"/>
  <c r="GSE30" i="6"/>
  <c r="GSD30" i="6"/>
  <c r="GSC30" i="6"/>
  <c r="GSB30" i="6"/>
  <c r="GSA30" i="6"/>
  <c r="GRZ30" i="6"/>
  <c r="GRY30" i="6"/>
  <c r="GRX30" i="6"/>
  <c r="GRW30" i="6"/>
  <c r="GRV30" i="6"/>
  <c r="GRU30" i="6"/>
  <c r="GRT30" i="6"/>
  <c r="GRS30" i="6"/>
  <c r="GRR30" i="6"/>
  <c r="GRQ30" i="6"/>
  <c r="GRP30" i="6"/>
  <c r="GRO30" i="6"/>
  <c r="GRN30" i="6"/>
  <c r="GRM30" i="6"/>
  <c r="GRL30" i="6"/>
  <c r="GRK30" i="6"/>
  <c r="GRJ30" i="6"/>
  <c r="GRI30" i="6"/>
  <c r="GRH30" i="6"/>
  <c r="GRG30" i="6"/>
  <c r="GRF30" i="6"/>
  <c r="GRE30" i="6"/>
  <c r="GRD30" i="6"/>
  <c r="GRC30" i="6"/>
  <c r="GRB30" i="6"/>
  <c r="GRA30" i="6"/>
  <c r="GQZ30" i="6"/>
  <c r="GQY30" i="6"/>
  <c r="GQX30" i="6"/>
  <c r="GQW30" i="6"/>
  <c r="GQV30" i="6"/>
  <c r="GQU30" i="6"/>
  <c r="GQT30" i="6"/>
  <c r="GQS30" i="6"/>
  <c r="GQR30" i="6"/>
  <c r="GQQ30" i="6"/>
  <c r="GQP30" i="6"/>
  <c r="GQO30" i="6"/>
  <c r="GQN30" i="6"/>
  <c r="GQM30" i="6"/>
  <c r="GQL30" i="6"/>
  <c r="GQK30" i="6"/>
  <c r="GQJ30" i="6"/>
  <c r="GQI30" i="6"/>
  <c r="GQH30" i="6"/>
  <c r="GQG30" i="6"/>
  <c r="GQF30" i="6"/>
  <c r="GQE30" i="6"/>
  <c r="GQD30" i="6"/>
  <c r="GQC30" i="6"/>
  <c r="GQB30" i="6"/>
  <c r="GQA30" i="6"/>
  <c r="GPZ30" i="6"/>
  <c r="GPY30" i="6"/>
  <c r="GPX30" i="6"/>
  <c r="GPW30" i="6"/>
  <c r="GPV30" i="6"/>
  <c r="GPU30" i="6"/>
  <c r="GPT30" i="6"/>
  <c r="GPS30" i="6"/>
  <c r="GPR30" i="6"/>
  <c r="GPQ30" i="6"/>
  <c r="GPP30" i="6"/>
  <c r="GPO30" i="6"/>
  <c r="GPN30" i="6"/>
  <c r="GPM30" i="6"/>
  <c r="GPL30" i="6"/>
  <c r="GPK30" i="6"/>
  <c r="GPJ30" i="6"/>
  <c r="GPI30" i="6"/>
  <c r="GPH30" i="6"/>
  <c r="GPG30" i="6"/>
  <c r="GPF30" i="6"/>
  <c r="GPE30" i="6"/>
  <c r="GPD30" i="6"/>
  <c r="GPC30" i="6"/>
  <c r="GPB30" i="6"/>
  <c r="GPA30" i="6"/>
  <c r="GOZ30" i="6"/>
  <c r="GOY30" i="6"/>
  <c r="GOX30" i="6"/>
  <c r="GOW30" i="6"/>
  <c r="GOV30" i="6"/>
  <c r="GOU30" i="6"/>
  <c r="GOT30" i="6"/>
  <c r="GOS30" i="6"/>
  <c r="GOR30" i="6"/>
  <c r="GOQ30" i="6"/>
  <c r="GOP30" i="6"/>
  <c r="GOO30" i="6"/>
  <c r="GON30" i="6"/>
  <c r="GOM30" i="6"/>
  <c r="GOL30" i="6"/>
  <c r="GOK30" i="6"/>
  <c r="GOJ30" i="6"/>
  <c r="GOI30" i="6"/>
  <c r="GOH30" i="6"/>
  <c r="GOG30" i="6"/>
  <c r="GOF30" i="6"/>
  <c r="GOE30" i="6"/>
  <c r="GOD30" i="6"/>
  <c r="GOC30" i="6"/>
  <c r="GOB30" i="6"/>
  <c r="GOA30" i="6"/>
  <c r="GNZ30" i="6"/>
  <c r="GNY30" i="6"/>
  <c r="GNX30" i="6"/>
  <c r="GNW30" i="6"/>
  <c r="GNV30" i="6"/>
  <c r="GNU30" i="6"/>
  <c r="GNT30" i="6"/>
  <c r="GNS30" i="6"/>
  <c r="GNR30" i="6"/>
  <c r="GNQ30" i="6"/>
  <c r="GNP30" i="6"/>
  <c r="GNO30" i="6"/>
  <c r="GNN30" i="6"/>
  <c r="GNM30" i="6"/>
  <c r="GNL30" i="6"/>
  <c r="GNK30" i="6"/>
  <c r="GNJ30" i="6"/>
  <c r="GNI30" i="6"/>
  <c r="GNH30" i="6"/>
  <c r="GNG30" i="6"/>
  <c r="GNF30" i="6"/>
  <c r="GNE30" i="6"/>
  <c r="GND30" i="6"/>
  <c r="GNC30" i="6"/>
  <c r="GNB30" i="6"/>
  <c r="GNA30" i="6"/>
  <c r="GMZ30" i="6"/>
  <c r="GMY30" i="6"/>
  <c r="GMX30" i="6"/>
  <c r="GMW30" i="6"/>
  <c r="GMV30" i="6"/>
  <c r="GMU30" i="6"/>
  <c r="GMT30" i="6"/>
  <c r="GMS30" i="6"/>
  <c r="GMR30" i="6"/>
  <c r="GMQ30" i="6"/>
  <c r="GMP30" i="6"/>
  <c r="GMO30" i="6"/>
  <c r="GMN30" i="6"/>
  <c r="GMM30" i="6"/>
  <c r="GML30" i="6"/>
  <c r="GMK30" i="6"/>
  <c r="GMJ30" i="6"/>
  <c r="GMI30" i="6"/>
  <c r="GMH30" i="6"/>
  <c r="GMG30" i="6"/>
  <c r="GMF30" i="6"/>
  <c r="GME30" i="6"/>
  <c r="GMD30" i="6"/>
  <c r="GMC30" i="6"/>
  <c r="GMB30" i="6"/>
  <c r="GMA30" i="6"/>
  <c r="GLZ30" i="6"/>
  <c r="GLY30" i="6"/>
  <c r="GLX30" i="6"/>
  <c r="GLW30" i="6"/>
  <c r="GLV30" i="6"/>
  <c r="GLU30" i="6"/>
  <c r="GLT30" i="6"/>
  <c r="GLS30" i="6"/>
  <c r="GLR30" i="6"/>
  <c r="GLQ30" i="6"/>
  <c r="GLP30" i="6"/>
  <c r="GLO30" i="6"/>
  <c r="GLN30" i="6"/>
  <c r="GLM30" i="6"/>
  <c r="GLL30" i="6"/>
  <c r="GLK30" i="6"/>
  <c r="GLJ30" i="6"/>
  <c r="GLI30" i="6"/>
  <c r="GLH30" i="6"/>
  <c r="GLG30" i="6"/>
  <c r="GLF30" i="6"/>
  <c r="GLE30" i="6"/>
  <c r="GLD30" i="6"/>
  <c r="GLC30" i="6"/>
  <c r="GLB30" i="6"/>
  <c r="GLA30" i="6"/>
  <c r="GKZ30" i="6"/>
  <c r="GKY30" i="6"/>
  <c r="GKX30" i="6"/>
  <c r="GKW30" i="6"/>
  <c r="GKV30" i="6"/>
  <c r="GKU30" i="6"/>
  <c r="GKT30" i="6"/>
  <c r="GKS30" i="6"/>
  <c r="GKR30" i="6"/>
  <c r="GKQ30" i="6"/>
  <c r="GKP30" i="6"/>
  <c r="GKO30" i="6"/>
  <c r="GKN30" i="6"/>
  <c r="GKM30" i="6"/>
  <c r="GKL30" i="6"/>
  <c r="GKK30" i="6"/>
  <c r="GKJ30" i="6"/>
  <c r="GKI30" i="6"/>
  <c r="GKH30" i="6"/>
  <c r="GKG30" i="6"/>
  <c r="GKF30" i="6"/>
  <c r="GKE30" i="6"/>
  <c r="GKD30" i="6"/>
  <c r="GKC30" i="6"/>
  <c r="GKB30" i="6"/>
  <c r="GKA30" i="6"/>
  <c r="GJZ30" i="6"/>
  <c r="GJY30" i="6"/>
  <c r="GJX30" i="6"/>
  <c r="GJW30" i="6"/>
  <c r="GJV30" i="6"/>
  <c r="GJU30" i="6"/>
  <c r="GJT30" i="6"/>
  <c r="GJS30" i="6"/>
  <c r="GJR30" i="6"/>
  <c r="GJQ30" i="6"/>
  <c r="GJP30" i="6"/>
  <c r="GJO30" i="6"/>
  <c r="GJN30" i="6"/>
  <c r="GJM30" i="6"/>
  <c r="GJL30" i="6"/>
  <c r="GJK30" i="6"/>
  <c r="GJJ30" i="6"/>
  <c r="GJI30" i="6"/>
  <c r="GJH30" i="6"/>
  <c r="GJG30" i="6"/>
  <c r="GJF30" i="6"/>
  <c r="GJE30" i="6"/>
  <c r="GJD30" i="6"/>
  <c r="GJC30" i="6"/>
  <c r="GJB30" i="6"/>
  <c r="GJA30" i="6"/>
  <c r="GIZ30" i="6"/>
  <c r="GIY30" i="6"/>
  <c r="GIX30" i="6"/>
  <c r="GIW30" i="6"/>
  <c r="GIV30" i="6"/>
  <c r="GIU30" i="6"/>
  <c r="GIT30" i="6"/>
  <c r="GIS30" i="6"/>
  <c r="GIR30" i="6"/>
  <c r="GIQ30" i="6"/>
  <c r="GIP30" i="6"/>
  <c r="GIO30" i="6"/>
  <c r="GIN30" i="6"/>
  <c r="GIM30" i="6"/>
  <c r="GIL30" i="6"/>
  <c r="GIK30" i="6"/>
  <c r="GIJ30" i="6"/>
  <c r="GII30" i="6"/>
  <c r="GIH30" i="6"/>
  <c r="GIG30" i="6"/>
  <c r="GIF30" i="6"/>
  <c r="GIE30" i="6"/>
  <c r="GID30" i="6"/>
  <c r="GIC30" i="6"/>
  <c r="GIB30" i="6"/>
  <c r="GIA30" i="6"/>
  <c r="GHZ30" i="6"/>
  <c r="GHY30" i="6"/>
  <c r="GHX30" i="6"/>
  <c r="GHW30" i="6"/>
  <c r="GHV30" i="6"/>
  <c r="GHU30" i="6"/>
  <c r="GHT30" i="6"/>
  <c r="GHS30" i="6"/>
  <c r="GHR30" i="6"/>
  <c r="GHQ30" i="6"/>
  <c r="GHP30" i="6"/>
  <c r="GHO30" i="6"/>
  <c r="GHN30" i="6"/>
  <c r="GHM30" i="6"/>
  <c r="GHL30" i="6"/>
  <c r="GHK30" i="6"/>
  <c r="GHJ30" i="6"/>
  <c r="GHI30" i="6"/>
  <c r="GHH30" i="6"/>
  <c r="GHG30" i="6"/>
  <c r="GHF30" i="6"/>
  <c r="GHE30" i="6"/>
  <c r="GHD30" i="6"/>
  <c r="GHC30" i="6"/>
  <c r="GHB30" i="6"/>
  <c r="GHA30" i="6"/>
  <c r="GGZ30" i="6"/>
  <c r="GGY30" i="6"/>
  <c r="GGX30" i="6"/>
  <c r="GGW30" i="6"/>
  <c r="GGV30" i="6"/>
  <c r="GGU30" i="6"/>
  <c r="GGT30" i="6"/>
  <c r="GGS30" i="6"/>
  <c r="GGR30" i="6"/>
  <c r="GGQ30" i="6"/>
  <c r="GGP30" i="6"/>
  <c r="GGO30" i="6"/>
  <c r="GGN30" i="6"/>
  <c r="GGM30" i="6"/>
  <c r="GGL30" i="6"/>
  <c r="GGK30" i="6"/>
  <c r="GGJ30" i="6"/>
  <c r="GGI30" i="6"/>
  <c r="GGH30" i="6"/>
  <c r="GGG30" i="6"/>
  <c r="GGF30" i="6"/>
  <c r="GGE30" i="6"/>
  <c r="GGD30" i="6"/>
  <c r="GGC30" i="6"/>
  <c r="GGB30" i="6"/>
  <c r="GGA30" i="6"/>
  <c r="GFZ30" i="6"/>
  <c r="GFY30" i="6"/>
  <c r="GFX30" i="6"/>
  <c r="GFW30" i="6"/>
  <c r="GFV30" i="6"/>
  <c r="GFU30" i="6"/>
  <c r="GFT30" i="6"/>
  <c r="GFS30" i="6"/>
  <c r="GFR30" i="6"/>
  <c r="GFQ30" i="6"/>
  <c r="GFP30" i="6"/>
  <c r="GFO30" i="6"/>
  <c r="GFN30" i="6"/>
  <c r="GFM30" i="6"/>
  <c r="GFL30" i="6"/>
  <c r="GFK30" i="6"/>
  <c r="GFJ30" i="6"/>
  <c r="GFI30" i="6"/>
  <c r="GFH30" i="6"/>
  <c r="GFG30" i="6"/>
  <c r="GFF30" i="6"/>
  <c r="GFE30" i="6"/>
  <c r="GFD30" i="6"/>
  <c r="GFC30" i="6"/>
  <c r="GFB30" i="6"/>
  <c r="GFA30" i="6"/>
  <c r="GEZ30" i="6"/>
  <c r="GEY30" i="6"/>
  <c r="GEX30" i="6"/>
  <c r="GEW30" i="6"/>
  <c r="GEV30" i="6"/>
  <c r="GEU30" i="6"/>
  <c r="GET30" i="6"/>
  <c r="GES30" i="6"/>
  <c r="GER30" i="6"/>
  <c r="GEQ30" i="6"/>
  <c r="GEP30" i="6"/>
  <c r="GEO30" i="6"/>
  <c r="GEN30" i="6"/>
  <c r="GEM30" i="6"/>
  <c r="GEL30" i="6"/>
  <c r="GEK30" i="6"/>
  <c r="GEJ30" i="6"/>
  <c r="GEI30" i="6"/>
  <c r="GEH30" i="6"/>
  <c r="GEG30" i="6"/>
  <c r="GEF30" i="6"/>
  <c r="GEE30" i="6"/>
  <c r="GED30" i="6"/>
  <c r="GEC30" i="6"/>
  <c r="GEB30" i="6"/>
  <c r="GEA30" i="6"/>
  <c r="GDZ30" i="6"/>
  <c r="GDY30" i="6"/>
  <c r="GDX30" i="6"/>
  <c r="GDW30" i="6"/>
  <c r="GDV30" i="6"/>
  <c r="GDU30" i="6"/>
  <c r="GDT30" i="6"/>
  <c r="GDS30" i="6"/>
  <c r="GDR30" i="6"/>
  <c r="GDQ30" i="6"/>
  <c r="GDP30" i="6"/>
  <c r="GDO30" i="6"/>
  <c r="GDN30" i="6"/>
  <c r="GDM30" i="6"/>
  <c r="GDL30" i="6"/>
  <c r="GDK30" i="6"/>
  <c r="GDJ30" i="6"/>
  <c r="GDI30" i="6"/>
  <c r="GDH30" i="6"/>
  <c r="GDG30" i="6"/>
  <c r="GDF30" i="6"/>
  <c r="GDE30" i="6"/>
  <c r="GDD30" i="6"/>
  <c r="GDC30" i="6"/>
  <c r="GDB30" i="6"/>
  <c r="GDA30" i="6"/>
  <c r="GCZ30" i="6"/>
  <c r="GCY30" i="6"/>
  <c r="GCX30" i="6"/>
  <c r="GCW30" i="6"/>
  <c r="GCV30" i="6"/>
  <c r="GCU30" i="6"/>
  <c r="GCT30" i="6"/>
  <c r="GCS30" i="6"/>
  <c r="GCR30" i="6"/>
  <c r="GCQ30" i="6"/>
  <c r="GCP30" i="6"/>
  <c r="GCO30" i="6"/>
  <c r="GCN30" i="6"/>
  <c r="GCM30" i="6"/>
  <c r="GCL30" i="6"/>
  <c r="GCK30" i="6"/>
  <c r="GCJ30" i="6"/>
  <c r="GCI30" i="6"/>
  <c r="GCH30" i="6"/>
  <c r="GCG30" i="6"/>
  <c r="GCF30" i="6"/>
  <c r="GCE30" i="6"/>
  <c r="GCD30" i="6"/>
  <c r="GCC30" i="6"/>
  <c r="GCB30" i="6"/>
  <c r="GCA30" i="6"/>
  <c r="GBZ30" i="6"/>
  <c r="GBY30" i="6"/>
  <c r="GBX30" i="6"/>
  <c r="GBW30" i="6"/>
  <c r="GBV30" i="6"/>
  <c r="GBU30" i="6"/>
  <c r="GBT30" i="6"/>
  <c r="GBS30" i="6"/>
  <c r="GBR30" i="6"/>
  <c r="GBQ30" i="6"/>
  <c r="GBP30" i="6"/>
  <c r="GBO30" i="6"/>
  <c r="GBN30" i="6"/>
  <c r="GBM30" i="6"/>
  <c r="GBL30" i="6"/>
  <c r="GBK30" i="6"/>
  <c r="GBJ30" i="6"/>
  <c r="GBI30" i="6"/>
  <c r="GBH30" i="6"/>
  <c r="GBG30" i="6"/>
  <c r="GBF30" i="6"/>
  <c r="GBE30" i="6"/>
  <c r="GBD30" i="6"/>
  <c r="GBC30" i="6"/>
  <c r="GBB30" i="6"/>
  <c r="GBA30" i="6"/>
  <c r="GAZ30" i="6"/>
  <c r="GAY30" i="6"/>
  <c r="GAX30" i="6"/>
  <c r="GAW30" i="6"/>
  <c r="GAV30" i="6"/>
  <c r="GAU30" i="6"/>
  <c r="GAT30" i="6"/>
  <c r="GAS30" i="6"/>
  <c r="GAR30" i="6"/>
  <c r="GAQ30" i="6"/>
  <c r="GAP30" i="6"/>
  <c r="GAO30" i="6"/>
  <c r="GAN30" i="6"/>
  <c r="GAM30" i="6"/>
  <c r="GAL30" i="6"/>
  <c r="GAK30" i="6"/>
  <c r="GAJ30" i="6"/>
  <c r="GAI30" i="6"/>
  <c r="GAH30" i="6"/>
  <c r="GAG30" i="6"/>
  <c r="GAF30" i="6"/>
  <c r="GAE30" i="6"/>
  <c r="GAD30" i="6"/>
  <c r="GAC30" i="6"/>
  <c r="GAB30" i="6"/>
  <c r="GAA30" i="6"/>
  <c r="FZZ30" i="6"/>
  <c r="FZY30" i="6"/>
  <c r="FZX30" i="6"/>
  <c r="FZW30" i="6"/>
  <c r="FZV30" i="6"/>
  <c r="FZU30" i="6"/>
  <c r="FZT30" i="6"/>
  <c r="FZS30" i="6"/>
  <c r="FZR30" i="6"/>
  <c r="FZQ30" i="6"/>
  <c r="FZP30" i="6"/>
  <c r="FZO30" i="6"/>
  <c r="FZN30" i="6"/>
  <c r="FZM30" i="6"/>
  <c r="FZL30" i="6"/>
  <c r="FZK30" i="6"/>
  <c r="FZJ30" i="6"/>
  <c r="FZI30" i="6"/>
  <c r="FZH30" i="6"/>
  <c r="FZG30" i="6"/>
  <c r="FZF30" i="6"/>
  <c r="FZE30" i="6"/>
  <c r="FZD30" i="6"/>
  <c r="FZC30" i="6"/>
  <c r="FZB30" i="6"/>
  <c r="FZA30" i="6"/>
  <c r="FYZ30" i="6"/>
  <c r="FYY30" i="6"/>
  <c r="FYX30" i="6"/>
  <c r="FYW30" i="6"/>
  <c r="FYV30" i="6"/>
  <c r="FYU30" i="6"/>
  <c r="FYT30" i="6"/>
  <c r="FYS30" i="6"/>
  <c r="FYR30" i="6"/>
  <c r="FYQ30" i="6"/>
  <c r="FYP30" i="6"/>
  <c r="FYO30" i="6"/>
  <c r="FYN30" i="6"/>
  <c r="FYM30" i="6"/>
  <c r="FYL30" i="6"/>
  <c r="FYK30" i="6"/>
  <c r="FYJ30" i="6"/>
  <c r="FYI30" i="6"/>
  <c r="FYH30" i="6"/>
  <c r="FYG30" i="6"/>
  <c r="FYF30" i="6"/>
  <c r="FYE30" i="6"/>
  <c r="FYD30" i="6"/>
  <c r="FYC30" i="6"/>
  <c r="FYB30" i="6"/>
  <c r="FYA30" i="6"/>
  <c r="FXZ30" i="6"/>
  <c r="FXY30" i="6"/>
  <c r="FXX30" i="6"/>
  <c r="FXW30" i="6"/>
  <c r="FXV30" i="6"/>
  <c r="FXU30" i="6"/>
  <c r="FXT30" i="6"/>
  <c r="FXS30" i="6"/>
  <c r="FXR30" i="6"/>
  <c r="FXQ30" i="6"/>
  <c r="FXP30" i="6"/>
  <c r="FXO30" i="6"/>
  <c r="FXN30" i="6"/>
  <c r="FXM30" i="6"/>
  <c r="FXL30" i="6"/>
  <c r="FXK30" i="6"/>
  <c r="FXJ30" i="6"/>
  <c r="FXI30" i="6"/>
  <c r="FXH30" i="6"/>
  <c r="FXG30" i="6"/>
  <c r="FXF30" i="6"/>
  <c r="FXE30" i="6"/>
  <c r="FXD30" i="6"/>
  <c r="FXC30" i="6"/>
  <c r="FXB30" i="6"/>
  <c r="FXA30" i="6"/>
  <c r="FWZ30" i="6"/>
  <c r="FWY30" i="6"/>
  <c r="FWX30" i="6"/>
  <c r="FWW30" i="6"/>
  <c r="FWV30" i="6"/>
  <c r="FWU30" i="6"/>
  <c r="FWT30" i="6"/>
  <c r="FWS30" i="6"/>
  <c r="FWR30" i="6"/>
  <c r="FWQ30" i="6"/>
  <c r="FWP30" i="6"/>
  <c r="FWO30" i="6"/>
  <c r="FWN30" i="6"/>
  <c r="FWM30" i="6"/>
  <c r="FWL30" i="6"/>
  <c r="FWK30" i="6"/>
  <c r="FWJ30" i="6"/>
  <c r="FWI30" i="6"/>
  <c r="FWH30" i="6"/>
  <c r="FWG30" i="6"/>
  <c r="FWF30" i="6"/>
  <c r="FWE30" i="6"/>
  <c r="FWD30" i="6"/>
  <c r="FWC30" i="6"/>
  <c r="FWB30" i="6"/>
  <c r="FWA30" i="6"/>
  <c r="FVZ30" i="6"/>
  <c r="FVY30" i="6"/>
  <c r="FVX30" i="6"/>
  <c r="FVW30" i="6"/>
  <c r="FVV30" i="6"/>
  <c r="FVU30" i="6"/>
  <c r="FVT30" i="6"/>
  <c r="FVS30" i="6"/>
  <c r="FVR30" i="6"/>
  <c r="FVQ30" i="6"/>
  <c r="FVP30" i="6"/>
  <c r="FVO30" i="6"/>
  <c r="FVN30" i="6"/>
  <c r="FVM30" i="6"/>
  <c r="FVL30" i="6"/>
  <c r="FVK30" i="6"/>
  <c r="FVJ30" i="6"/>
  <c r="FVI30" i="6"/>
  <c r="FVH30" i="6"/>
  <c r="FVG30" i="6"/>
  <c r="FVF30" i="6"/>
  <c r="FVE30" i="6"/>
  <c r="FVD30" i="6"/>
  <c r="FVC30" i="6"/>
  <c r="FVB30" i="6"/>
  <c r="FVA30" i="6"/>
  <c r="FUZ30" i="6"/>
  <c r="FUY30" i="6"/>
  <c r="FUX30" i="6"/>
  <c r="FUW30" i="6"/>
  <c r="FUV30" i="6"/>
  <c r="FUU30" i="6"/>
  <c r="FUT30" i="6"/>
  <c r="FUS30" i="6"/>
  <c r="FUR30" i="6"/>
  <c r="FUQ30" i="6"/>
  <c r="FUP30" i="6"/>
  <c r="FUO30" i="6"/>
  <c r="FUN30" i="6"/>
  <c r="FUM30" i="6"/>
  <c r="FUL30" i="6"/>
  <c r="FUK30" i="6"/>
  <c r="FUJ30" i="6"/>
  <c r="FUI30" i="6"/>
  <c r="FUH30" i="6"/>
  <c r="FUG30" i="6"/>
  <c r="FUF30" i="6"/>
  <c r="FUE30" i="6"/>
  <c r="FUD30" i="6"/>
  <c r="FUC30" i="6"/>
  <c r="FUB30" i="6"/>
  <c r="FUA30" i="6"/>
  <c r="FTZ30" i="6"/>
  <c r="FTY30" i="6"/>
  <c r="FTX30" i="6"/>
  <c r="FTW30" i="6"/>
  <c r="FTV30" i="6"/>
  <c r="FTU30" i="6"/>
  <c r="FTT30" i="6"/>
  <c r="FTS30" i="6"/>
  <c r="FTR30" i="6"/>
  <c r="FTQ30" i="6"/>
  <c r="FTP30" i="6"/>
  <c r="FTO30" i="6"/>
  <c r="FTN30" i="6"/>
  <c r="FTM30" i="6"/>
  <c r="FTL30" i="6"/>
  <c r="FTK30" i="6"/>
  <c r="FTJ30" i="6"/>
  <c r="FTI30" i="6"/>
  <c r="FTH30" i="6"/>
  <c r="FTG30" i="6"/>
  <c r="FTF30" i="6"/>
  <c r="FTE30" i="6"/>
  <c r="FTD30" i="6"/>
  <c r="FTC30" i="6"/>
  <c r="FTB30" i="6"/>
  <c r="FTA30" i="6"/>
  <c r="FSZ30" i="6"/>
  <c r="FSY30" i="6"/>
  <c r="FSX30" i="6"/>
  <c r="FSW30" i="6"/>
  <c r="FSV30" i="6"/>
  <c r="FSU30" i="6"/>
  <c r="FST30" i="6"/>
  <c r="FSS30" i="6"/>
  <c r="FSR30" i="6"/>
  <c r="FSQ30" i="6"/>
  <c r="FSP30" i="6"/>
  <c r="FSO30" i="6"/>
  <c r="FSN30" i="6"/>
  <c r="FSM30" i="6"/>
  <c r="FSL30" i="6"/>
  <c r="FSK30" i="6"/>
  <c r="FSJ30" i="6"/>
  <c r="FSI30" i="6"/>
  <c r="FSH30" i="6"/>
  <c r="FSG30" i="6"/>
  <c r="FSF30" i="6"/>
  <c r="FSE30" i="6"/>
  <c r="FSD30" i="6"/>
  <c r="FSC30" i="6"/>
  <c r="FSB30" i="6"/>
  <c r="FSA30" i="6"/>
  <c r="FRZ30" i="6"/>
  <c r="FRY30" i="6"/>
  <c r="FRX30" i="6"/>
  <c r="FRW30" i="6"/>
  <c r="FRV30" i="6"/>
  <c r="FRU30" i="6"/>
  <c r="FRT30" i="6"/>
  <c r="FRS30" i="6"/>
  <c r="FRR30" i="6"/>
  <c r="FRQ30" i="6"/>
  <c r="FRP30" i="6"/>
  <c r="FRO30" i="6"/>
  <c r="FRN30" i="6"/>
  <c r="FRM30" i="6"/>
  <c r="FRL30" i="6"/>
  <c r="FRK30" i="6"/>
  <c r="FRJ30" i="6"/>
  <c r="FRI30" i="6"/>
  <c r="FRH30" i="6"/>
  <c r="FRG30" i="6"/>
  <c r="FRF30" i="6"/>
  <c r="FRE30" i="6"/>
  <c r="FRD30" i="6"/>
  <c r="FRC30" i="6"/>
  <c r="FRB30" i="6"/>
  <c r="FRA30" i="6"/>
  <c r="FQZ30" i="6"/>
  <c r="FQY30" i="6"/>
  <c r="FQX30" i="6"/>
  <c r="FQW30" i="6"/>
  <c r="FQV30" i="6"/>
  <c r="FQU30" i="6"/>
  <c r="FQT30" i="6"/>
  <c r="FQS30" i="6"/>
  <c r="FQR30" i="6"/>
  <c r="FQQ30" i="6"/>
  <c r="FQP30" i="6"/>
  <c r="FQO30" i="6"/>
  <c r="FQN30" i="6"/>
  <c r="FQM30" i="6"/>
  <c r="FQL30" i="6"/>
  <c r="FQK30" i="6"/>
  <c r="FQJ30" i="6"/>
  <c r="FQI30" i="6"/>
  <c r="FQH30" i="6"/>
  <c r="FQG30" i="6"/>
  <c r="FQF30" i="6"/>
  <c r="FQE30" i="6"/>
  <c r="FQD30" i="6"/>
  <c r="FQC30" i="6"/>
  <c r="FQB30" i="6"/>
  <c r="FQA30" i="6"/>
  <c r="FPZ30" i="6"/>
  <c r="FPY30" i="6"/>
  <c r="FPX30" i="6"/>
  <c r="FPW30" i="6"/>
  <c r="FPV30" i="6"/>
  <c r="FPU30" i="6"/>
  <c r="FPT30" i="6"/>
  <c r="FPS30" i="6"/>
  <c r="FPR30" i="6"/>
  <c r="FPQ30" i="6"/>
  <c r="FPP30" i="6"/>
  <c r="FPO30" i="6"/>
  <c r="FPN30" i="6"/>
  <c r="FPM30" i="6"/>
  <c r="FPL30" i="6"/>
  <c r="FPK30" i="6"/>
  <c r="FPJ30" i="6"/>
  <c r="FPI30" i="6"/>
  <c r="FPH30" i="6"/>
  <c r="FPG30" i="6"/>
  <c r="FPF30" i="6"/>
  <c r="FPE30" i="6"/>
  <c r="FPD30" i="6"/>
  <c r="FPC30" i="6"/>
  <c r="FPB30" i="6"/>
  <c r="FPA30" i="6"/>
  <c r="FOZ30" i="6"/>
  <c r="FOY30" i="6"/>
  <c r="FOX30" i="6"/>
  <c r="FOW30" i="6"/>
  <c r="FOV30" i="6"/>
  <c r="FOU30" i="6"/>
  <c r="FOT30" i="6"/>
  <c r="FOS30" i="6"/>
  <c r="FOR30" i="6"/>
  <c r="FOQ30" i="6"/>
  <c r="FOP30" i="6"/>
  <c r="FOO30" i="6"/>
  <c r="FON30" i="6"/>
  <c r="FOM30" i="6"/>
  <c r="FOL30" i="6"/>
  <c r="FOK30" i="6"/>
  <c r="FOJ30" i="6"/>
  <c r="FOI30" i="6"/>
  <c r="FOH30" i="6"/>
  <c r="FOG30" i="6"/>
  <c r="FOF30" i="6"/>
  <c r="FOE30" i="6"/>
  <c r="FOD30" i="6"/>
  <c r="FOC30" i="6"/>
  <c r="FOB30" i="6"/>
  <c r="FOA30" i="6"/>
  <c r="FNZ30" i="6"/>
  <c r="FNY30" i="6"/>
  <c r="FNX30" i="6"/>
  <c r="FNW30" i="6"/>
  <c r="FNV30" i="6"/>
  <c r="FNU30" i="6"/>
  <c r="FNT30" i="6"/>
  <c r="FNS30" i="6"/>
  <c r="FNR30" i="6"/>
  <c r="FNQ30" i="6"/>
  <c r="FNP30" i="6"/>
  <c r="FNO30" i="6"/>
  <c r="FNN30" i="6"/>
  <c r="FNM30" i="6"/>
  <c r="FNL30" i="6"/>
  <c r="FNK30" i="6"/>
  <c r="FNJ30" i="6"/>
  <c r="FNI30" i="6"/>
  <c r="FNH30" i="6"/>
  <c r="FNG30" i="6"/>
  <c r="FNF30" i="6"/>
  <c r="FNE30" i="6"/>
  <c r="FND30" i="6"/>
  <c r="FNC30" i="6"/>
  <c r="FNB30" i="6"/>
  <c r="FNA30" i="6"/>
  <c r="FMZ30" i="6"/>
  <c r="FMY30" i="6"/>
  <c r="FMX30" i="6"/>
  <c r="FMW30" i="6"/>
  <c r="FMV30" i="6"/>
  <c r="FMU30" i="6"/>
  <c r="FMT30" i="6"/>
  <c r="FMS30" i="6"/>
  <c r="FMR30" i="6"/>
  <c r="FMQ30" i="6"/>
  <c r="FMP30" i="6"/>
  <c r="FMO30" i="6"/>
  <c r="FMN30" i="6"/>
  <c r="FMM30" i="6"/>
  <c r="FML30" i="6"/>
  <c r="FMK30" i="6"/>
  <c r="FMJ30" i="6"/>
  <c r="FMI30" i="6"/>
  <c r="FMH30" i="6"/>
  <c r="FMG30" i="6"/>
  <c r="FMF30" i="6"/>
  <c r="FME30" i="6"/>
  <c r="FMD30" i="6"/>
  <c r="FMC30" i="6"/>
  <c r="FMB30" i="6"/>
  <c r="FMA30" i="6"/>
  <c r="FLZ30" i="6"/>
  <c r="FLY30" i="6"/>
  <c r="FLX30" i="6"/>
  <c r="FLW30" i="6"/>
  <c r="FLV30" i="6"/>
  <c r="FLU30" i="6"/>
  <c r="FLT30" i="6"/>
  <c r="FLS30" i="6"/>
  <c r="FLR30" i="6"/>
  <c r="FLQ30" i="6"/>
  <c r="FLP30" i="6"/>
  <c r="FLO30" i="6"/>
  <c r="FLN30" i="6"/>
  <c r="FLM30" i="6"/>
  <c r="FLL30" i="6"/>
  <c r="FLK30" i="6"/>
  <c r="FLJ30" i="6"/>
  <c r="FLI30" i="6"/>
  <c r="FLH30" i="6"/>
  <c r="FLG30" i="6"/>
  <c r="FLF30" i="6"/>
  <c r="FLE30" i="6"/>
  <c r="FLD30" i="6"/>
  <c r="FLC30" i="6"/>
  <c r="FLB30" i="6"/>
  <c r="FLA30" i="6"/>
  <c r="FKZ30" i="6"/>
  <c r="FKY30" i="6"/>
  <c r="FKX30" i="6"/>
  <c r="FKW30" i="6"/>
  <c r="FKV30" i="6"/>
  <c r="FKU30" i="6"/>
  <c r="FKT30" i="6"/>
  <c r="FKS30" i="6"/>
  <c r="FKR30" i="6"/>
  <c r="FKQ30" i="6"/>
  <c r="FKP30" i="6"/>
  <c r="FKO30" i="6"/>
  <c r="FKN30" i="6"/>
  <c r="FKM30" i="6"/>
  <c r="FKL30" i="6"/>
  <c r="FKK30" i="6"/>
  <c r="FKJ30" i="6"/>
  <c r="FKI30" i="6"/>
  <c r="FKH30" i="6"/>
  <c r="FKG30" i="6"/>
  <c r="FKF30" i="6"/>
  <c r="FKE30" i="6"/>
  <c r="FKD30" i="6"/>
  <c r="FKC30" i="6"/>
  <c r="FKB30" i="6"/>
  <c r="FKA30" i="6"/>
  <c r="FJZ30" i="6"/>
  <c r="FJY30" i="6"/>
  <c r="FJX30" i="6"/>
  <c r="FJW30" i="6"/>
  <c r="FJV30" i="6"/>
  <c r="FJU30" i="6"/>
  <c r="FJT30" i="6"/>
  <c r="FJS30" i="6"/>
  <c r="FJR30" i="6"/>
  <c r="FJQ30" i="6"/>
  <c r="FJP30" i="6"/>
  <c r="FJO30" i="6"/>
  <c r="FJN30" i="6"/>
  <c r="FJM30" i="6"/>
  <c r="FJL30" i="6"/>
  <c r="FJK30" i="6"/>
  <c r="FJJ30" i="6"/>
  <c r="FJI30" i="6"/>
  <c r="FJH30" i="6"/>
  <c r="FJG30" i="6"/>
  <c r="FJF30" i="6"/>
  <c r="FJE30" i="6"/>
  <c r="FJD30" i="6"/>
  <c r="FJC30" i="6"/>
  <c r="FJB30" i="6"/>
  <c r="FJA30" i="6"/>
  <c r="FIZ30" i="6"/>
  <c r="FIY30" i="6"/>
  <c r="FIX30" i="6"/>
  <c r="FIW30" i="6"/>
  <c r="FIV30" i="6"/>
  <c r="FIU30" i="6"/>
  <c r="FIT30" i="6"/>
  <c r="FIS30" i="6"/>
  <c r="FIR30" i="6"/>
  <c r="FIQ30" i="6"/>
  <c r="FIP30" i="6"/>
  <c r="FIO30" i="6"/>
  <c r="FIN30" i="6"/>
  <c r="FIM30" i="6"/>
  <c r="FIL30" i="6"/>
  <c r="FIK30" i="6"/>
  <c r="FIJ30" i="6"/>
  <c r="FII30" i="6"/>
  <c r="FIH30" i="6"/>
  <c r="FIG30" i="6"/>
  <c r="FIF30" i="6"/>
  <c r="FIE30" i="6"/>
  <c r="FID30" i="6"/>
  <c r="FIC30" i="6"/>
  <c r="FIB30" i="6"/>
  <c r="FIA30" i="6"/>
  <c r="FHZ30" i="6"/>
  <c r="FHY30" i="6"/>
  <c r="FHX30" i="6"/>
  <c r="FHW30" i="6"/>
  <c r="FHV30" i="6"/>
  <c r="FHU30" i="6"/>
  <c r="FHT30" i="6"/>
  <c r="FHS30" i="6"/>
  <c r="FHR30" i="6"/>
  <c r="FHQ30" i="6"/>
  <c r="FHP30" i="6"/>
  <c r="FHO30" i="6"/>
  <c r="FHN30" i="6"/>
  <c r="FHM30" i="6"/>
  <c r="FHL30" i="6"/>
  <c r="FHK30" i="6"/>
  <c r="FHJ30" i="6"/>
  <c r="FHI30" i="6"/>
  <c r="FHH30" i="6"/>
  <c r="FHG30" i="6"/>
  <c r="FHF30" i="6"/>
  <c r="FHE30" i="6"/>
  <c r="FHD30" i="6"/>
  <c r="FHC30" i="6"/>
  <c r="FHB30" i="6"/>
  <c r="FHA30" i="6"/>
  <c r="FGZ30" i="6"/>
  <c r="FGY30" i="6"/>
  <c r="FGX30" i="6"/>
  <c r="FGW30" i="6"/>
  <c r="FGV30" i="6"/>
  <c r="FGU30" i="6"/>
  <c r="FGT30" i="6"/>
  <c r="FGS30" i="6"/>
  <c r="FGR30" i="6"/>
  <c r="FGQ30" i="6"/>
  <c r="FGP30" i="6"/>
  <c r="FGO30" i="6"/>
  <c r="FGN30" i="6"/>
  <c r="FGM30" i="6"/>
  <c r="FGL30" i="6"/>
  <c r="FGK30" i="6"/>
  <c r="FGJ30" i="6"/>
  <c r="FGI30" i="6"/>
  <c r="FGH30" i="6"/>
  <c r="FGG30" i="6"/>
  <c r="FGF30" i="6"/>
  <c r="FGE30" i="6"/>
  <c r="FGD30" i="6"/>
  <c r="FGC30" i="6"/>
  <c r="FGB30" i="6"/>
  <c r="FGA30" i="6"/>
  <c r="FFZ30" i="6"/>
  <c r="FFY30" i="6"/>
  <c r="FFX30" i="6"/>
  <c r="FFW30" i="6"/>
  <c r="FFV30" i="6"/>
  <c r="FFU30" i="6"/>
  <c r="FFT30" i="6"/>
  <c r="FFS30" i="6"/>
  <c r="FFR30" i="6"/>
  <c r="FFQ30" i="6"/>
  <c r="FFP30" i="6"/>
  <c r="FFO30" i="6"/>
  <c r="FFN30" i="6"/>
  <c r="FFM30" i="6"/>
  <c r="FFL30" i="6"/>
  <c r="FFK30" i="6"/>
  <c r="FFJ30" i="6"/>
  <c r="FFI30" i="6"/>
  <c r="FFH30" i="6"/>
  <c r="FFG30" i="6"/>
  <c r="FFF30" i="6"/>
  <c r="FFE30" i="6"/>
  <c r="FFD30" i="6"/>
  <c r="FFC30" i="6"/>
  <c r="FFB30" i="6"/>
  <c r="FFA30" i="6"/>
  <c r="FEZ30" i="6"/>
  <c r="FEY30" i="6"/>
  <c r="FEX30" i="6"/>
  <c r="FEW30" i="6"/>
  <c r="FEV30" i="6"/>
  <c r="FEU30" i="6"/>
  <c r="FET30" i="6"/>
  <c r="FES30" i="6"/>
  <c r="FER30" i="6"/>
  <c r="FEQ30" i="6"/>
  <c r="FEP30" i="6"/>
  <c r="FEO30" i="6"/>
  <c r="FEN30" i="6"/>
  <c r="FEM30" i="6"/>
  <c r="FEL30" i="6"/>
  <c r="FEK30" i="6"/>
  <c r="FEJ30" i="6"/>
  <c r="FEI30" i="6"/>
  <c r="FEH30" i="6"/>
  <c r="FEG30" i="6"/>
  <c r="FEF30" i="6"/>
  <c r="FEE30" i="6"/>
  <c r="FED30" i="6"/>
  <c r="FEC30" i="6"/>
  <c r="FEB30" i="6"/>
  <c r="FEA30" i="6"/>
  <c r="FDZ30" i="6"/>
  <c r="FDY30" i="6"/>
  <c r="FDX30" i="6"/>
  <c r="FDW30" i="6"/>
  <c r="FDV30" i="6"/>
  <c r="FDU30" i="6"/>
  <c r="FDT30" i="6"/>
  <c r="FDS30" i="6"/>
  <c r="FDR30" i="6"/>
  <c r="FDQ30" i="6"/>
  <c r="FDP30" i="6"/>
  <c r="FDO30" i="6"/>
  <c r="FDN30" i="6"/>
  <c r="FDM30" i="6"/>
  <c r="FDL30" i="6"/>
  <c r="FDK30" i="6"/>
  <c r="FDJ30" i="6"/>
  <c r="FDI30" i="6"/>
  <c r="FDH30" i="6"/>
  <c r="FDG30" i="6"/>
  <c r="FDF30" i="6"/>
  <c r="FDE30" i="6"/>
  <c r="FDD30" i="6"/>
  <c r="FDC30" i="6"/>
  <c r="FDB30" i="6"/>
  <c r="FDA30" i="6"/>
  <c r="FCZ30" i="6"/>
  <c r="FCY30" i="6"/>
  <c r="FCX30" i="6"/>
  <c r="FCW30" i="6"/>
  <c r="FCV30" i="6"/>
  <c r="FCU30" i="6"/>
  <c r="FCT30" i="6"/>
  <c r="FCS30" i="6"/>
  <c r="FCR30" i="6"/>
  <c r="FCQ30" i="6"/>
  <c r="FCP30" i="6"/>
  <c r="FCO30" i="6"/>
  <c r="FCN30" i="6"/>
  <c r="FCM30" i="6"/>
  <c r="FCL30" i="6"/>
  <c r="FCK30" i="6"/>
  <c r="FCJ30" i="6"/>
  <c r="FCI30" i="6"/>
  <c r="FCH30" i="6"/>
  <c r="FCG30" i="6"/>
  <c r="FCF30" i="6"/>
  <c r="FCE30" i="6"/>
  <c r="FCD30" i="6"/>
  <c r="FCC30" i="6"/>
  <c r="FCB30" i="6"/>
  <c r="FCA30" i="6"/>
  <c r="FBZ30" i="6"/>
  <c r="FBY30" i="6"/>
  <c r="FBX30" i="6"/>
  <c r="FBW30" i="6"/>
  <c r="FBV30" i="6"/>
  <c r="FBU30" i="6"/>
  <c r="FBT30" i="6"/>
  <c r="FBS30" i="6"/>
  <c r="FBR30" i="6"/>
  <c r="FBQ30" i="6"/>
  <c r="FBP30" i="6"/>
  <c r="FBO30" i="6"/>
  <c r="FBN30" i="6"/>
  <c r="FBM30" i="6"/>
  <c r="FBL30" i="6"/>
  <c r="FBK30" i="6"/>
  <c r="FBJ30" i="6"/>
  <c r="FBI30" i="6"/>
  <c r="FBH30" i="6"/>
  <c r="FBG30" i="6"/>
  <c r="FBF30" i="6"/>
  <c r="FBE30" i="6"/>
  <c r="FBD30" i="6"/>
  <c r="FBC30" i="6"/>
  <c r="FBB30" i="6"/>
  <c r="FBA30" i="6"/>
  <c r="FAZ30" i="6"/>
  <c r="FAY30" i="6"/>
  <c r="FAX30" i="6"/>
  <c r="FAW30" i="6"/>
  <c r="FAV30" i="6"/>
  <c r="FAU30" i="6"/>
  <c r="FAT30" i="6"/>
  <c r="FAS30" i="6"/>
  <c r="FAR30" i="6"/>
  <c r="FAQ30" i="6"/>
  <c r="FAP30" i="6"/>
  <c r="FAO30" i="6"/>
  <c r="FAN30" i="6"/>
  <c r="FAM30" i="6"/>
  <c r="FAL30" i="6"/>
  <c r="FAK30" i="6"/>
  <c r="FAJ30" i="6"/>
  <c r="FAI30" i="6"/>
  <c r="FAH30" i="6"/>
  <c r="FAG30" i="6"/>
  <c r="FAF30" i="6"/>
  <c r="FAE30" i="6"/>
  <c r="FAD30" i="6"/>
  <c r="FAC30" i="6"/>
  <c r="FAB30" i="6"/>
  <c r="FAA30" i="6"/>
  <c r="EZZ30" i="6"/>
  <c r="EZY30" i="6"/>
  <c r="EZX30" i="6"/>
  <c r="EZW30" i="6"/>
  <c r="EZV30" i="6"/>
  <c r="EZU30" i="6"/>
  <c r="EZT30" i="6"/>
  <c r="EZS30" i="6"/>
  <c r="EZR30" i="6"/>
  <c r="EZQ30" i="6"/>
  <c r="EZP30" i="6"/>
  <c r="EZO30" i="6"/>
  <c r="EZN30" i="6"/>
  <c r="EZM30" i="6"/>
  <c r="EZL30" i="6"/>
  <c r="EZK30" i="6"/>
  <c r="EZJ30" i="6"/>
  <c r="EZI30" i="6"/>
  <c r="EZH30" i="6"/>
  <c r="EZG30" i="6"/>
  <c r="EZF30" i="6"/>
  <c r="EZE30" i="6"/>
  <c r="EZD30" i="6"/>
  <c r="EZC30" i="6"/>
  <c r="EZB30" i="6"/>
  <c r="EZA30" i="6"/>
  <c r="EYZ30" i="6"/>
  <c r="EYY30" i="6"/>
  <c r="EYX30" i="6"/>
  <c r="EYW30" i="6"/>
  <c r="EYV30" i="6"/>
  <c r="EYU30" i="6"/>
  <c r="EYT30" i="6"/>
  <c r="EYS30" i="6"/>
  <c r="EYR30" i="6"/>
  <c r="EYQ30" i="6"/>
  <c r="EYP30" i="6"/>
  <c r="EYO30" i="6"/>
  <c r="EYN30" i="6"/>
  <c r="EYM30" i="6"/>
  <c r="EYL30" i="6"/>
  <c r="EYK30" i="6"/>
  <c r="EYJ30" i="6"/>
  <c r="EYI30" i="6"/>
  <c r="EYH30" i="6"/>
  <c r="EYG30" i="6"/>
  <c r="EYF30" i="6"/>
  <c r="EYE30" i="6"/>
  <c r="EYD30" i="6"/>
  <c r="EYC30" i="6"/>
  <c r="EYB30" i="6"/>
  <c r="EYA30" i="6"/>
  <c r="EXZ30" i="6"/>
  <c r="EXY30" i="6"/>
  <c r="EXX30" i="6"/>
  <c r="EXW30" i="6"/>
  <c r="EXV30" i="6"/>
  <c r="EXU30" i="6"/>
  <c r="EXT30" i="6"/>
  <c r="EXS30" i="6"/>
  <c r="EXR30" i="6"/>
  <c r="EXQ30" i="6"/>
  <c r="EXP30" i="6"/>
  <c r="EXO30" i="6"/>
  <c r="EXN30" i="6"/>
  <c r="EXM30" i="6"/>
  <c r="EXL30" i="6"/>
  <c r="EXK30" i="6"/>
  <c r="EXJ30" i="6"/>
  <c r="EXI30" i="6"/>
  <c r="EXH30" i="6"/>
  <c r="EXG30" i="6"/>
  <c r="EXF30" i="6"/>
  <c r="EXE30" i="6"/>
  <c r="EXD30" i="6"/>
  <c r="EXC30" i="6"/>
  <c r="EXB30" i="6"/>
  <c r="EXA30" i="6"/>
  <c r="EWZ30" i="6"/>
  <c r="EWY30" i="6"/>
  <c r="EWX30" i="6"/>
  <c r="EWW30" i="6"/>
  <c r="EWV30" i="6"/>
  <c r="EWU30" i="6"/>
  <c r="EWT30" i="6"/>
  <c r="EWS30" i="6"/>
  <c r="EWR30" i="6"/>
  <c r="EWQ30" i="6"/>
  <c r="EWP30" i="6"/>
  <c r="EWO30" i="6"/>
  <c r="EWN30" i="6"/>
  <c r="EWM30" i="6"/>
  <c r="EWL30" i="6"/>
  <c r="EWK30" i="6"/>
  <c r="EWJ30" i="6"/>
  <c r="EWI30" i="6"/>
  <c r="EWH30" i="6"/>
  <c r="EWG30" i="6"/>
  <c r="EWF30" i="6"/>
  <c r="EWE30" i="6"/>
  <c r="EWD30" i="6"/>
  <c r="EWC30" i="6"/>
  <c r="EWB30" i="6"/>
  <c r="EWA30" i="6"/>
  <c r="EVZ30" i="6"/>
  <c r="EVY30" i="6"/>
  <c r="EVX30" i="6"/>
  <c r="EVW30" i="6"/>
  <c r="EVV30" i="6"/>
  <c r="EVU30" i="6"/>
  <c r="EVT30" i="6"/>
  <c r="EVS30" i="6"/>
  <c r="EVR30" i="6"/>
  <c r="EVQ30" i="6"/>
  <c r="EVP30" i="6"/>
  <c r="EVO30" i="6"/>
  <c r="EVN30" i="6"/>
  <c r="EVM30" i="6"/>
  <c r="EVL30" i="6"/>
  <c r="EVK30" i="6"/>
  <c r="EVJ30" i="6"/>
  <c r="EVI30" i="6"/>
  <c r="EVH30" i="6"/>
  <c r="EVG30" i="6"/>
  <c r="EVF30" i="6"/>
  <c r="EVE30" i="6"/>
  <c r="EVD30" i="6"/>
  <c r="EVC30" i="6"/>
  <c r="EVB30" i="6"/>
  <c r="EVA30" i="6"/>
  <c r="EUZ30" i="6"/>
  <c r="EUY30" i="6"/>
  <c r="EUX30" i="6"/>
  <c r="EUW30" i="6"/>
  <c r="EUV30" i="6"/>
  <c r="EUU30" i="6"/>
  <c r="EUT30" i="6"/>
  <c r="EUS30" i="6"/>
  <c r="EUR30" i="6"/>
  <c r="EUQ30" i="6"/>
  <c r="EUP30" i="6"/>
  <c r="EUO30" i="6"/>
  <c r="EUN30" i="6"/>
  <c r="EUM30" i="6"/>
  <c r="EUL30" i="6"/>
  <c r="EUK30" i="6"/>
  <c r="EUJ30" i="6"/>
  <c r="EUI30" i="6"/>
  <c r="EUH30" i="6"/>
  <c r="EUG30" i="6"/>
  <c r="EUF30" i="6"/>
  <c r="EUE30" i="6"/>
  <c r="EUD30" i="6"/>
  <c r="EUC30" i="6"/>
  <c r="EUB30" i="6"/>
  <c r="EUA30" i="6"/>
  <c r="ETZ30" i="6"/>
  <c r="ETY30" i="6"/>
  <c r="ETX30" i="6"/>
  <c r="ETW30" i="6"/>
  <c r="ETV30" i="6"/>
  <c r="ETU30" i="6"/>
  <c r="ETT30" i="6"/>
  <c r="ETS30" i="6"/>
  <c r="ETR30" i="6"/>
  <c r="ETQ30" i="6"/>
  <c r="ETP30" i="6"/>
  <c r="ETO30" i="6"/>
  <c r="ETN30" i="6"/>
  <c r="ETM30" i="6"/>
  <c r="ETL30" i="6"/>
  <c r="ETK30" i="6"/>
  <c r="ETJ30" i="6"/>
  <c r="ETI30" i="6"/>
  <c r="ETH30" i="6"/>
  <c r="ETG30" i="6"/>
  <c r="ETF30" i="6"/>
  <c r="ETE30" i="6"/>
  <c r="ETD30" i="6"/>
  <c r="ETC30" i="6"/>
  <c r="ETB30" i="6"/>
  <c r="ETA30" i="6"/>
  <c r="ESZ30" i="6"/>
  <c r="ESY30" i="6"/>
  <c r="ESX30" i="6"/>
  <c r="ESW30" i="6"/>
  <c r="ESV30" i="6"/>
  <c r="ESU30" i="6"/>
  <c r="EST30" i="6"/>
  <c r="ESS30" i="6"/>
  <c r="ESR30" i="6"/>
  <c r="ESQ30" i="6"/>
  <c r="ESP30" i="6"/>
  <c r="ESO30" i="6"/>
  <c r="ESN30" i="6"/>
  <c r="ESM30" i="6"/>
  <c r="ESL30" i="6"/>
  <c r="ESK30" i="6"/>
  <c r="ESJ30" i="6"/>
  <c r="ESI30" i="6"/>
  <c r="ESH30" i="6"/>
  <c r="ESG30" i="6"/>
  <c r="ESF30" i="6"/>
  <c r="ESE30" i="6"/>
  <c r="ESD30" i="6"/>
  <c r="ESC30" i="6"/>
  <c r="ESB30" i="6"/>
  <c r="ESA30" i="6"/>
  <c r="ERZ30" i="6"/>
  <c r="ERY30" i="6"/>
  <c r="ERX30" i="6"/>
  <c r="ERW30" i="6"/>
  <c r="ERV30" i="6"/>
  <c r="ERU30" i="6"/>
  <c r="ERT30" i="6"/>
  <c r="ERS30" i="6"/>
  <c r="ERR30" i="6"/>
  <c r="ERQ30" i="6"/>
  <c r="ERP30" i="6"/>
  <c r="ERO30" i="6"/>
  <c r="ERN30" i="6"/>
  <c r="ERM30" i="6"/>
  <c r="ERL30" i="6"/>
  <c r="ERK30" i="6"/>
  <c r="ERJ30" i="6"/>
  <c r="ERI30" i="6"/>
  <c r="ERH30" i="6"/>
  <c r="ERG30" i="6"/>
  <c r="ERF30" i="6"/>
  <c r="ERE30" i="6"/>
  <c r="ERD30" i="6"/>
  <c r="ERC30" i="6"/>
  <c r="ERB30" i="6"/>
  <c r="ERA30" i="6"/>
  <c r="EQZ30" i="6"/>
  <c r="EQY30" i="6"/>
  <c r="EQX30" i="6"/>
  <c r="EQW30" i="6"/>
  <c r="EQV30" i="6"/>
  <c r="EQU30" i="6"/>
  <c r="EQT30" i="6"/>
  <c r="EQS30" i="6"/>
  <c r="EQR30" i="6"/>
  <c r="EQQ30" i="6"/>
  <c r="EQP30" i="6"/>
  <c r="EQO30" i="6"/>
  <c r="EQN30" i="6"/>
  <c r="EQM30" i="6"/>
  <c r="EQL30" i="6"/>
  <c r="EQK30" i="6"/>
  <c r="EQJ30" i="6"/>
  <c r="EQI30" i="6"/>
  <c r="EQH30" i="6"/>
  <c r="EQG30" i="6"/>
  <c r="EQF30" i="6"/>
  <c r="EQE30" i="6"/>
  <c r="EQD30" i="6"/>
  <c r="EQC30" i="6"/>
  <c r="EQB30" i="6"/>
  <c r="EQA30" i="6"/>
  <c r="EPZ30" i="6"/>
  <c r="EPY30" i="6"/>
  <c r="EPX30" i="6"/>
  <c r="EPW30" i="6"/>
  <c r="EPV30" i="6"/>
  <c r="EPU30" i="6"/>
  <c r="EPT30" i="6"/>
  <c r="EPS30" i="6"/>
  <c r="EPR30" i="6"/>
  <c r="EPQ30" i="6"/>
  <c r="EPP30" i="6"/>
  <c r="EPO30" i="6"/>
  <c r="EPN30" i="6"/>
  <c r="EPM30" i="6"/>
  <c r="EPL30" i="6"/>
  <c r="EPK30" i="6"/>
  <c r="EPJ30" i="6"/>
  <c r="EPI30" i="6"/>
  <c r="EPH30" i="6"/>
  <c r="EPG30" i="6"/>
  <c r="EPF30" i="6"/>
  <c r="EPE30" i="6"/>
  <c r="EPD30" i="6"/>
  <c r="EPC30" i="6"/>
  <c r="EPB30" i="6"/>
  <c r="EPA30" i="6"/>
  <c r="EOZ30" i="6"/>
  <c r="EOY30" i="6"/>
  <c r="EOX30" i="6"/>
  <c r="EOW30" i="6"/>
  <c r="EOV30" i="6"/>
  <c r="EOU30" i="6"/>
  <c r="EOT30" i="6"/>
  <c r="EOS30" i="6"/>
  <c r="EOR30" i="6"/>
  <c r="EOQ30" i="6"/>
  <c r="EOP30" i="6"/>
  <c r="EOO30" i="6"/>
  <c r="EON30" i="6"/>
  <c r="EOM30" i="6"/>
  <c r="EOL30" i="6"/>
  <c r="EOK30" i="6"/>
  <c r="EOJ30" i="6"/>
  <c r="EOI30" i="6"/>
  <c r="EOH30" i="6"/>
  <c r="EOG30" i="6"/>
  <c r="EOF30" i="6"/>
  <c r="EOE30" i="6"/>
  <c r="EOD30" i="6"/>
  <c r="EOC30" i="6"/>
  <c r="EOB30" i="6"/>
  <c r="EOA30" i="6"/>
  <c r="ENZ30" i="6"/>
  <c r="ENY30" i="6"/>
  <c r="ENX30" i="6"/>
  <c r="ENW30" i="6"/>
  <c r="ENV30" i="6"/>
  <c r="ENU30" i="6"/>
  <c r="ENT30" i="6"/>
  <c r="ENS30" i="6"/>
  <c r="ENR30" i="6"/>
  <c r="ENQ30" i="6"/>
  <c r="ENP30" i="6"/>
  <c r="ENO30" i="6"/>
  <c r="ENN30" i="6"/>
  <c r="ENM30" i="6"/>
  <c r="ENL30" i="6"/>
  <c r="ENK30" i="6"/>
  <c r="ENJ30" i="6"/>
  <c r="ENI30" i="6"/>
  <c r="ENH30" i="6"/>
  <c r="ENG30" i="6"/>
  <c r="ENF30" i="6"/>
  <c r="ENE30" i="6"/>
  <c r="END30" i="6"/>
  <c r="ENC30" i="6"/>
  <c r="ENB30" i="6"/>
  <c r="ENA30" i="6"/>
  <c r="EMZ30" i="6"/>
  <c r="EMY30" i="6"/>
  <c r="EMX30" i="6"/>
  <c r="EMW30" i="6"/>
  <c r="EMV30" i="6"/>
  <c r="EMU30" i="6"/>
  <c r="EMT30" i="6"/>
  <c r="EMS30" i="6"/>
  <c r="EMR30" i="6"/>
  <c r="EMQ30" i="6"/>
  <c r="EMP30" i="6"/>
  <c r="EMO30" i="6"/>
  <c r="EMN30" i="6"/>
  <c r="EMM30" i="6"/>
  <c r="EML30" i="6"/>
  <c r="EMK30" i="6"/>
  <c r="EMJ30" i="6"/>
  <c r="EMI30" i="6"/>
  <c r="EMH30" i="6"/>
  <c r="EMG30" i="6"/>
  <c r="EMF30" i="6"/>
  <c r="EME30" i="6"/>
  <c r="EMD30" i="6"/>
  <c r="EMC30" i="6"/>
  <c r="EMB30" i="6"/>
  <c r="EMA30" i="6"/>
  <c r="ELZ30" i="6"/>
  <c r="ELY30" i="6"/>
  <c r="ELX30" i="6"/>
  <c r="ELW30" i="6"/>
  <c r="ELV30" i="6"/>
  <c r="ELU30" i="6"/>
  <c r="ELT30" i="6"/>
  <c r="ELS30" i="6"/>
  <c r="ELR30" i="6"/>
  <c r="ELQ30" i="6"/>
  <c r="ELP30" i="6"/>
  <c r="ELO30" i="6"/>
  <c r="ELN30" i="6"/>
  <c r="ELM30" i="6"/>
  <c r="ELL30" i="6"/>
  <c r="ELK30" i="6"/>
  <c r="ELJ30" i="6"/>
  <c r="ELI30" i="6"/>
  <c r="ELH30" i="6"/>
  <c r="ELG30" i="6"/>
  <c r="ELF30" i="6"/>
  <c r="ELE30" i="6"/>
  <c r="ELD30" i="6"/>
  <c r="ELC30" i="6"/>
  <c r="ELB30" i="6"/>
  <c r="ELA30" i="6"/>
  <c r="EKZ30" i="6"/>
  <c r="EKY30" i="6"/>
  <c r="EKX30" i="6"/>
  <c r="EKW30" i="6"/>
  <c r="EKV30" i="6"/>
  <c r="EKU30" i="6"/>
  <c r="EKT30" i="6"/>
  <c r="EKS30" i="6"/>
  <c r="EKR30" i="6"/>
  <c r="EKQ30" i="6"/>
  <c r="EKP30" i="6"/>
  <c r="EKO30" i="6"/>
  <c r="EKN30" i="6"/>
  <c r="EKM30" i="6"/>
  <c r="EKL30" i="6"/>
  <c r="EKK30" i="6"/>
  <c r="EKJ30" i="6"/>
  <c r="EKI30" i="6"/>
  <c r="EKH30" i="6"/>
  <c r="EKG30" i="6"/>
  <c r="EKF30" i="6"/>
  <c r="EKE30" i="6"/>
  <c r="EKD30" i="6"/>
  <c r="EKC30" i="6"/>
  <c r="EKB30" i="6"/>
  <c r="EKA30" i="6"/>
  <c r="EJZ30" i="6"/>
  <c r="EJY30" i="6"/>
  <c r="EJX30" i="6"/>
  <c r="EJW30" i="6"/>
  <c r="EJV30" i="6"/>
  <c r="EJU30" i="6"/>
  <c r="EJT30" i="6"/>
  <c r="EJS30" i="6"/>
  <c r="EJR30" i="6"/>
  <c r="EJQ30" i="6"/>
  <c r="EJP30" i="6"/>
  <c r="EJO30" i="6"/>
  <c r="EJN30" i="6"/>
  <c r="EJM30" i="6"/>
  <c r="EJL30" i="6"/>
  <c r="EJK30" i="6"/>
  <c r="EJJ30" i="6"/>
  <c r="EJI30" i="6"/>
  <c r="EJH30" i="6"/>
  <c r="EJG30" i="6"/>
  <c r="EJF30" i="6"/>
  <c r="EJE30" i="6"/>
  <c r="EJD30" i="6"/>
  <c r="EJC30" i="6"/>
  <c r="EJB30" i="6"/>
  <c r="EJA30" i="6"/>
  <c r="EIZ30" i="6"/>
  <c r="EIY30" i="6"/>
  <c r="EIX30" i="6"/>
  <c r="EIW30" i="6"/>
  <c r="EIV30" i="6"/>
  <c r="EIU30" i="6"/>
  <c r="EIT30" i="6"/>
  <c r="EIS30" i="6"/>
  <c r="EIR30" i="6"/>
  <c r="EIQ30" i="6"/>
  <c r="EIP30" i="6"/>
  <c r="EIO30" i="6"/>
  <c r="EIN30" i="6"/>
  <c r="EIM30" i="6"/>
  <c r="EIL30" i="6"/>
  <c r="EIK30" i="6"/>
  <c r="EIJ30" i="6"/>
  <c r="EII30" i="6"/>
  <c r="EIH30" i="6"/>
  <c r="EIG30" i="6"/>
  <c r="EIF30" i="6"/>
  <c r="EIE30" i="6"/>
  <c r="EID30" i="6"/>
  <c r="EIC30" i="6"/>
  <c r="EIB30" i="6"/>
  <c r="EIA30" i="6"/>
  <c r="EHZ30" i="6"/>
  <c r="EHY30" i="6"/>
  <c r="EHX30" i="6"/>
  <c r="EHW30" i="6"/>
  <c r="EHV30" i="6"/>
  <c r="EHU30" i="6"/>
  <c r="EHT30" i="6"/>
  <c r="EHS30" i="6"/>
  <c r="EHR30" i="6"/>
  <c r="EHQ30" i="6"/>
  <c r="EHP30" i="6"/>
  <c r="EHO30" i="6"/>
  <c r="EHN30" i="6"/>
  <c r="EHM30" i="6"/>
  <c r="EHL30" i="6"/>
  <c r="EHK30" i="6"/>
  <c r="EHJ30" i="6"/>
  <c r="EHI30" i="6"/>
  <c r="EHH30" i="6"/>
  <c r="EHG30" i="6"/>
  <c r="EHF30" i="6"/>
  <c r="EHE30" i="6"/>
  <c r="EHD30" i="6"/>
  <c r="EHC30" i="6"/>
  <c r="EHB30" i="6"/>
  <c r="EHA30" i="6"/>
  <c r="EGZ30" i="6"/>
  <c r="EGY30" i="6"/>
  <c r="EGX30" i="6"/>
  <c r="EGW30" i="6"/>
  <c r="EGV30" i="6"/>
  <c r="EGU30" i="6"/>
  <c r="EGT30" i="6"/>
  <c r="EGS30" i="6"/>
  <c r="EGR30" i="6"/>
  <c r="EGQ30" i="6"/>
  <c r="EGP30" i="6"/>
  <c r="EGO30" i="6"/>
  <c r="EGN30" i="6"/>
  <c r="EGM30" i="6"/>
  <c r="EGL30" i="6"/>
  <c r="EGK30" i="6"/>
  <c r="EGJ30" i="6"/>
  <c r="EGI30" i="6"/>
  <c r="EGH30" i="6"/>
  <c r="EGG30" i="6"/>
  <c r="EGF30" i="6"/>
  <c r="EGE30" i="6"/>
  <c r="EGD30" i="6"/>
  <c r="EGC30" i="6"/>
  <c r="EGB30" i="6"/>
  <c r="EGA30" i="6"/>
  <c r="EFZ30" i="6"/>
  <c r="EFY30" i="6"/>
  <c r="EFX30" i="6"/>
  <c r="EFW30" i="6"/>
  <c r="EFV30" i="6"/>
  <c r="EFU30" i="6"/>
  <c r="EFT30" i="6"/>
  <c r="EFS30" i="6"/>
  <c r="EFR30" i="6"/>
  <c r="EFQ30" i="6"/>
  <c r="EFP30" i="6"/>
  <c r="EFO30" i="6"/>
  <c r="EFN30" i="6"/>
  <c r="EFM30" i="6"/>
  <c r="EFL30" i="6"/>
  <c r="EFK30" i="6"/>
  <c r="EFJ30" i="6"/>
  <c r="EFI30" i="6"/>
  <c r="EFH30" i="6"/>
  <c r="EFG30" i="6"/>
  <c r="EFF30" i="6"/>
  <c r="EFE30" i="6"/>
  <c r="EFD30" i="6"/>
  <c r="EFC30" i="6"/>
  <c r="EFB30" i="6"/>
  <c r="EFA30" i="6"/>
  <c r="EEZ30" i="6"/>
  <c r="EEY30" i="6"/>
  <c r="EEX30" i="6"/>
  <c r="EEW30" i="6"/>
  <c r="EEV30" i="6"/>
  <c r="EEU30" i="6"/>
  <c r="EET30" i="6"/>
  <c r="EES30" i="6"/>
  <c r="EER30" i="6"/>
  <c r="EEQ30" i="6"/>
  <c r="EEP30" i="6"/>
  <c r="EEO30" i="6"/>
  <c r="EEN30" i="6"/>
  <c r="EEM30" i="6"/>
  <c r="EEL30" i="6"/>
  <c r="EEK30" i="6"/>
  <c r="EEJ30" i="6"/>
  <c r="EEI30" i="6"/>
  <c r="EEH30" i="6"/>
  <c r="EEG30" i="6"/>
  <c r="EEF30" i="6"/>
  <c r="EEE30" i="6"/>
  <c r="EED30" i="6"/>
  <c r="EEC30" i="6"/>
  <c r="EEB30" i="6"/>
  <c r="EEA30" i="6"/>
  <c r="EDZ30" i="6"/>
  <c r="EDY30" i="6"/>
  <c r="EDX30" i="6"/>
  <c r="EDW30" i="6"/>
  <c r="EDV30" i="6"/>
  <c r="EDU30" i="6"/>
  <c r="EDT30" i="6"/>
  <c r="EDS30" i="6"/>
  <c r="EDR30" i="6"/>
  <c r="EDQ30" i="6"/>
  <c r="EDP30" i="6"/>
  <c r="EDO30" i="6"/>
  <c r="EDN30" i="6"/>
  <c r="EDM30" i="6"/>
  <c r="EDL30" i="6"/>
  <c r="EDK30" i="6"/>
  <c r="EDJ30" i="6"/>
  <c r="EDI30" i="6"/>
  <c r="EDH30" i="6"/>
  <c r="EDG30" i="6"/>
  <c r="EDF30" i="6"/>
  <c r="EDE30" i="6"/>
  <c r="EDD30" i="6"/>
  <c r="EDC30" i="6"/>
  <c r="EDB30" i="6"/>
  <c r="EDA30" i="6"/>
  <c r="ECZ30" i="6"/>
  <c r="ECY30" i="6"/>
  <c r="ECX30" i="6"/>
  <c r="ECW30" i="6"/>
  <c r="ECV30" i="6"/>
  <c r="ECU30" i="6"/>
  <c r="ECT30" i="6"/>
  <c r="ECS30" i="6"/>
  <c r="ECR30" i="6"/>
  <c r="ECQ30" i="6"/>
  <c r="ECP30" i="6"/>
  <c r="ECO30" i="6"/>
  <c r="ECN30" i="6"/>
  <c r="ECM30" i="6"/>
  <c r="ECL30" i="6"/>
  <c r="ECK30" i="6"/>
  <c r="ECJ30" i="6"/>
  <c r="ECI30" i="6"/>
  <c r="ECH30" i="6"/>
  <c r="ECG30" i="6"/>
  <c r="ECF30" i="6"/>
  <c r="ECE30" i="6"/>
  <c r="ECD30" i="6"/>
  <c r="ECC30" i="6"/>
  <c r="ECB30" i="6"/>
  <c r="ECA30" i="6"/>
  <c r="EBZ30" i="6"/>
  <c r="EBY30" i="6"/>
  <c r="EBX30" i="6"/>
  <c r="EBW30" i="6"/>
  <c r="EBV30" i="6"/>
  <c r="EBU30" i="6"/>
  <c r="EBT30" i="6"/>
  <c r="EBS30" i="6"/>
  <c r="EBR30" i="6"/>
  <c r="EBQ30" i="6"/>
  <c r="EBP30" i="6"/>
  <c r="EBO30" i="6"/>
  <c r="EBN30" i="6"/>
  <c r="EBM30" i="6"/>
  <c r="EBL30" i="6"/>
  <c r="EBK30" i="6"/>
  <c r="EBJ30" i="6"/>
  <c r="EBI30" i="6"/>
  <c r="EBH30" i="6"/>
  <c r="EBG30" i="6"/>
  <c r="EBF30" i="6"/>
  <c r="EBE30" i="6"/>
  <c r="EBD30" i="6"/>
  <c r="EBC30" i="6"/>
  <c r="EBB30" i="6"/>
  <c r="EBA30" i="6"/>
  <c r="EAZ30" i="6"/>
  <c r="EAY30" i="6"/>
  <c r="EAX30" i="6"/>
  <c r="EAW30" i="6"/>
  <c r="EAV30" i="6"/>
  <c r="EAU30" i="6"/>
  <c r="EAT30" i="6"/>
  <c r="EAS30" i="6"/>
  <c r="EAR30" i="6"/>
  <c r="EAQ30" i="6"/>
  <c r="EAP30" i="6"/>
  <c r="EAO30" i="6"/>
  <c r="EAN30" i="6"/>
  <c r="EAM30" i="6"/>
  <c r="EAL30" i="6"/>
  <c r="EAK30" i="6"/>
  <c r="EAJ30" i="6"/>
  <c r="EAI30" i="6"/>
  <c r="EAH30" i="6"/>
  <c r="EAG30" i="6"/>
  <c r="EAF30" i="6"/>
  <c r="EAE30" i="6"/>
  <c r="EAD30" i="6"/>
  <c r="EAC30" i="6"/>
  <c r="EAB30" i="6"/>
  <c r="EAA30" i="6"/>
  <c r="DZZ30" i="6"/>
  <c r="DZY30" i="6"/>
  <c r="DZX30" i="6"/>
  <c r="DZW30" i="6"/>
  <c r="DZV30" i="6"/>
  <c r="DZU30" i="6"/>
  <c r="DZT30" i="6"/>
  <c r="DZS30" i="6"/>
  <c r="DZR30" i="6"/>
  <c r="DZQ30" i="6"/>
  <c r="DZP30" i="6"/>
  <c r="DZO30" i="6"/>
  <c r="DZN30" i="6"/>
  <c r="DZM30" i="6"/>
  <c r="DZL30" i="6"/>
  <c r="DZK30" i="6"/>
  <c r="DZJ30" i="6"/>
  <c r="DZI30" i="6"/>
  <c r="DZH30" i="6"/>
  <c r="DZG30" i="6"/>
  <c r="DZF30" i="6"/>
  <c r="DZE30" i="6"/>
  <c r="DZD30" i="6"/>
  <c r="DZC30" i="6"/>
  <c r="DZB30" i="6"/>
  <c r="DZA30" i="6"/>
  <c r="DYZ30" i="6"/>
  <c r="DYY30" i="6"/>
  <c r="DYX30" i="6"/>
  <c r="DYW30" i="6"/>
  <c r="DYV30" i="6"/>
  <c r="DYU30" i="6"/>
  <c r="DYT30" i="6"/>
  <c r="DYS30" i="6"/>
  <c r="DYR30" i="6"/>
  <c r="DYQ30" i="6"/>
  <c r="DYP30" i="6"/>
  <c r="DYO30" i="6"/>
  <c r="DYN30" i="6"/>
  <c r="DYM30" i="6"/>
  <c r="DYL30" i="6"/>
  <c r="DYK30" i="6"/>
  <c r="DYJ30" i="6"/>
  <c r="DYI30" i="6"/>
  <c r="DYH30" i="6"/>
  <c r="DYG30" i="6"/>
  <c r="DYF30" i="6"/>
  <c r="DYE30" i="6"/>
  <c r="DYD30" i="6"/>
  <c r="DYC30" i="6"/>
  <c r="DYB30" i="6"/>
  <c r="DYA30" i="6"/>
  <c r="DXZ30" i="6"/>
  <c r="DXY30" i="6"/>
  <c r="DXX30" i="6"/>
  <c r="DXW30" i="6"/>
  <c r="DXV30" i="6"/>
  <c r="DXU30" i="6"/>
  <c r="DXT30" i="6"/>
  <c r="DXS30" i="6"/>
  <c r="DXR30" i="6"/>
  <c r="DXQ30" i="6"/>
  <c r="DXP30" i="6"/>
  <c r="DXO30" i="6"/>
  <c r="DXN30" i="6"/>
  <c r="DXM30" i="6"/>
  <c r="DXL30" i="6"/>
  <c r="DXK30" i="6"/>
  <c r="DXJ30" i="6"/>
  <c r="DXI30" i="6"/>
  <c r="DXH30" i="6"/>
  <c r="DXG30" i="6"/>
  <c r="DXF30" i="6"/>
  <c r="DXE30" i="6"/>
  <c r="DXD30" i="6"/>
  <c r="DXC30" i="6"/>
  <c r="DXB30" i="6"/>
  <c r="DXA30" i="6"/>
  <c r="DWZ30" i="6"/>
  <c r="DWY30" i="6"/>
  <c r="DWX30" i="6"/>
  <c r="DWW30" i="6"/>
  <c r="DWV30" i="6"/>
  <c r="DWU30" i="6"/>
  <c r="DWT30" i="6"/>
  <c r="DWS30" i="6"/>
  <c r="DWR30" i="6"/>
  <c r="DWQ30" i="6"/>
  <c r="DWP30" i="6"/>
  <c r="DWO30" i="6"/>
  <c r="DWN30" i="6"/>
  <c r="DWM30" i="6"/>
  <c r="DWL30" i="6"/>
  <c r="DWK30" i="6"/>
  <c r="DWJ30" i="6"/>
  <c r="DWI30" i="6"/>
  <c r="DWH30" i="6"/>
  <c r="DWG30" i="6"/>
  <c r="DWF30" i="6"/>
  <c r="DWE30" i="6"/>
  <c r="DWD30" i="6"/>
  <c r="DWC30" i="6"/>
  <c r="DWB30" i="6"/>
  <c r="DWA30" i="6"/>
  <c r="DVZ30" i="6"/>
  <c r="DVY30" i="6"/>
  <c r="DVX30" i="6"/>
  <c r="DVW30" i="6"/>
  <c r="DVV30" i="6"/>
  <c r="DVU30" i="6"/>
  <c r="DVT30" i="6"/>
  <c r="DVS30" i="6"/>
  <c r="DVR30" i="6"/>
  <c r="DVQ30" i="6"/>
  <c r="DVP30" i="6"/>
  <c r="DVO30" i="6"/>
  <c r="DVN30" i="6"/>
  <c r="DVM30" i="6"/>
  <c r="DVL30" i="6"/>
  <c r="DVK30" i="6"/>
  <c r="DVJ30" i="6"/>
  <c r="DVI30" i="6"/>
  <c r="DVH30" i="6"/>
  <c r="DVG30" i="6"/>
  <c r="DVF30" i="6"/>
  <c r="DVE30" i="6"/>
  <c r="DVD30" i="6"/>
  <c r="DVC30" i="6"/>
  <c r="DVB30" i="6"/>
  <c r="DVA30" i="6"/>
  <c r="DUZ30" i="6"/>
  <c r="DUY30" i="6"/>
  <c r="DUX30" i="6"/>
  <c r="DUW30" i="6"/>
  <c r="DUV30" i="6"/>
  <c r="DUU30" i="6"/>
  <c r="DUT30" i="6"/>
  <c r="DUS30" i="6"/>
  <c r="DUR30" i="6"/>
  <c r="DUQ30" i="6"/>
  <c r="DUP30" i="6"/>
  <c r="DUO30" i="6"/>
  <c r="DUN30" i="6"/>
  <c r="DUM30" i="6"/>
  <c r="DUL30" i="6"/>
  <c r="DUK30" i="6"/>
  <c r="DUJ30" i="6"/>
  <c r="DUI30" i="6"/>
  <c r="DUH30" i="6"/>
  <c r="DUG30" i="6"/>
  <c r="DUF30" i="6"/>
  <c r="DUE30" i="6"/>
  <c r="DUD30" i="6"/>
  <c r="DUC30" i="6"/>
  <c r="DUB30" i="6"/>
  <c r="DUA30" i="6"/>
  <c r="DTZ30" i="6"/>
  <c r="DTY30" i="6"/>
  <c r="DTX30" i="6"/>
  <c r="DTW30" i="6"/>
  <c r="DTV30" i="6"/>
  <c r="DTU30" i="6"/>
  <c r="DTT30" i="6"/>
  <c r="DTS30" i="6"/>
  <c r="DTR30" i="6"/>
  <c r="DTQ30" i="6"/>
  <c r="DTP30" i="6"/>
  <c r="DTO30" i="6"/>
  <c r="DTN30" i="6"/>
  <c r="DTM30" i="6"/>
  <c r="DTL30" i="6"/>
  <c r="DTK30" i="6"/>
  <c r="DTJ30" i="6"/>
  <c r="DTI30" i="6"/>
  <c r="DTH30" i="6"/>
  <c r="DTG30" i="6"/>
  <c r="DTF30" i="6"/>
  <c r="DTE30" i="6"/>
  <c r="DTD30" i="6"/>
  <c r="DTC30" i="6"/>
  <c r="DTB30" i="6"/>
  <c r="DTA30" i="6"/>
  <c r="DSZ30" i="6"/>
  <c r="DSY30" i="6"/>
  <c r="DSX30" i="6"/>
  <c r="DSW30" i="6"/>
  <c r="DSV30" i="6"/>
  <c r="DSU30" i="6"/>
  <c r="DST30" i="6"/>
  <c r="DSS30" i="6"/>
  <c r="DSR30" i="6"/>
  <c r="DSQ30" i="6"/>
  <c r="DSP30" i="6"/>
  <c r="DSO30" i="6"/>
  <c r="DSN30" i="6"/>
  <c r="DSM30" i="6"/>
  <c r="DSL30" i="6"/>
  <c r="DSK30" i="6"/>
  <c r="DSJ30" i="6"/>
  <c r="DSI30" i="6"/>
  <c r="DSH30" i="6"/>
  <c r="DSG30" i="6"/>
  <c r="DSF30" i="6"/>
  <c r="DSE30" i="6"/>
  <c r="DSD30" i="6"/>
  <c r="DSC30" i="6"/>
  <c r="DSB30" i="6"/>
  <c r="DSA30" i="6"/>
  <c r="DRZ30" i="6"/>
  <c r="DRY30" i="6"/>
  <c r="DRX30" i="6"/>
  <c r="DRW30" i="6"/>
  <c r="DRV30" i="6"/>
  <c r="DRU30" i="6"/>
  <c r="DRT30" i="6"/>
  <c r="DRS30" i="6"/>
  <c r="DRR30" i="6"/>
  <c r="DRQ30" i="6"/>
  <c r="DRP30" i="6"/>
  <c r="DRO30" i="6"/>
  <c r="DRN30" i="6"/>
  <c r="DRM30" i="6"/>
  <c r="DRL30" i="6"/>
  <c r="DRK30" i="6"/>
  <c r="DRJ30" i="6"/>
  <c r="DRI30" i="6"/>
  <c r="DRH30" i="6"/>
  <c r="DRG30" i="6"/>
  <c r="DRF30" i="6"/>
  <c r="DRE30" i="6"/>
  <c r="DRD30" i="6"/>
  <c r="DRC30" i="6"/>
  <c r="DRB30" i="6"/>
  <c r="DRA30" i="6"/>
  <c r="DQZ30" i="6"/>
  <c r="DQY30" i="6"/>
  <c r="DQX30" i="6"/>
  <c r="DQW30" i="6"/>
  <c r="DQV30" i="6"/>
  <c r="DQU30" i="6"/>
  <c r="DQT30" i="6"/>
  <c r="DQS30" i="6"/>
  <c r="DQR30" i="6"/>
  <c r="DQQ30" i="6"/>
  <c r="DQP30" i="6"/>
  <c r="DQO30" i="6"/>
  <c r="DQN30" i="6"/>
  <c r="DQM30" i="6"/>
  <c r="DQL30" i="6"/>
  <c r="DQK30" i="6"/>
  <c r="DQJ30" i="6"/>
  <c r="DQI30" i="6"/>
  <c r="DQH30" i="6"/>
  <c r="DQG30" i="6"/>
  <c r="DQF30" i="6"/>
  <c r="DQE30" i="6"/>
  <c r="DQD30" i="6"/>
  <c r="DQC30" i="6"/>
  <c r="DQB30" i="6"/>
  <c r="DQA30" i="6"/>
  <c r="DPZ30" i="6"/>
  <c r="DPY30" i="6"/>
  <c r="DPX30" i="6"/>
  <c r="DPW30" i="6"/>
  <c r="DPV30" i="6"/>
  <c r="DPU30" i="6"/>
  <c r="DPT30" i="6"/>
  <c r="DPS30" i="6"/>
  <c r="DPR30" i="6"/>
  <c r="DPQ30" i="6"/>
  <c r="DPP30" i="6"/>
  <c r="DPO30" i="6"/>
  <c r="DPN30" i="6"/>
  <c r="DPM30" i="6"/>
  <c r="DPL30" i="6"/>
  <c r="DPK30" i="6"/>
  <c r="DPJ30" i="6"/>
  <c r="DPI30" i="6"/>
  <c r="DPH30" i="6"/>
  <c r="DPG30" i="6"/>
  <c r="DPF30" i="6"/>
  <c r="DPE30" i="6"/>
  <c r="DPD30" i="6"/>
  <c r="DPC30" i="6"/>
  <c r="DPB30" i="6"/>
  <c r="DPA30" i="6"/>
  <c r="DOZ30" i="6"/>
  <c r="DOY30" i="6"/>
  <c r="DOX30" i="6"/>
  <c r="DOW30" i="6"/>
  <c r="DOV30" i="6"/>
  <c r="DOU30" i="6"/>
  <c r="DOT30" i="6"/>
  <c r="DOS30" i="6"/>
  <c r="DOR30" i="6"/>
  <c r="DOQ30" i="6"/>
  <c r="DOP30" i="6"/>
  <c r="DOO30" i="6"/>
  <c r="DON30" i="6"/>
  <c r="DOM30" i="6"/>
  <c r="DOL30" i="6"/>
  <c r="DOK30" i="6"/>
  <c r="DOJ30" i="6"/>
  <c r="DOI30" i="6"/>
  <c r="DOH30" i="6"/>
  <c r="DOG30" i="6"/>
  <c r="DOF30" i="6"/>
  <c r="DOE30" i="6"/>
  <c r="DOD30" i="6"/>
  <c r="DOC30" i="6"/>
  <c r="DOB30" i="6"/>
  <c r="DOA30" i="6"/>
  <c r="DNZ30" i="6"/>
  <c r="DNY30" i="6"/>
  <c r="DNX30" i="6"/>
  <c r="DNW30" i="6"/>
  <c r="DNV30" i="6"/>
  <c r="DNU30" i="6"/>
  <c r="DNT30" i="6"/>
  <c r="DNS30" i="6"/>
  <c r="DNR30" i="6"/>
  <c r="DNQ30" i="6"/>
  <c r="DNP30" i="6"/>
  <c r="DNO30" i="6"/>
  <c r="DNN30" i="6"/>
  <c r="DNM30" i="6"/>
  <c r="DNL30" i="6"/>
  <c r="DNK30" i="6"/>
  <c r="DNJ30" i="6"/>
  <c r="DNI30" i="6"/>
  <c r="DNH30" i="6"/>
  <c r="DNG30" i="6"/>
  <c r="DNF30" i="6"/>
  <c r="DNE30" i="6"/>
  <c r="DND30" i="6"/>
  <c r="DNC30" i="6"/>
  <c r="DNB30" i="6"/>
  <c r="DNA30" i="6"/>
  <c r="DMZ30" i="6"/>
  <c r="DMY30" i="6"/>
  <c r="DMX30" i="6"/>
  <c r="DMW30" i="6"/>
  <c r="DMV30" i="6"/>
  <c r="DMU30" i="6"/>
  <c r="DMT30" i="6"/>
  <c r="DMS30" i="6"/>
  <c r="DMR30" i="6"/>
  <c r="DMQ30" i="6"/>
  <c r="DMP30" i="6"/>
  <c r="DMO30" i="6"/>
  <c r="DMN30" i="6"/>
  <c r="DMM30" i="6"/>
  <c r="DML30" i="6"/>
  <c r="DMK30" i="6"/>
  <c r="DMJ30" i="6"/>
  <c r="DMI30" i="6"/>
  <c r="DMH30" i="6"/>
  <c r="DMG30" i="6"/>
  <c r="DMF30" i="6"/>
  <c r="DME30" i="6"/>
  <c r="DMD30" i="6"/>
  <c r="DMC30" i="6"/>
  <c r="DMB30" i="6"/>
  <c r="DMA30" i="6"/>
  <c r="DLZ30" i="6"/>
  <c r="DLY30" i="6"/>
  <c r="DLX30" i="6"/>
  <c r="DLW30" i="6"/>
  <c r="DLV30" i="6"/>
  <c r="DLU30" i="6"/>
  <c r="DLT30" i="6"/>
  <c r="DLS30" i="6"/>
  <c r="DLR30" i="6"/>
  <c r="DLQ30" i="6"/>
  <c r="DLP30" i="6"/>
  <c r="DLO30" i="6"/>
  <c r="DLN30" i="6"/>
  <c r="DLM30" i="6"/>
  <c r="DLL30" i="6"/>
  <c r="DLK30" i="6"/>
  <c r="DLJ30" i="6"/>
  <c r="DLI30" i="6"/>
  <c r="DLH30" i="6"/>
  <c r="DLG30" i="6"/>
  <c r="DLF30" i="6"/>
  <c r="DLE30" i="6"/>
  <c r="DLD30" i="6"/>
  <c r="DLC30" i="6"/>
  <c r="DLB30" i="6"/>
  <c r="DLA30" i="6"/>
  <c r="DKZ30" i="6"/>
  <c r="DKY30" i="6"/>
  <c r="DKX30" i="6"/>
  <c r="DKW30" i="6"/>
  <c r="DKV30" i="6"/>
  <c r="DKU30" i="6"/>
  <c r="DKT30" i="6"/>
  <c r="DKS30" i="6"/>
  <c r="DKR30" i="6"/>
  <c r="DKQ30" i="6"/>
  <c r="DKP30" i="6"/>
  <c r="DKO30" i="6"/>
  <c r="DKN30" i="6"/>
  <c r="DKM30" i="6"/>
  <c r="DKL30" i="6"/>
  <c r="DKK30" i="6"/>
  <c r="DKJ30" i="6"/>
  <c r="DKI30" i="6"/>
  <c r="DKH30" i="6"/>
  <c r="DKG30" i="6"/>
  <c r="DKF30" i="6"/>
  <c r="DKE30" i="6"/>
  <c r="DKD30" i="6"/>
  <c r="DKC30" i="6"/>
  <c r="DKB30" i="6"/>
  <c r="DKA30" i="6"/>
  <c r="DJZ30" i="6"/>
  <c r="DJY30" i="6"/>
  <c r="DJX30" i="6"/>
  <c r="DJW30" i="6"/>
  <c r="DJV30" i="6"/>
  <c r="DJU30" i="6"/>
  <c r="DJT30" i="6"/>
  <c r="DJS30" i="6"/>
  <c r="DJR30" i="6"/>
  <c r="DJQ30" i="6"/>
  <c r="DJP30" i="6"/>
  <c r="DJO30" i="6"/>
  <c r="DJN30" i="6"/>
  <c r="DJM30" i="6"/>
  <c r="DJL30" i="6"/>
  <c r="DJK30" i="6"/>
  <c r="DJJ30" i="6"/>
  <c r="DJI30" i="6"/>
  <c r="DJH30" i="6"/>
  <c r="DJG30" i="6"/>
  <c r="DJF30" i="6"/>
  <c r="DJE30" i="6"/>
  <c r="DJD30" i="6"/>
  <c r="DJC30" i="6"/>
  <c r="DJB30" i="6"/>
  <c r="DJA30" i="6"/>
  <c r="DIZ30" i="6"/>
  <c r="DIY30" i="6"/>
  <c r="DIX30" i="6"/>
  <c r="DIW30" i="6"/>
  <c r="DIV30" i="6"/>
  <c r="DIU30" i="6"/>
  <c r="DIT30" i="6"/>
  <c r="DIS30" i="6"/>
  <c r="DIR30" i="6"/>
  <c r="DIQ30" i="6"/>
  <c r="DIP30" i="6"/>
  <c r="DIO30" i="6"/>
  <c r="DIN30" i="6"/>
  <c r="DIM30" i="6"/>
  <c r="DIL30" i="6"/>
  <c r="DIK30" i="6"/>
  <c r="DIJ30" i="6"/>
  <c r="DII30" i="6"/>
  <c r="DIH30" i="6"/>
  <c r="DIG30" i="6"/>
  <c r="DIF30" i="6"/>
  <c r="DIE30" i="6"/>
  <c r="DID30" i="6"/>
  <c r="DIC30" i="6"/>
  <c r="DIB30" i="6"/>
  <c r="DIA30" i="6"/>
  <c r="DHZ30" i="6"/>
  <c r="DHY30" i="6"/>
  <c r="DHX30" i="6"/>
  <c r="DHW30" i="6"/>
  <c r="DHV30" i="6"/>
  <c r="DHU30" i="6"/>
  <c r="DHT30" i="6"/>
  <c r="DHS30" i="6"/>
  <c r="DHR30" i="6"/>
  <c r="DHQ30" i="6"/>
  <c r="DHP30" i="6"/>
  <c r="DHO30" i="6"/>
  <c r="DHN30" i="6"/>
  <c r="DHM30" i="6"/>
  <c r="DHL30" i="6"/>
  <c r="DHK30" i="6"/>
  <c r="DHJ30" i="6"/>
  <c r="DHI30" i="6"/>
  <c r="DHH30" i="6"/>
  <c r="DHG30" i="6"/>
  <c r="DHF30" i="6"/>
  <c r="DHE30" i="6"/>
  <c r="DHD30" i="6"/>
  <c r="DHC30" i="6"/>
  <c r="DHB30" i="6"/>
  <c r="DHA30" i="6"/>
  <c r="DGZ30" i="6"/>
  <c r="DGY30" i="6"/>
  <c r="DGX30" i="6"/>
  <c r="DGW30" i="6"/>
  <c r="DGV30" i="6"/>
  <c r="DGU30" i="6"/>
  <c r="DGT30" i="6"/>
  <c r="DGS30" i="6"/>
  <c r="DGR30" i="6"/>
  <c r="DGQ30" i="6"/>
  <c r="DGP30" i="6"/>
  <c r="DGO30" i="6"/>
  <c r="DGN30" i="6"/>
  <c r="DGM30" i="6"/>
  <c r="DGL30" i="6"/>
  <c r="DGK30" i="6"/>
  <c r="DGJ30" i="6"/>
  <c r="DGI30" i="6"/>
  <c r="DGH30" i="6"/>
  <c r="DGG30" i="6"/>
  <c r="DGF30" i="6"/>
  <c r="DGE30" i="6"/>
  <c r="DGD30" i="6"/>
  <c r="DGC30" i="6"/>
  <c r="DGB30" i="6"/>
  <c r="DGA30" i="6"/>
  <c r="DFZ30" i="6"/>
  <c r="DFY30" i="6"/>
  <c r="DFX30" i="6"/>
  <c r="DFW30" i="6"/>
  <c r="DFV30" i="6"/>
  <c r="DFU30" i="6"/>
  <c r="DFT30" i="6"/>
  <c r="DFS30" i="6"/>
  <c r="DFR30" i="6"/>
  <c r="DFQ30" i="6"/>
  <c r="DFP30" i="6"/>
  <c r="DFO30" i="6"/>
  <c r="DFN30" i="6"/>
  <c r="DFM30" i="6"/>
  <c r="DFL30" i="6"/>
  <c r="DFK30" i="6"/>
  <c r="DFJ30" i="6"/>
  <c r="DFI30" i="6"/>
  <c r="DFH30" i="6"/>
  <c r="DFG30" i="6"/>
  <c r="DFF30" i="6"/>
  <c r="DFE30" i="6"/>
  <c r="DFD30" i="6"/>
  <c r="DFC30" i="6"/>
  <c r="DFB30" i="6"/>
  <c r="DFA30" i="6"/>
  <c r="DEZ30" i="6"/>
  <c r="DEY30" i="6"/>
  <c r="DEX30" i="6"/>
  <c r="DEW30" i="6"/>
  <c r="DEV30" i="6"/>
  <c r="DEU30" i="6"/>
  <c r="DET30" i="6"/>
  <c r="DES30" i="6"/>
  <c r="DER30" i="6"/>
  <c r="DEQ30" i="6"/>
  <c r="DEP30" i="6"/>
  <c r="DEO30" i="6"/>
  <c r="DEN30" i="6"/>
  <c r="DEM30" i="6"/>
  <c r="DEL30" i="6"/>
  <c r="DEK30" i="6"/>
  <c r="DEJ30" i="6"/>
  <c r="DEI30" i="6"/>
  <c r="DEH30" i="6"/>
  <c r="DEG30" i="6"/>
  <c r="DEF30" i="6"/>
  <c r="DEE30" i="6"/>
  <c r="DED30" i="6"/>
  <c r="DEC30" i="6"/>
  <c r="DEB30" i="6"/>
  <c r="DEA30" i="6"/>
  <c r="DDZ30" i="6"/>
  <c r="DDY30" i="6"/>
  <c r="DDX30" i="6"/>
  <c r="DDW30" i="6"/>
  <c r="DDV30" i="6"/>
  <c r="DDU30" i="6"/>
  <c r="DDT30" i="6"/>
  <c r="DDS30" i="6"/>
  <c r="DDR30" i="6"/>
  <c r="DDQ30" i="6"/>
  <c r="DDP30" i="6"/>
  <c r="DDO30" i="6"/>
  <c r="DDN30" i="6"/>
  <c r="DDM30" i="6"/>
  <c r="DDL30" i="6"/>
  <c r="DDK30" i="6"/>
  <c r="DDJ30" i="6"/>
  <c r="DDI30" i="6"/>
  <c r="DDH30" i="6"/>
  <c r="DDG30" i="6"/>
  <c r="DDF30" i="6"/>
  <c r="DDE30" i="6"/>
  <c r="DDD30" i="6"/>
  <c r="DDC30" i="6"/>
  <c r="DDB30" i="6"/>
  <c r="DDA30" i="6"/>
  <c r="DCZ30" i="6"/>
  <c r="DCY30" i="6"/>
  <c r="DCX30" i="6"/>
  <c r="DCW30" i="6"/>
  <c r="DCV30" i="6"/>
  <c r="DCU30" i="6"/>
  <c r="DCT30" i="6"/>
  <c r="DCS30" i="6"/>
  <c r="DCR30" i="6"/>
  <c r="DCQ30" i="6"/>
  <c r="DCP30" i="6"/>
  <c r="DCO30" i="6"/>
  <c r="DCN30" i="6"/>
  <c r="DCM30" i="6"/>
  <c r="DCL30" i="6"/>
  <c r="DCK30" i="6"/>
  <c r="DCJ30" i="6"/>
  <c r="DCI30" i="6"/>
  <c r="DCH30" i="6"/>
  <c r="DCG30" i="6"/>
  <c r="DCF30" i="6"/>
  <c r="DCE30" i="6"/>
  <c r="DCD30" i="6"/>
  <c r="DCC30" i="6"/>
  <c r="DCB30" i="6"/>
  <c r="DCA30" i="6"/>
  <c r="DBZ30" i="6"/>
  <c r="DBY30" i="6"/>
  <c r="DBX30" i="6"/>
  <c r="DBW30" i="6"/>
  <c r="DBV30" i="6"/>
  <c r="DBU30" i="6"/>
  <c r="DBT30" i="6"/>
  <c r="DBS30" i="6"/>
  <c r="DBR30" i="6"/>
  <c r="DBQ30" i="6"/>
  <c r="DBP30" i="6"/>
  <c r="DBO30" i="6"/>
  <c r="DBN30" i="6"/>
  <c r="DBM30" i="6"/>
  <c r="DBL30" i="6"/>
  <c r="DBK30" i="6"/>
  <c r="DBJ30" i="6"/>
  <c r="DBI30" i="6"/>
  <c r="DBH30" i="6"/>
  <c r="DBG30" i="6"/>
  <c r="DBF30" i="6"/>
  <c r="DBE30" i="6"/>
  <c r="DBD30" i="6"/>
  <c r="DBC30" i="6"/>
  <c r="DBB30" i="6"/>
  <c r="DBA30" i="6"/>
  <c r="DAZ30" i="6"/>
  <c r="DAY30" i="6"/>
  <c r="DAX30" i="6"/>
  <c r="DAW30" i="6"/>
  <c r="DAV30" i="6"/>
  <c r="DAU30" i="6"/>
  <c r="DAT30" i="6"/>
  <c r="DAS30" i="6"/>
  <c r="DAR30" i="6"/>
  <c r="DAQ30" i="6"/>
  <c r="DAP30" i="6"/>
  <c r="DAO30" i="6"/>
  <c r="DAN30" i="6"/>
  <c r="DAM30" i="6"/>
  <c r="DAL30" i="6"/>
  <c r="DAK30" i="6"/>
  <c r="DAJ30" i="6"/>
  <c r="DAI30" i="6"/>
  <c r="DAH30" i="6"/>
  <c r="DAG30" i="6"/>
  <c r="DAF30" i="6"/>
  <c r="DAE30" i="6"/>
  <c r="DAD30" i="6"/>
  <c r="DAC30" i="6"/>
  <c r="DAB30" i="6"/>
  <c r="DAA30" i="6"/>
  <c r="CZZ30" i="6"/>
  <c r="CZY30" i="6"/>
  <c r="CZX30" i="6"/>
  <c r="CZW30" i="6"/>
  <c r="CZV30" i="6"/>
  <c r="CZU30" i="6"/>
  <c r="CZT30" i="6"/>
  <c r="CZS30" i="6"/>
  <c r="CZR30" i="6"/>
  <c r="CZQ30" i="6"/>
  <c r="CZP30" i="6"/>
  <c r="CZO30" i="6"/>
  <c r="CZN30" i="6"/>
  <c r="CZM30" i="6"/>
  <c r="CZL30" i="6"/>
  <c r="CZK30" i="6"/>
  <c r="CZJ30" i="6"/>
  <c r="CZI30" i="6"/>
  <c r="CZH30" i="6"/>
  <c r="CZG30" i="6"/>
  <c r="CZF30" i="6"/>
  <c r="CZE30" i="6"/>
  <c r="CZD30" i="6"/>
  <c r="CZC30" i="6"/>
  <c r="CZB30" i="6"/>
  <c r="CZA30" i="6"/>
  <c r="CYZ30" i="6"/>
  <c r="CYY30" i="6"/>
  <c r="CYX30" i="6"/>
  <c r="CYW30" i="6"/>
  <c r="CYV30" i="6"/>
  <c r="CYU30" i="6"/>
  <c r="CYT30" i="6"/>
  <c r="CYS30" i="6"/>
  <c r="CYR30" i="6"/>
  <c r="CYQ30" i="6"/>
  <c r="CYP30" i="6"/>
  <c r="CYO30" i="6"/>
  <c r="CYN30" i="6"/>
  <c r="CYM30" i="6"/>
  <c r="CYL30" i="6"/>
  <c r="CYK30" i="6"/>
  <c r="CYJ30" i="6"/>
  <c r="CYI30" i="6"/>
  <c r="CYH30" i="6"/>
  <c r="CYG30" i="6"/>
  <c r="CYF30" i="6"/>
  <c r="CYE30" i="6"/>
  <c r="CYD30" i="6"/>
  <c r="CYC30" i="6"/>
  <c r="CYB30" i="6"/>
  <c r="CYA30" i="6"/>
  <c r="CXZ30" i="6"/>
  <c r="CXY30" i="6"/>
  <c r="CXX30" i="6"/>
  <c r="CXW30" i="6"/>
  <c r="CXV30" i="6"/>
  <c r="CXU30" i="6"/>
  <c r="CXT30" i="6"/>
  <c r="CXS30" i="6"/>
  <c r="CXR30" i="6"/>
  <c r="CXQ30" i="6"/>
  <c r="CXP30" i="6"/>
  <c r="CXO30" i="6"/>
  <c r="CXN30" i="6"/>
  <c r="CXM30" i="6"/>
  <c r="CXL30" i="6"/>
  <c r="CXK30" i="6"/>
  <c r="CXJ30" i="6"/>
  <c r="CXI30" i="6"/>
  <c r="CXH30" i="6"/>
  <c r="CXG30" i="6"/>
  <c r="CXF30" i="6"/>
  <c r="CXE30" i="6"/>
  <c r="CXD30" i="6"/>
  <c r="CXC30" i="6"/>
  <c r="CXB30" i="6"/>
  <c r="CXA30" i="6"/>
  <c r="CWZ30" i="6"/>
  <c r="CWY30" i="6"/>
  <c r="CWX30" i="6"/>
  <c r="CWW30" i="6"/>
  <c r="CWV30" i="6"/>
  <c r="CWU30" i="6"/>
  <c r="CWT30" i="6"/>
  <c r="CWS30" i="6"/>
  <c r="CWR30" i="6"/>
  <c r="CWQ30" i="6"/>
  <c r="CWP30" i="6"/>
  <c r="CWO30" i="6"/>
  <c r="CWN30" i="6"/>
  <c r="CWM30" i="6"/>
  <c r="CWL30" i="6"/>
  <c r="CWK30" i="6"/>
  <c r="CWJ30" i="6"/>
  <c r="CWI30" i="6"/>
  <c r="CWH30" i="6"/>
  <c r="CWG30" i="6"/>
  <c r="CWF30" i="6"/>
  <c r="CWE30" i="6"/>
  <c r="CWD30" i="6"/>
  <c r="CWC30" i="6"/>
  <c r="CWB30" i="6"/>
  <c r="CWA30" i="6"/>
  <c r="CVZ30" i="6"/>
  <c r="CVY30" i="6"/>
  <c r="CVX30" i="6"/>
  <c r="CVW30" i="6"/>
  <c r="CVV30" i="6"/>
  <c r="CVU30" i="6"/>
  <c r="CVT30" i="6"/>
  <c r="CVS30" i="6"/>
  <c r="CVR30" i="6"/>
  <c r="CVQ30" i="6"/>
  <c r="CVP30" i="6"/>
  <c r="CVO30" i="6"/>
  <c r="CVN30" i="6"/>
  <c r="CVM30" i="6"/>
  <c r="CVL30" i="6"/>
  <c r="CVK30" i="6"/>
  <c r="CVJ30" i="6"/>
  <c r="CVI30" i="6"/>
  <c r="CVH30" i="6"/>
  <c r="CVG30" i="6"/>
  <c r="CVF30" i="6"/>
  <c r="CVE30" i="6"/>
  <c r="CVD30" i="6"/>
  <c r="CVC30" i="6"/>
  <c r="CVB30" i="6"/>
  <c r="CVA30" i="6"/>
  <c r="CUZ30" i="6"/>
  <c r="CUY30" i="6"/>
  <c r="CUX30" i="6"/>
  <c r="CUW30" i="6"/>
  <c r="CUV30" i="6"/>
  <c r="CUU30" i="6"/>
  <c r="CUT30" i="6"/>
  <c r="CUS30" i="6"/>
  <c r="CUR30" i="6"/>
  <c r="CUQ30" i="6"/>
  <c r="CUP30" i="6"/>
  <c r="CUO30" i="6"/>
  <c r="CUN30" i="6"/>
  <c r="CUM30" i="6"/>
  <c r="CUL30" i="6"/>
  <c r="CUK30" i="6"/>
  <c r="CUJ30" i="6"/>
  <c r="CUI30" i="6"/>
  <c r="CUH30" i="6"/>
  <c r="CUG30" i="6"/>
  <c r="CUF30" i="6"/>
  <c r="CUE30" i="6"/>
  <c r="CUD30" i="6"/>
  <c r="CUC30" i="6"/>
  <c r="CUB30" i="6"/>
  <c r="CUA30" i="6"/>
  <c r="CTZ30" i="6"/>
  <c r="CTY30" i="6"/>
  <c r="CTX30" i="6"/>
  <c r="CTW30" i="6"/>
  <c r="CTV30" i="6"/>
  <c r="CTU30" i="6"/>
  <c r="CTT30" i="6"/>
  <c r="CTS30" i="6"/>
  <c r="CTR30" i="6"/>
  <c r="CTQ30" i="6"/>
  <c r="CTP30" i="6"/>
  <c r="CTO30" i="6"/>
  <c r="CTN30" i="6"/>
  <c r="CTM30" i="6"/>
  <c r="CTL30" i="6"/>
  <c r="CTK30" i="6"/>
  <c r="CTJ30" i="6"/>
  <c r="CTI30" i="6"/>
  <c r="CTH30" i="6"/>
  <c r="CTG30" i="6"/>
  <c r="CTF30" i="6"/>
  <c r="CTE30" i="6"/>
  <c r="CTD30" i="6"/>
  <c r="CTC30" i="6"/>
  <c r="CTB30" i="6"/>
  <c r="CTA30" i="6"/>
  <c r="CSZ30" i="6"/>
  <c r="CSY30" i="6"/>
  <c r="CSX30" i="6"/>
  <c r="CSW30" i="6"/>
  <c r="CSV30" i="6"/>
  <c r="CSU30" i="6"/>
  <c r="CST30" i="6"/>
  <c r="CSS30" i="6"/>
  <c r="CSR30" i="6"/>
  <c r="CSQ30" i="6"/>
  <c r="CSP30" i="6"/>
  <c r="CSO30" i="6"/>
  <c r="CSN30" i="6"/>
  <c r="CSM30" i="6"/>
  <c r="CSL30" i="6"/>
  <c r="CSK30" i="6"/>
  <c r="CSJ30" i="6"/>
  <c r="CSI30" i="6"/>
  <c r="CSH30" i="6"/>
  <c r="CSG30" i="6"/>
  <c r="CSF30" i="6"/>
  <c r="CSE30" i="6"/>
  <c r="CSD30" i="6"/>
  <c r="CSC30" i="6"/>
  <c r="CSB30" i="6"/>
  <c r="CSA30" i="6"/>
  <c r="CRZ30" i="6"/>
  <c r="CRY30" i="6"/>
  <c r="CRX30" i="6"/>
  <c r="CRW30" i="6"/>
  <c r="CRV30" i="6"/>
  <c r="CRU30" i="6"/>
  <c r="CRT30" i="6"/>
  <c r="CRS30" i="6"/>
  <c r="CRR30" i="6"/>
  <c r="CRQ30" i="6"/>
  <c r="CRP30" i="6"/>
  <c r="CRO30" i="6"/>
  <c r="CRN30" i="6"/>
  <c r="CRM30" i="6"/>
  <c r="CRL30" i="6"/>
  <c r="CRK30" i="6"/>
  <c r="CRJ30" i="6"/>
  <c r="CRI30" i="6"/>
  <c r="CRH30" i="6"/>
  <c r="CRG30" i="6"/>
  <c r="CRF30" i="6"/>
  <c r="CRE30" i="6"/>
  <c r="CRD30" i="6"/>
  <c r="CRC30" i="6"/>
  <c r="CRB30" i="6"/>
  <c r="CRA30" i="6"/>
  <c r="CQZ30" i="6"/>
  <c r="CQY30" i="6"/>
  <c r="CQX30" i="6"/>
  <c r="CQW30" i="6"/>
  <c r="CQV30" i="6"/>
  <c r="CQU30" i="6"/>
  <c r="CQT30" i="6"/>
  <c r="CQS30" i="6"/>
  <c r="CQR30" i="6"/>
  <c r="CQQ30" i="6"/>
  <c r="CQP30" i="6"/>
  <c r="CQO30" i="6"/>
  <c r="CQN30" i="6"/>
  <c r="CQM30" i="6"/>
  <c r="CQL30" i="6"/>
  <c r="CQK30" i="6"/>
  <c r="CQJ30" i="6"/>
  <c r="CQI30" i="6"/>
  <c r="CQH30" i="6"/>
  <c r="CQG30" i="6"/>
  <c r="CQF30" i="6"/>
  <c r="CQE30" i="6"/>
  <c r="CQD30" i="6"/>
  <c r="CQC30" i="6"/>
  <c r="CQB30" i="6"/>
  <c r="CQA30" i="6"/>
  <c r="CPZ30" i="6"/>
  <c r="CPY30" i="6"/>
  <c r="CPX30" i="6"/>
  <c r="CPW30" i="6"/>
  <c r="CPV30" i="6"/>
  <c r="CPU30" i="6"/>
  <c r="CPT30" i="6"/>
  <c r="CPS30" i="6"/>
  <c r="CPR30" i="6"/>
  <c r="CPQ30" i="6"/>
  <c r="CPP30" i="6"/>
  <c r="CPO30" i="6"/>
  <c r="CPN30" i="6"/>
  <c r="CPM30" i="6"/>
  <c r="CPL30" i="6"/>
  <c r="CPK30" i="6"/>
  <c r="CPJ30" i="6"/>
  <c r="CPI30" i="6"/>
  <c r="CPH30" i="6"/>
  <c r="CPG30" i="6"/>
  <c r="CPF30" i="6"/>
  <c r="CPE30" i="6"/>
  <c r="CPD30" i="6"/>
  <c r="CPC30" i="6"/>
  <c r="CPB30" i="6"/>
  <c r="CPA30" i="6"/>
  <c r="COZ30" i="6"/>
  <c r="COY30" i="6"/>
  <c r="COX30" i="6"/>
  <c r="COW30" i="6"/>
  <c r="COV30" i="6"/>
  <c r="COU30" i="6"/>
  <c r="COT30" i="6"/>
  <c r="COS30" i="6"/>
  <c r="COR30" i="6"/>
  <c r="COQ30" i="6"/>
  <c r="COP30" i="6"/>
  <c r="COO30" i="6"/>
  <c r="CON30" i="6"/>
  <c r="COM30" i="6"/>
  <c r="COL30" i="6"/>
  <c r="COK30" i="6"/>
  <c r="COJ30" i="6"/>
  <c r="COI30" i="6"/>
  <c r="COH30" i="6"/>
  <c r="COG30" i="6"/>
  <c r="COF30" i="6"/>
  <c r="COE30" i="6"/>
  <c r="COD30" i="6"/>
  <c r="COC30" i="6"/>
  <c r="COB30" i="6"/>
  <c r="COA30" i="6"/>
  <c r="CNZ30" i="6"/>
  <c r="CNY30" i="6"/>
  <c r="CNX30" i="6"/>
  <c r="CNW30" i="6"/>
  <c r="CNV30" i="6"/>
  <c r="CNU30" i="6"/>
  <c r="CNT30" i="6"/>
  <c r="CNS30" i="6"/>
  <c r="CNR30" i="6"/>
  <c r="CNQ30" i="6"/>
  <c r="CNP30" i="6"/>
  <c r="CNO30" i="6"/>
  <c r="CNN30" i="6"/>
  <c r="CNM30" i="6"/>
  <c r="CNL30" i="6"/>
  <c r="CNK30" i="6"/>
  <c r="CNJ30" i="6"/>
  <c r="CNI30" i="6"/>
  <c r="CNH30" i="6"/>
  <c r="CNG30" i="6"/>
  <c r="CNF30" i="6"/>
  <c r="CNE30" i="6"/>
  <c r="CND30" i="6"/>
  <c r="CNC30" i="6"/>
  <c r="CNB30" i="6"/>
  <c r="CNA30" i="6"/>
  <c r="CMZ30" i="6"/>
  <c r="CMY30" i="6"/>
  <c r="CMX30" i="6"/>
  <c r="CMW30" i="6"/>
  <c r="CMV30" i="6"/>
  <c r="CMU30" i="6"/>
  <c r="CMT30" i="6"/>
  <c r="CMS30" i="6"/>
  <c r="CMR30" i="6"/>
  <c r="CMQ30" i="6"/>
  <c r="CMP30" i="6"/>
  <c r="CMO30" i="6"/>
  <c r="CMN30" i="6"/>
  <c r="CMM30" i="6"/>
  <c r="CML30" i="6"/>
  <c r="CMK30" i="6"/>
  <c r="CMJ30" i="6"/>
  <c r="CMI30" i="6"/>
  <c r="CMH30" i="6"/>
  <c r="CMG30" i="6"/>
  <c r="CMF30" i="6"/>
  <c r="CME30" i="6"/>
  <c r="CMD30" i="6"/>
  <c r="CMC30" i="6"/>
  <c r="CMB30" i="6"/>
  <c r="CMA30" i="6"/>
  <c r="CLZ30" i="6"/>
  <c r="CLY30" i="6"/>
  <c r="CLX30" i="6"/>
  <c r="CLW30" i="6"/>
  <c r="CLV30" i="6"/>
  <c r="CLU30" i="6"/>
  <c r="CLT30" i="6"/>
  <c r="CLS30" i="6"/>
  <c r="CLR30" i="6"/>
  <c r="CLQ30" i="6"/>
  <c r="CLP30" i="6"/>
  <c r="CLO30" i="6"/>
  <c r="CLN30" i="6"/>
  <c r="CLM30" i="6"/>
  <c r="CLL30" i="6"/>
  <c r="CLK30" i="6"/>
  <c r="CLJ30" i="6"/>
  <c r="CLI30" i="6"/>
  <c r="CLH30" i="6"/>
  <c r="CLG30" i="6"/>
  <c r="CLF30" i="6"/>
  <c r="CLE30" i="6"/>
  <c r="CLD30" i="6"/>
  <c r="CLC30" i="6"/>
  <c r="CLB30" i="6"/>
  <c r="CLA30" i="6"/>
  <c r="CKZ30" i="6"/>
  <c r="CKY30" i="6"/>
  <c r="CKX30" i="6"/>
  <c r="CKW30" i="6"/>
  <c r="CKV30" i="6"/>
  <c r="CKU30" i="6"/>
  <c r="CKT30" i="6"/>
  <c r="CKS30" i="6"/>
  <c r="CKR30" i="6"/>
  <c r="CKQ30" i="6"/>
  <c r="CKP30" i="6"/>
  <c r="CKO30" i="6"/>
  <c r="CKN30" i="6"/>
  <c r="CKM30" i="6"/>
  <c r="CKL30" i="6"/>
  <c r="CKK30" i="6"/>
  <c r="CKJ30" i="6"/>
  <c r="CKI30" i="6"/>
  <c r="CKH30" i="6"/>
  <c r="CKG30" i="6"/>
  <c r="CKF30" i="6"/>
  <c r="CKE30" i="6"/>
  <c r="CKD30" i="6"/>
  <c r="CKC30" i="6"/>
  <c r="CKB30" i="6"/>
  <c r="CKA30" i="6"/>
  <c r="CJZ30" i="6"/>
  <c r="CJY30" i="6"/>
  <c r="CJX30" i="6"/>
  <c r="CJW30" i="6"/>
  <c r="CJV30" i="6"/>
  <c r="CJU30" i="6"/>
  <c r="CJT30" i="6"/>
  <c r="CJS30" i="6"/>
  <c r="CJR30" i="6"/>
  <c r="CJQ30" i="6"/>
  <c r="CJP30" i="6"/>
  <c r="CJO30" i="6"/>
  <c r="CJN30" i="6"/>
  <c r="CJM30" i="6"/>
  <c r="CJL30" i="6"/>
  <c r="CJK30" i="6"/>
  <c r="CJJ30" i="6"/>
  <c r="CJI30" i="6"/>
  <c r="CJH30" i="6"/>
  <c r="CJG30" i="6"/>
  <c r="CJF30" i="6"/>
  <c r="CJE30" i="6"/>
  <c r="CJD30" i="6"/>
  <c r="CJC30" i="6"/>
  <c r="CJB30" i="6"/>
  <c r="CJA30" i="6"/>
  <c r="CIZ30" i="6"/>
  <c r="CIY30" i="6"/>
  <c r="CIX30" i="6"/>
  <c r="CIW30" i="6"/>
  <c r="CIV30" i="6"/>
  <c r="CIU30" i="6"/>
  <c r="CIT30" i="6"/>
  <c r="CIS30" i="6"/>
  <c r="CIR30" i="6"/>
  <c r="CIQ30" i="6"/>
  <c r="CIP30" i="6"/>
  <c r="CIO30" i="6"/>
  <c r="CIN30" i="6"/>
  <c r="CIM30" i="6"/>
  <c r="CIL30" i="6"/>
  <c r="CIK30" i="6"/>
  <c r="CIJ30" i="6"/>
  <c r="CII30" i="6"/>
  <c r="CIH30" i="6"/>
  <c r="CIG30" i="6"/>
  <c r="CIF30" i="6"/>
  <c r="CIE30" i="6"/>
  <c r="CID30" i="6"/>
  <c r="CIC30" i="6"/>
  <c r="CIB30" i="6"/>
  <c r="CIA30" i="6"/>
  <c r="CHZ30" i="6"/>
  <c r="CHY30" i="6"/>
  <c r="CHX30" i="6"/>
  <c r="CHW30" i="6"/>
  <c r="CHV30" i="6"/>
  <c r="CHU30" i="6"/>
  <c r="CHT30" i="6"/>
  <c r="CHS30" i="6"/>
  <c r="CHR30" i="6"/>
  <c r="CHQ30" i="6"/>
  <c r="CHP30" i="6"/>
  <c r="CHO30" i="6"/>
  <c r="CHN30" i="6"/>
  <c r="CHM30" i="6"/>
  <c r="CHL30" i="6"/>
  <c r="CHK30" i="6"/>
  <c r="CHJ30" i="6"/>
  <c r="CHI30" i="6"/>
  <c r="CHH30" i="6"/>
  <c r="CHG30" i="6"/>
  <c r="CHF30" i="6"/>
  <c r="CHE30" i="6"/>
  <c r="CHD30" i="6"/>
  <c r="CHC30" i="6"/>
  <c r="CHB30" i="6"/>
  <c r="CHA30" i="6"/>
  <c r="CGZ30" i="6"/>
  <c r="CGY30" i="6"/>
  <c r="CGX30" i="6"/>
  <c r="CGW30" i="6"/>
  <c r="CGV30" i="6"/>
  <c r="CGU30" i="6"/>
  <c r="CGT30" i="6"/>
  <c r="CGS30" i="6"/>
  <c r="CGR30" i="6"/>
  <c r="CGQ30" i="6"/>
  <c r="CGP30" i="6"/>
  <c r="CGO30" i="6"/>
  <c r="CGN30" i="6"/>
  <c r="CGM30" i="6"/>
  <c r="CGL30" i="6"/>
  <c r="CGK30" i="6"/>
  <c r="CGJ30" i="6"/>
  <c r="CGI30" i="6"/>
  <c r="CGH30" i="6"/>
  <c r="CGG30" i="6"/>
  <c r="CGF30" i="6"/>
  <c r="CGE30" i="6"/>
  <c r="CGD30" i="6"/>
  <c r="CGC30" i="6"/>
  <c r="CGB30" i="6"/>
  <c r="CGA30" i="6"/>
  <c r="CFZ30" i="6"/>
  <c r="CFY30" i="6"/>
  <c r="CFX30" i="6"/>
  <c r="CFW30" i="6"/>
  <c r="CFV30" i="6"/>
  <c r="CFU30" i="6"/>
  <c r="CFT30" i="6"/>
  <c r="CFS30" i="6"/>
  <c r="CFR30" i="6"/>
  <c r="CFQ30" i="6"/>
  <c r="CFP30" i="6"/>
  <c r="CFO30" i="6"/>
  <c r="CFN30" i="6"/>
  <c r="CFM30" i="6"/>
  <c r="CFL30" i="6"/>
  <c r="CFK30" i="6"/>
  <c r="CFJ30" i="6"/>
  <c r="CFI30" i="6"/>
  <c r="CFH30" i="6"/>
  <c r="CFG30" i="6"/>
  <c r="CFF30" i="6"/>
  <c r="CFE30" i="6"/>
  <c r="CFD30" i="6"/>
  <c r="CFC30" i="6"/>
  <c r="CFB30" i="6"/>
  <c r="CFA30" i="6"/>
  <c r="CEZ30" i="6"/>
  <c r="CEY30" i="6"/>
  <c r="CEX30" i="6"/>
  <c r="CEW30" i="6"/>
  <c r="CEV30" i="6"/>
  <c r="CEU30" i="6"/>
  <c r="CET30" i="6"/>
  <c r="CES30" i="6"/>
  <c r="CER30" i="6"/>
  <c r="CEQ30" i="6"/>
  <c r="CEP30" i="6"/>
  <c r="CEO30" i="6"/>
  <c r="CEN30" i="6"/>
  <c r="CEM30" i="6"/>
  <c r="CEL30" i="6"/>
  <c r="CEK30" i="6"/>
  <c r="CEJ30" i="6"/>
  <c r="CEI30" i="6"/>
  <c r="CEH30" i="6"/>
  <c r="CEG30" i="6"/>
  <c r="CEF30" i="6"/>
  <c r="CEE30" i="6"/>
  <c r="CED30" i="6"/>
  <c r="CEC30" i="6"/>
  <c r="CEB30" i="6"/>
  <c r="CEA30" i="6"/>
  <c r="CDZ30" i="6"/>
  <c r="CDY30" i="6"/>
  <c r="CDX30" i="6"/>
  <c r="CDW30" i="6"/>
  <c r="CDV30" i="6"/>
  <c r="CDU30" i="6"/>
  <c r="CDT30" i="6"/>
  <c r="CDS30" i="6"/>
  <c r="CDR30" i="6"/>
  <c r="CDQ30" i="6"/>
  <c r="CDP30" i="6"/>
  <c r="CDO30" i="6"/>
  <c r="CDN30" i="6"/>
  <c r="CDM30" i="6"/>
  <c r="CDL30" i="6"/>
  <c r="CDK30" i="6"/>
  <c r="CDJ30" i="6"/>
  <c r="CDI30" i="6"/>
  <c r="CDH30" i="6"/>
  <c r="CDG30" i="6"/>
  <c r="CDF30" i="6"/>
  <c r="CDE30" i="6"/>
  <c r="CDD30" i="6"/>
  <c r="CDC30" i="6"/>
  <c r="CDB30" i="6"/>
  <c r="CDA30" i="6"/>
  <c r="CCZ30" i="6"/>
  <c r="CCY30" i="6"/>
  <c r="CCX30" i="6"/>
  <c r="CCW30" i="6"/>
  <c r="CCV30" i="6"/>
  <c r="CCU30" i="6"/>
  <c r="CCT30" i="6"/>
  <c r="CCS30" i="6"/>
  <c r="CCR30" i="6"/>
  <c r="CCQ30" i="6"/>
  <c r="CCP30" i="6"/>
  <c r="CCO30" i="6"/>
  <c r="CCN30" i="6"/>
  <c r="CCM30" i="6"/>
  <c r="CCL30" i="6"/>
  <c r="CCK30" i="6"/>
  <c r="CCJ30" i="6"/>
  <c r="CCI30" i="6"/>
  <c r="CCH30" i="6"/>
  <c r="CCG30" i="6"/>
  <c r="CCF30" i="6"/>
  <c r="CCE30" i="6"/>
  <c r="CCD30" i="6"/>
  <c r="CCC30" i="6"/>
  <c r="CCB30" i="6"/>
  <c r="CCA30" i="6"/>
  <c r="CBZ30" i="6"/>
  <c r="CBY30" i="6"/>
  <c r="CBX30" i="6"/>
  <c r="CBW30" i="6"/>
  <c r="CBV30" i="6"/>
  <c r="CBU30" i="6"/>
  <c r="CBT30" i="6"/>
  <c r="CBS30" i="6"/>
  <c r="CBR30" i="6"/>
  <c r="CBQ30" i="6"/>
  <c r="CBP30" i="6"/>
  <c r="CBO30" i="6"/>
  <c r="CBN30" i="6"/>
  <c r="CBM30" i="6"/>
  <c r="CBL30" i="6"/>
  <c r="CBK30" i="6"/>
  <c r="CBJ30" i="6"/>
  <c r="CBI30" i="6"/>
  <c r="CBH30" i="6"/>
  <c r="CBG30" i="6"/>
  <c r="CBF30" i="6"/>
  <c r="CBE30" i="6"/>
  <c r="CBD30" i="6"/>
  <c r="CBC30" i="6"/>
  <c r="CBB30" i="6"/>
  <c r="CBA30" i="6"/>
  <c r="CAZ30" i="6"/>
  <c r="CAY30" i="6"/>
  <c r="CAX30" i="6"/>
  <c r="CAW30" i="6"/>
  <c r="CAV30" i="6"/>
  <c r="CAU30" i="6"/>
  <c r="CAT30" i="6"/>
  <c r="CAS30" i="6"/>
  <c r="CAR30" i="6"/>
  <c r="CAQ30" i="6"/>
  <c r="CAP30" i="6"/>
  <c r="CAO30" i="6"/>
  <c r="CAN30" i="6"/>
  <c r="CAM30" i="6"/>
  <c r="CAL30" i="6"/>
  <c r="CAK30" i="6"/>
  <c r="CAJ30" i="6"/>
  <c r="CAI30" i="6"/>
  <c r="CAH30" i="6"/>
  <c r="CAG30" i="6"/>
  <c r="CAF30" i="6"/>
  <c r="CAE30" i="6"/>
  <c r="CAD30" i="6"/>
  <c r="CAC30" i="6"/>
  <c r="CAB30" i="6"/>
  <c r="CAA30" i="6"/>
  <c r="BZZ30" i="6"/>
  <c r="BZY30" i="6"/>
  <c r="BZX30" i="6"/>
  <c r="BZW30" i="6"/>
  <c r="BZV30" i="6"/>
  <c r="BZU30" i="6"/>
  <c r="BZT30" i="6"/>
  <c r="BZS30" i="6"/>
  <c r="BZR30" i="6"/>
  <c r="BZQ30" i="6"/>
  <c r="BZP30" i="6"/>
  <c r="BZO30" i="6"/>
  <c r="BZN30" i="6"/>
  <c r="BZM30" i="6"/>
  <c r="BZL30" i="6"/>
  <c r="BZK30" i="6"/>
  <c r="BZJ30" i="6"/>
  <c r="BZI30" i="6"/>
  <c r="BZH30" i="6"/>
  <c r="BZG30" i="6"/>
  <c r="BZF30" i="6"/>
  <c r="BZE30" i="6"/>
  <c r="BZD30" i="6"/>
  <c r="BZC30" i="6"/>
  <c r="BZB30" i="6"/>
  <c r="BZA30" i="6"/>
  <c r="BYZ30" i="6"/>
  <c r="BYY30" i="6"/>
  <c r="BYX30" i="6"/>
  <c r="BYW30" i="6"/>
  <c r="BYV30" i="6"/>
  <c r="BYU30" i="6"/>
  <c r="BYT30" i="6"/>
  <c r="BYS30" i="6"/>
  <c r="BYR30" i="6"/>
  <c r="BYQ30" i="6"/>
  <c r="BYP30" i="6"/>
  <c r="BYO30" i="6"/>
  <c r="BYN30" i="6"/>
  <c r="BYM30" i="6"/>
  <c r="BYL30" i="6"/>
  <c r="BYK30" i="6"/>
  <c r="BYJ30" i="6"/>
  <c r="BYI30" i="6"/>
  <c r="BYH30" i="6"/>
  <c r="BYG30" i="6"/>
  <c r="BYF30" i="6"/>
  <c r="BYE30" i="6"/>
  <c r="BYD30" i="6"/>
  <c r="BYC30" i="6"/>
  <c r="BYB30" i="6"/>
  <c r="BYA30" i="6"/>
  <c r="BXZ30" i="6"/>
  <c r="BXY30" i="6"/>
  <c r="BXX30" i="6"/>
  <c r="BXW30" i="6"/>
  <c r="BXV30" i="6"/>
  <c r="BXU30" i="6"/>
  <c r="BXT30" i="6"/>
  <c r="BXS30" i="6"/>
  <c r="BXR30" i="6"/>
  <c r="BXQ30" i="6"/>
  <c r="BXP30" i="6"/>
  <c r="BXO30" i="6"/>
  <c r="BXN30" i="6"/>
  <c r="BXM30" i="6"/>
  <c r="BXL30" i="6"/>
  <c r="BXK30" i="6"/>
  <c r="BXJ30" i="6"/>
  <c r="BXI30" i="6"/>
  <c r="BXH30" i="6"/>
  <c r="BXG30" i="6"/>
  <c r="BXF30" i="6"/>
  <c r="BXE30" i="6"/>
  <c r="BXD30" i="6"/>
  <c r="BXC30" i="6"/>
  <c r="BXB30" i="6"/>
  <c r="BXA30" i="6"/>
  <c r="BWZ30" i="6"/>
  <c r="BWY30" i="6"/>
  <c r="BWX30" i="6"/>
  <c r="BWW30" i="6"/>
  <c r="BWV30" i="6"/>
  <c r="BWU30" i="6"/>
  <c r="BWT30" i="6"/>
  <c r="BWS30" i="6"/>
  <c r="BWR30" i="6"/>
  <c r="BWQ30" i="6"/>
  <c r="BWP30" i="6"/>
  <c r="BWO30" i="6"/>
  <c r="BWN30" i="6"/>
  <c r="BWM30" i="6"/>
  <c r="BWL30" i="6"/>
  <c r="BWK30" i="6"/>
  <c r="BWJ30" i="6"/>
  <c r="BWI30" i="6"/>
  <c r="BWH30" i="6"/>
  <c r="BWG30" i="6"/>
  <c r="BWF30" i="6"/>
  <c r="BWE30" i="6"/>
  <c r="BWD30" i="6"/>
  <c r="BWC30" i="6"/>
  <c r="BWB30" i="6"/>
  <c r="BWA30" i="6"/>
  <c r="BVZ30" i="6"/>
  <c r="BVY30" i="6"/>
  <c r="BVX30" i="6"/>
  <c r="BVW30" i="6"/>
  <c r="BVV30" i="6"/>
  <c r="BVU30" i="6"/>
  <c r="BVT30" i="6"/>
  <c r="BVS30" i="6"/>
  <c r="BVR30" i="6"/>
  <c r="BVQ30" i="6"/>
  <c r="BVP30" i="6"/>
  <c r="BVO30" i="6"/>
  <c r="BVN30" i="6"/>
  <c r="BVM30" i="6"/>
  <c r="BVL30" i="6"/>
  <c r="BVK30" i="6"/>
  <c r="BVJ30" i="6"/>
  <c r="BVI30" i="6"/>
  <c r="BVH30" i="6"/>
  <c r="BVG30" i="6"/>
  <c r="BVF30" i="6"/>
  <c r="BVE30" i="6"/>
  <c r="BVD30" i="6"/>
  <c r="BVC30" i="6"/>
  <c r="BVB30" i="6"/>
  <c r="BVA30" i="6"/>
  <c r="BUZ30" i="6"/>
  <c r="BUY30" i="6"/>
  <c r="BUX30" i="6"/>
  <c r="BUW30" i="6"/>
  <c r="BUV30" i="6"/>
  <c r="BUU30" i="6"/>
  <c r="BUT30" i="6"/>
  <c r="BUS30" i="6"/>
  <c r="BUR30" i="6"/>
  <c r="BUQ30" i="6"/>
  <c r="BUP30" i="6"/>
  <c r="BUO30" i="6"/>
  <c r="BUN30" i="6"/>
  <c r="BUM30" i="6"/>
  <c r="BUL30" i="6"/>
  <c r="BUK30" i="6"/>
  <c r="BUJ30" i="6"/>
  <c r="BUI30" i="6"/>
  <c r="BUH30" i="6"/>
  <c r="BUG30" i="6"/>
  <c r="BUF30" i="6"/>
  <c r="BUE30" i="6"/>
  <c r="BUD30" i="6"/>
  <c r="BUC30" i="6"/>
  <c r="BUB30" i="6"/>
  <c r="BUA30" i="6"/>
  <c r="BTZ30" i="6"/>
  <c r="BTY30" i="6"/>
  <c r="BTX30" i="6"/>
  <c r="BTW30" i="6"/>
  <c r="BTV30" i="6"/>
  <c r="BTU30" i="6"/>
  <c r="BTT30" i="6"/>
  <c r="BTS30" i="6"/>
  <c r="BTR30" i="6"/>
  <c r="BTQ30" i="6"/>
  <c r="BTP30" i="6"/>
  <c r="BTO30" i="6"/>
  <c r="BTN30" i="6"/>
  <c r="BTM30" i="6"/>
  <c r="BTL30" i="6"/>
  <c r="BTK30" i="6"/>
  <c r="BTJ30" i="6"/>
  <c r="BTI30" i="6"/>
  <c r="BTH30" i="6"/>
  <c r="BTG30" i="6"/>
  <c r="BTF30" i="6"/>
  <c r="BTE30" i="6"/>
  <c r="BTD30" i="6"/>
  <c r="BTC30" i="6"/>
  <c r="BTB30" i="6"/>
  <c r="BTA30" i="6"/>
  <c r="BSZ30" i="6"/>
  <c r="BSY30" i="6"/>
  <c r="BSX30" i="6"/>
  <c r="BSW30" i="6"/>
  <c r="BSV30" i="6"/>
  <c r="BSU30" i="6"/>
  <c r="BST30" i="6"/>
  <c r="BSS30" i="6"/>
  <c r="BSR30" i="6"/>
  <c r="BSQ30" i="6"/>
  <c r="BSP30" i="6"/>
  <c r="BSO30" i="6"/>
  <c r="BSN30" i="6"/>
  <c r="BSM30" i="6"/>
  <c r="BSL30" i="6"/>
  <c r="BSK30" i="6"/>
  <c r="BSJ30" i="6"/>
  <c r="BSI30" i="6"/>
  <c r="BSH30" i="6"/>
  <c r="BSG30" i="6"/>
  <c r="BSF30" i="6"/>
  <c r="BSE30" i="6"/>
  <c r="BSD30" i="6"/>
  <c r="BSC30" i="6"/>
  <c r="BSB30" i="6"/>
  <c r="BSA30" i="6"/>
  <c r="BRZ30" i="6"/>
  <c r="BRY30" i="6"/>
  <c r="BRX30" i="6"/>
  <c r="BRW30" i="6"/>
  <c r="BRV30" i="6"/>
  <c r="BRU30" i="6"/>
  <c r="BRT30" i="6"/>
  <c r="BRS30" i="6"/>
  <c r="BRR30" i="6"/>
  <c r="BRQ30" i="6"/>
  <c r="BRP30" i="6"/>
  <c r="BRO30" i="6"/>
  <c r="BRN30" i="6"/>
  <c r="BRM30" i="6"/>
  <c r="BRL30" i="6"/>
  <c r="BRK30" i="6"/>
  <c r="BRJ30" i="6"/>
  <c r="BRI30" i="6"/>
  <c r="BRH30" i="6"/>
  <c r="BRG30" i="6"/>
  <c r="BRF30" i="6"/>
  <c r="BRE30" i="6"/>
  <c r="BRD30" i="6"/>
  <c r="BRC30" i="6"/>
  <c r="BRB30" i="6"/>
  <c r="BRA30" i="6"/>
  <c r="BQZ30" i="6"/>
  <c r="BQY30" i="6"/>
  <c r="BQX30" i="6"/>
  <c r="BQW30" i="6"/>
  <c r="BQV30" i="6"/>
  <c r="BQU30" i="6"/>
  <c r="BQT30" i="6"/>
  <c r="BQS30" i="6"/>
  <c r="BQR30" i="6"/>
  <c r="BQQ30" i="6"/>
  <c r="BQP30" i="6"/>
  <c r="BQO30" i="6"/>
  <c r="BQN30" i="6"/>
  <c r="BQM30" i="6"/>
  <c r="BQL30" i="6"/>
  <c r="BQK30" i="6"/>
  <c r="BQJ30" i="6"/>
  <c r="BQI30" i="6"/>
  <c r="BQH30" i="6"/>
  <c r="BQG30" i="6"/>
  <c r="BQF30" i="6"/>
  <c r="BQE30" i="6"/>
  <c r="BQD30" i="6"/>
  <c r="BQC30" i="6"/>
  <c r="BQB30" i="6"/>
  <c r="BQA30" i="6"/>
  <c r="BPZ30" i="6"/>
  <c r="BPY30" i="6"/>
  <c r="BPX30" i="6"/>
  <c r="BPW30" i="6"/>
  <c r="BPV30" i="6"/>
  <c r="BPU30" i="6"/>
  <c r="BPT30" i="6"/>
  <c r="BPS30" i="6"/>
  <c r="BPR30" i="6"/>
  <c r="BPQ30" i="6"/>
  <c r="BPP30" i="6"/>
  <c r="BPO30" i="6"/>
  <c r="BPN30" i="6"/>
  <c r="BPM30" i="6"/>
  <c r="BPL30" i="6"/>
  <c r="BPK30" i="6"/>
  <c r="BPJ30" i="6"/>
  <c r="BPI30" i="6"/>
  <c r="BPH30" i="6"/>
  <c r="BPG30" i="6"/>
  <c r="BPF30" i="6"/>
  <c r="BPE30" i="6"/>
  <c r="BPD30" i="6"/>
  <c r="BPC30" i="6"/>
  <c r="BPB30" i="6"/>
  <c r="BPA30" i="6"/>
  <c r="BOZ30" i="6"/>
  <c r="BOY30" i="6"/>
  <c r="BOX30" i="6"/>
  <c r="BOW30" i="6"/>
  <c r="BOV30" i="6"/>
  <c r="BOU30" i="6"/>
  <c r="BOT30" i="6"/>
  <c r="BOS30" i="6"/>
  <c r="BOR30" i="6"/>
  <c r="BOQ30" i="6"/>
  <c r="BOP30" i="6"/>
  <c r="BOO30" i="6"/>
  <c r="BON30" i="6"/>
  <c r="BOM30" i="6"/>
  <c r="BOL30" i="6"/>
  <c r="BOK30" i="6"/>
  <c r="BOJ30" i="6"/>
  <c r="BOI30" i="6"/>
  <c r="BOH30" i="6"/>
  <c r="BOG30" i="6"/>
  <c r="BOF30" i="6"/>
  <c r="BOE30" i="6"/>
  <c r="BOD30" i="6"/>
  <c r="BOC30" i="6"/>
  <c r="BOB30" i="6"/>
  <c r="BOA30" i="6"/>
  <c r="BNZ30" i="6"/>
  <c r="BNY30" i="6"/>
  <c r="BNX30" i="6"/>
  <c r="BNW30" i="6"/>
  <c r="BNV30" i="6"/>
  <c r="BNU30" i="6"/>
  <c r="BNT30" i="6"/>
  <c r="BNS30" i="6"/>
  <c r="BNR30" i="6"/>
  <c r="BNQ30" i="6"/>
  <c r="BNP30" i="6"/>
  <c r="BNO30" i="6"/>
  <c r="BNN30" i="6"/>
  <c r="BNM30" i="6"/>
  <c r="BNL30" i="6"/>
  <c r="BNK30" i="6"/>
  <c r="BNJ30" i="6"/>
  <c r="BNI30" i="6"/>
  <c r="BNH30" i="6"/>
  <c r="BNG30" i="6"/>
  <c r="BNF30" i="6"/>
  <c r="BNE30" i="6"/>
  <c r="BND30" i="6"/>
  <c r="BNC30" i="6"/>
  <c r="BNB30" i="6"/>
  <c r="BNA30" i="6"/>
  <c r="BMZ30" i="6"/>
  <c r="BMY30" i="6"/>
  <c r="BMX30" i="6"/>
  <c r="BMW30" i="6"/>
  <c r="BMV30" i="6"/>
  <c r="BMU30" i="6"/>
  <c r="BMT30" i="6"/>
  <c r="BMS30" i="6"/>
  <c r="BMR30" i="6"/>
  <c r="BMQ30" i="6"/>
  <c r="BMP30" i="6"/>
  <c r="BMO30" i="6"/>
  <c r="BMN30" i="6"/>
  <c r="BMM30" i="6"/>
  <c r="BML30" i="6"/>
  <c r="BMK30" i="6"/>
  <c r="BMJ30" i="6"/>
  <c r="BMI30" i="6"/>
  <c r="BMH30" i="6"/>
  <c r="BMG30" i="6"/>
  <c r="BMF30" i="6"/>
  <c r="BME30" i="6"/>
  <c r="BMD30" i="6"/>
  <c r="BMC30" i="6"/>
  <c r="BMB30" i="6"/>
  <c r="BMA30" i="6"/>
  <c r="BLZ30" i="6"/>
  <c r="BLY30" i="6"/>
  <c r="BLX30" i="6"/>
  <c r="BLW30" i="6"/>
  <c r="BLV30" i="6"/>
  <c r="BLU30" i="6"/>
  <c r="BLT30" i="6"/>
  <c r="BLS30" i="6"/>
  <c r="BLR30" i="6"/>
  <c r="BLQ30" i="6"/>
  <c r="BLP30" i="6"/>
  <c r="BLO30" i="6"/>
  <c r="BLN30" i="6"/>
  <c r="BLM30" i="6"/>
  <c r="BLL30" i="6"/>
  <c r="BLK30" i="6"/>
  <c r="BLJ30" i="6"/>
  <c r="BLI30" i="6"/>
  <c r="BLH30" i="6"/>
  <c r="BLG30" i="6"/>
  <c r="BLF30" i="6"/>
  <c r="BLE30" i="6"/>
  <c r="BLD30" i="6"/>
  <c r="BLC30" i="6"/>
  <c r="BLB30" i="6"/>
  <c r="BLA30" i="6"/>
  <c r="BKZ30" i="6"/>
  <c r="BKY30" i="6"/>
  <c r="BKX30" i="6"/>
  <c r="BKW30" i="6"/>
  <c r="BKV30" i="6"/>
  <c r="BKU30" i="6"/>
  <c r="BKT30" i="6"/>
  <c r="BKS30" i="6"/>
  <c r="BKR30" i="6"/>
  <c r="BKQ30" i="6"/>
  <c r="BKP30" i="6"/>
  <c r="BKO30" i="6"/>
  <c r="BKN30" i="6"/>
  <c r="BKM30" i="6"/>
  <c r="BKL30" i="6"/>
  <c r="BKK30" i="6"/>
  <c r="BKJ30" i="6"/>
  <c r="BKI30" i="6"/>
  <c r="BKH30" i="6"/>
  <c r="BKG30" i="6"/>
  <c r="BKF30" i="6"/>
  <c r="BKE30" i="6"/>
  <c r="BKD30" i="6"/>
  <c r="BKC30" i="6"/>
  <c r="BKB30" i="6"/>
  <c r="BKA30" i="6"/>
  <c r="BJZ30" i="6"/>
  <c r="BJY30" i="6"/>
  <c r="BJX30" i="6"/>
  <c r="BJW30" i="6"/>
  <c r="BJV30" i="6"/>
  <c r="BJU30" i="6"/>
  <c r="BJT30" i="6"/>
  <c r="BJS30" i="6"/>
  <c r="BJR30" i="6"/>
  <c r="BJQ30" i="6"/>
  <c r="BJP30" i="6"/>
  <c r="BJO30" i="6"/>
  <c r="BJN30" i="6"/>
  <c r="BJM30" i="6"/>
  <c r="BJL30" i="6"/>
  <c r="BJK30" i="6"/>
  <c r="BJJ30" i="6"/>
  <c r="BJI30" i="6"/>
  <c r="BJH30" i="6"/>
  <c r="BJG30" i="6"/>
  <c r="BJF30" i="6"/>
  <c r="BJE30" i="6"/>
  <c r="BJD30" i="6"/>
  <c r="BJC30" i="6"/>
  <c r="BJB30" i="6"/>
  <c r="BJA30" i="6"/>
  <c r="BIZ30" i="6"/>
  <c r="BIY30" i="6"/>
  <c r="BIX30" i="6"/>
  <c r="BIW30" i="6"/>
  <c r="BIV30" i="6"/>
  <c r="BIU30" i="6"/>
  <c r="BIT30" i="6"/>
  <c r="BIS30" i="6"/>
  <c r="BIR30" i="6"/>
  <c r="BIQ30" i="6"/>
  <c r="BIP30" i="6"/>
  <c r="BIO30" i="6"/>
  <c r="BIN30" i="6"/>
  <c r="BIM30" i="6"/>
  <c r="BIL30" i="6"/>
  <c r="BIK30" i="6"/>
  <c r="BIJ30" i="6"/>
  <c r="BII30" i="6"/>
  <c r="BIH30" i="6"/>
  <c r="BIG30" i="6"/>
  <c r="BIF30" i="6"/>
  <c r="BIE30" i="6"/>
  <c r="BID30" i="6"/>
  <c r="BIC30" i="6"/>
  <c r="BIB30" i="6"/>
  <c r="BIA30" i="6"/>
  <c r="BHZ30" i="6"/>
  <c r="BHY30" i="6"/>
  <c r="BHX30" i="6"/>
  <c r="BHW30" i="6"/>
  <c r="BHV30" i="6"/>
  <c r="BHU30" i="6"/>
  <c r="BHT30" i="6"/>
  <c r="BHS30" i="6"/>
  <c r="BHR30" i="6"/>
  <c r="BHQ30" i="6"/>
  <c r="BHP30" i="6"/>
  <c r="BHO30" i="6"/>
  <c r="BHN30" i="6"/>
  <c r="BHM30" i="6"/>
  <c r="BHL30" i="6"/>
  <c r="BHK30" i="6"/>
  <c r="BHJ30" i="6"/>
  <c r="BHI30" i="6"/>
  <c r="BHH30" i="6"/>
  <c r="BHG30" i="6"/>
  <c r="BHF30" i="6"/>
  <c r="BHE30" i="6"/>
  <c r="BHD30" i="6"/>
  <c r="BHC30" i="6"/>
  <c r="BHB30" i="6"/>
  <c r="BHA30" i="6"/>
  <c r="BGZ30" i="6"/>
  <c r="BGY30" i="6"/>
  <c r="BGX30" i="6"/>
  <c r="BGW30" i="6"/>
  <c r="BGV30" i="6"/>
  <c r="BGU30" i="6"/>
  <c r="BGT30" i="6"/>
  <c r="BGS30" i="6"/>
  <c r="BGR30" i="6"/>
  <c r="BGQ30" i="6"/>
  <c r="BGP30" i="6"/>
  <c r="BGO30" i="6"/>
  <c r="BGN30" i="6"/>
  <c r="BGM30" i="6"/>
  <c r="BGL30" i="6"/>
  <c r="BGK30" i="6"/>
  <c r="BGJ30" i="6"/>
  <c r="BGI30" i="6"/>
  <c r="BGH30" i="6"/>
  <c r="BGG30" i="6"/>
  <c r="BGF30" i="6"/>
  <c r="BGE30" i="6"/>
  <c r="BGD30" i="6"/>
  <c r="BGC30" i="6"/>
  <c r="BGB30" i="6"/>
  <c r="BGA30" i="6"/>
  <c r="BFZ30" i="6"/>
  <c r="BFY30" i="6"/>
  <c r="BFX30" i="6"/>
  <c r="BFW30" i="6"/>
  <c r="BFV30" i="6"/>
  <c r="BFU30" i="6"/>
  <c r="BFT30" i="6"/>
  <c r="BFS30" i="6"/>
  <c r="BFR30" i="6"/>
  <c r="BFQ30" i="6"/>
  <c r="BFP30" i="6"/>
  <c r="BFO30" i="6"/>
  <c r="BFN30" i="6"/>
  <c r="BFM30" i="6"/>
  <c r="BFL30" i="6"/>
  <c r="BFK30" i="6"/>
  <c r="BFJ30" i="6"/>
  <c r="BFI30" i="6"/>
  <c r="BFH30" i="6"/>
  <c r="BFG30" i="6"/>
  <c r="BFF30" i="6"/>
  <c r="BFE30" i="6"/>
  <c r="BFD30" i="6"/>
  <c r="BFC30" i="6"/>
  <c r="BFB30" i="6"/>
  <c r="BFA30" i="6"/>
  <c r="BEZ30" i="6"/>
  <c r="BEY30" i="6"/>
  <c r="BEX30" i="6"/>
  <c r="BEW30" i="6"/>
  <c r="BEV30" i="6"/>
  <c r="BEU30" i="6"/>
  <c r="BET30" i="6"/>
  <c r="BES30" i="6"/>
  <c r="BER30" i="6"/>
  <c r="BEQ30" i="6"/>
  <c r="BEP30" i="6"/>
  <c r="BEO30" i="6"/>
  <c r="BEN30" i="6"/>
  <c r="BEM30" i="6"/>
  <c r="BEL30" i="6"/>
  <c r="BEK30" i="6"/>
  <c r="BEJ30" i="6"/>
  <c r="BEI30" i="6"/>
  <c r="BEH30" i="6"/>
  <c r="BEG30" i="6"/>
  <c r="BEF30" i="6"/>
  <c r="BEE30" i="6"/>
  <c r="BED30" i="6"/>
  <c r="BEC30" i="6"/>
  <c r="BEB30" i="6"/>
  <c r="BEA30" i="6"/>
  <c r="BDZ30" i="6"/>
  <c r="BDY30" i="6"/>
  <c r="BDX30" i="6"/>
  <c r="BDW30" i="6"/>
  <c r="BDV30" i="6"/>
  <c r="BDU30" i="6"/>
  <c r="BDT30" i="6"/>
  <c r="BDS30" i="6"/>
  <c r="BDR30" i="6"/>
  <c r="BDQ30" i="6"/>
  <c r="BDP30" i="6"/>
  <c r="BDO30" i="6"/>
  <c r="BDN30" i="6"/>
  <c r="BDM30" i="6"/>
  <c r="BDL30" i="6"/>
  <c r="BDK30" i="6"/>
  <c r="BDJ30" i="6"/>
  <c r="BDI30" i="6"/>
  <c r="BDH30" i="6"/>
  <c r="BDG30" i="6"/>
  <c r="BDF30" i="6"/>
  <c r="BDE30" i="6"/>
  <c r="BDD30" i="6"/>
  <c r="BDC30" i="6"/>
  <c r="BDB30" i="6"/>
  <c r="BDA30" i="6"/>
  <c r="BCZ30" i="6"/>
  <c r="BCY30" i="6"/>
  <c r="BCX30" i="6"/>
  <c r="BCW30" i="6"/>
  <c r="BCV30" i="6"/>
  <c r="BCU30" i="6"/>
  <c r="BCT30" i="6"/>
  <c r="BCS30" i="6"/>
  <c r="BCR30" i="6"/>
  <c r="BCQ30" i="6"/>
  <c r="BCP30" i="6"/>
  <c r="BCO30" i="6"/>
  <c r="BCN30" i="6"/>
  <c r="BCM30" i="6"/>
  <c r="BCL30" i="6"/>
  <c r="BCK30" i="6"/>
  <c r="BCJ30" i="6"/>
  <c r="BCI30" i="6"/>
  <c r="BCH30" i="6"/>
  <c r="BCG30" i="6"/>
  <c r="BCF30" i="6"/>
  <c r="BCE30" i="6"/>
  <c r="BCD30" i="6"/>
  <c r="BCC30" i="6"/>
  <c r="BCB30" i="6"/>
  <c r="BCA30" i="6"/>
  <c r="BBZ30" i="6"/>
  <c r="BBY30" i="6"/>
  <c r="BBX30" i="6"/>
  <c r="BBW30" i="6"/>
  <c r="BBV30" i="6"/>
  <c r="BBU30" i="6"/>
  <c r="BBT30" i="6"/>
  <c r="BBS30" i="6"/>
  <c r="BBR30" i="6"/>
  <c r="BBQ30" i="6"/>
  <c r="BBP30" i="6"/>
  <c r="BBO30" i="6"/>
  <c r="BBN30" i="6"/>
  <c r="BBM30" i="6"/>
  <c r="BBL30" i="6"/>
  <c r="BBK30" i="6"/>
  <c r="BBJ30" i="6"/>
  <c r="BBI30" i="6"/>
  <c r="BBH30" i="6"/>
  <c r="BBG30" i="6"/>
  <c r="BBF30" i="6"/>
  <c r="BBE30" i="6"/>
  <c r="BBD30" i="6"/>
  <c r="BBC30" i="6"/>
  <c r="BBB30" i="6"/>
  <c r="BBA30" i="6"/>
  <c r="BAZ30" i="6"/>
  <c r="BAY30" i="6"/>
  <c r="BAX30" i="6"/>
  <c r="BAW30" i="6"/>
  <c r="BAV30" i="6"/>
  <c r="BAU30" i="6"/>
  <c r="BAT30" i="6"/>
  <c r="BAS30" i="6"/>
  <c r="BAR30" i="6"/>
  <c r="BAQ30" i="6"/>
  <c r="BAP30" i="6"/>
  <c r="BAO30" i="6"/>
  <c r="BAN30" i="6"/>
  <c r="BAM30" i="6"/>
  <c r="BAL30" i="6"/>
  <c r="BAK30" i="6"/>
  <c r="BAJ30" i="6"/>
  <c r="BAI30" i="6"/>
  <c r="BAH30" i="6"/>
  <c r="BAG30" i="6"/>
  <c r="BAF30" i="6"/>
  <c r="BAE30" i="6"/>
  <c r="BAD30" i="6"/>
  <c r="BAC30" i="6"/>
  <c r="BAB30" i="6"/>
  <c r="BAA30" i="6"/>
  <c r="AZZ30" i="6"/>
  <c r="AZY30" i="6"/>
  <c r="AZX30" i="6"/>
  <c r="AZW30" i="6"/>
  <c r="AZV30" i="6"/>
  <c r="AZU30" i="6"/>
  <c r="AZT30" i="6"/>
  <c r="AZS30" i="6"/>
  <c r="AZR30" i="6"/>
  <c r="AZQ30" i="6"/>
  <c r="AZP30" i="6"/>
  <c r="AZO30" i="6"/>
  <c r="AZN30" i="6"/>
  <c r="AZM30" i="6"/>
  <c r="AZL30" i="6"/>
  <c r="AZK30" i="6"/>
  <c r="AZJ30" i="6"/>
  <c r="AZI30" i="6"/>
  <c r="AZH30" i="6"/>
  <c r="AZG30" i="6"/>
  <c r="AZF30" i="6"/>
  <c r="AZE30" i="6"/>
  <c r="AZD30" i="6"/>
  <c r="AZC30" i="6"/>
  <c r="AZB30" i="6"/>
  <c r="AZA30" i="6"/>
  <c r="AYZ30" i="6"/>
  <c r="AYY30" i="6"/>
  <c r="AYX30" i="6"/>
  <c r="AYW30" i="6"/>
  <c r="AYV30" i="6"/>
  <c r="AYU30" i="6"/>
  <c r="AYT30" i="6"/>
  <c r="AYS30" i="6"/>
  <c r="AYR30" i="6"/>
  <c r="AYQ30" i="6"/>
  <c r="AYP30" i="6"/>
  <c r="AYO30" i="6"/>
  <c r="AYN30" i="6"/>
  <c r="AYM30" i="6"/>
  <c r="AYL30" i="6"/>
  <c r="AYK30" i="6"/>
  <c r="AYJ30" i="6"/>
  <c r="AYI30" i="6"/>
  <c r="AYH30" i="6"/>
  <c r="AYG30" i="6"/>
  <c r="AYF30" i="6"/>
  <c r="AYE30" i="6"/>
  <c r="AYD30" i="6"/>
  <c r="AYC30" i="6"/>
  <c r="AYB30" i="6"/>
  <c r="AYA30" i="6"/>
  <c r="AXZ30" i="6"/>
  <c r="AXY30" i="6"/>
  <c r="AXX30" i="6"/>
  <c r="AXW30" i="6"/>
  <c r="AXV30" i="6"/>
  <c r="AXU30" i="6"/>
  <c r="AXT30" i="6"/>
  <c r="AXS30" i="6"/>
  <c r="AXR30" i="6"/>
  <c r="AXQ30" i="6"/>
  <c r="AXP30" i="6"/>
  <c r="AXO30" i="6"/>
  <c r="AXN30" i="6"/>
  <c r="AXM30" i="6"/>
  <c r="AXL30" i="6"/>
  <c r="AXK30" i="6"/>
  <c r="AXJ30" i="6"/>
  <c r="AXI30" i="6"/>
  <c r="AXH30" i="6"/>
  <c r="AXG30" i="6"/>
  <c r="AXF30" i="6"/>
  <c r="AXE30" i="6"/>
  <c r="AXD30" i="6"/>
  <c r="AXC30" i="6"/>
  <c r="AXB30" i="6"/>
  <c r="AXA30" i="6"/>
  <c r="AWZ30" i="6"/>
  <c r="AWY30" i="6"/>
  <c r="AWX30" i="6"/>
  <c r="AWW30" i="6"/>
  <c r="AWV30" i="6"/>
  <c r="AWU30" i="6"/>
  <c r="AWT30" i="6"/>
  <c r="AWS30" i="6"/>
  <c r="AWR30" i="6"/>
  <c r="AWQ30" i="6"/>
  <c r="AWP30" i="6"/>
  <c r="AWO30" i="6"/>
  <c r="AWN30" i="6"/>
  <c r="AWM30" i="6"/>
  <c r="AWL30" i="6"/>
  <c r="AWK30" i="6"/>
  <c r="AWJ30" i="6"/>
  <c r="AWI30" i="6"/>
  <c r="AWH30" i="6"/>
  <c r="AWG30" i="6"/>
  <c r="AWF30" i="6"/>
  <c r="AWE30" i="6"/>
  <c r="AWD30" i="6"/>
  <c r="AWC30" i="6"/>
  <c r="AWB30" i="6"/>
  <c r="AWA30" i="6"/>
  <c r="AVZ30" i="6"/>
  <c r="AVY30" i="6"/>
  <c r="AVX30" i="6"/>
  <c r="AVW30" i="6"/>
  <c r="AVV30" i="6"/>
  <c r="AVU30" i="6"/>
  <c r="AVT30" i="6"/>
  <c r="AVS30" i="6"/>
  <c r="AVR30" i="6"/>
  <c r="AVQ30" i="6"/>
  <c r="AVP30" i="6"/>
  <c r="AVO30" i="6"/>
  <c r="AVN30" i="6"/>
  <c r="AVM30" i="6"/>
  <c r="AVL30" i="6"/>
  <c r="AVK30" i="6"/>
  <c r="AVJ30" i="6"/>
  <c r="AVI30" i="6"/>
  <c r="AVH30" i="6"/>
  <c r="AVG30" i="6"/>
  <c r="AVF30" i="6"/>
  <c r="AVE30" i="6"/>
  <c r="AVD30" i="6"/>
  <c r="AVC30" i="6"/>
  <c r="AVB30" i="6"/>
  <c r="AVA30" i="6"/>
  <c r="AUZ30" i="6"/>
  <c r="AUY30" i="6"/>
  <c r="AUX30" i="6"/>
  <c r="AUW30" i="6"/>
  <c r="AUV30" i="6"/>
  <c r="AUU30" i="6"/>
  <c r="AUT30" i="6"/>
  <c r="AUS30" i="6"/>
  <c r="AUR30" i="6"/>
  <c r="AUQ30" i="6"/>
  <c r="AUP30" i="6"/>
  <c r="AUO30" i="6"/>
  <c r="AUN30" i="6"/>
  <c r="AUM30" i="6"/>
  <c r="AUL30" i="6"/>
  <c r="AUK30" i="6"/>
  <c r="AUJ30" i="6"/>
  <c r="AUI30" i="6"/>
  <c r="AUH30" i="6"/>
  <c r="AUG30" i="6"/>
  <c r="AUF30" i="6"/>
  <c r="AUE30" i="6"/>
  <c r="AUD30" i="6"/>
  <c r="AUC30" i="6"/>
  <c r="AUB30" i="6"/>
  <c r="AUA30" i="6"/>
  <c r="ATZ30" i="6"/>
  <c r="ATY30" i="6"/>
  <c r="ATX30" i="6"/>
  <c r="ATW30" i="6"/>
  <c r="ATV30" i="6"/>
  <c r="ATU30" i="6"/>
  <c r="ATT30" i="6"/>
  <c r="ATS30" i="6"/>
  <c r="ATR30" i="6"/>
  <c r="ATQ30" i="6"/>
  <c r="ATP30" i="6"/>
  <c r="ATO30" i="6"/>
  <c r="ATN30" i="6"/>
  <c r="ATM30" i="6"/>
  <c r="ATL30" i="6"/>
  <c r="ATK30" i="6"/>
  <c r="ATJ30" i="6"/>
  <c r="ATI30" i="6"/>
  <c r="ATH30" i="6"/>
  <c r="ATG30" i="6"/>
  <c r="ATF30" i="6"/>
  <c r="ATE30" i="6"/>
  <c r="ATD30" i="6"/>
  <c r="ATC30" i="6"/>
  <c r="ATB30" i="6"/>
  <c r="ATA30" i="6"/>
  <c r="ASZ30" i="6"/>
  <c r="ASY30" i="6"/>
  <c r="ASX30" i="6"/>
  <c r="ASW30" i="6"/>
  <c r="ASV30" i="6"/>
  <c r="ASU30" i="6"/>
  <c r="AST30" i="6"/>
  <c r="ASS30" i="6"/>
  <c r="ASR30" i="6"/>
  <c r="ASQ30" i="6"/>
  <c r="ASP30" i="6"/>
  <c r="ASO30" i="6"/>
  <c r="ASN30" i="6"/>
  <c r="ASM30" i="6"/>
  <c r="ASL30" i="6"/>
  <c r="ASK30" i="6"/>
  <c r="ASJ30" i="6"/>
  <c r="ASI30" i="6"/>
  <c r="ASH30" i="6"/>
  <c r="ASG30" i="6"/>
  <c r="ASF30" i="6"/>
  <c r="ASE30" i="6"/>
  <c r="ASD30" i="6"/>
  <c r="ASC30" i="6"/>
  <c r="ASB30" i="6"/>
  <c r="ASA30" i="6"/>
  <c r="ARZ30" i="6"/>
  <c r="ARY30" i="6"/>
  <c r="ARX30" i="6"/>
  <c r="ARW30" i="6"/>
  <c r="ARV30" i="6"/>
  <c r="ARU30" i="6"/>
  <c r="ART30" i="6"/>
  <c r="ARS30" i="6"/>
  <c r="ARR30" i="6"/>
  <c r="ARQ30" i="6"/>
  <c r="ARP30" i="6"/>
  <c r="ARO30" i="6"/>
  <c r="ARN30" i="6"/>
  <c r="ARM30" i="6"/>
  <c r="ARL30" i="6"/>
  <c r="ARK30" i="6"/>
  <c r="ARJ30" i="6"/>
  <c r="ARI30" i="6"/>
  <c r="ARH30" i="6"/>
  <c r="ARG30" i="6"/>
  <c r="ARF30" i="6"/>
  <c r="ARE30" i="6"/>
  <c r="ARD30" i="6"/>
  <c r="ARC30" i="6"/>
  <c r="ARB30" i="6"/>
  <c r="ARA30" i="6"/>
  <c r="AQZ30" i="6"/>
  <c r="AQY30" i="6"/>
  <c r="AQX30" i="6"/>
  <c r="AQW30" i="6"/>
  <c r="AQV30" i="6"/>
  <c r="AQU30" i="6"/>
  <c r="AQT30" i="6"/>
  <c r="AQS30" i="6"/>
  <c r="AQR30" i="6"/>
  <c r="AQQ30" i="6"/>
  <c r="AQP30" i="6"/>
  <c r="AQO30" i="6"/>
  <c r="AQN30" i="6"/>
  <c r="AQM30" i="6"/>
  <c r="AQL30" i="6"/>
  <c r="AQK30" i="6"/>
  <c r="AQJ30" i="6"/>
  <c r="AQI30" i="6"/>
  <c r="AQH30" i="6"/>
  <c r="AQG30" i="6"/>
  <c r="AQF30" i="6"/>
  <c r="AQE30" i="6"/>
  <c r="AQD30" i="6"/>
  <c r="AQC30" i="6"/>
  <c r="AQB30" i="6"/>
  <c r="AQA30" i="6"/>
  <c r="APZ30" i="6"/>
  <c r="APY30" i="6"/>
  <c r="APX30" i="6"/>
  <c r="APW30" i="6"/>
  <c r="APV30" i="6"/>
  <c r="APU30" i="6"/>
  <c r="APT30" i="6"/>
  <c r="APS30" i="6"/>
  <c r="APR30" i="6"/>
  <c r="APQ30" i="6"/>
  <c r="APP30" i="6"/>
  <c r="APO30" i="6"/>
  <c r="APN30" i="6"/>
  <c r="APM30" i="6"/>
  <c r="APL30" i="6"/>
  <c r="APK30" i="6"/>
  <c r="APJ30" i="6"/>
  <c r="API30" i="6"/>
  <c r="APH30" i="6"/>
  <c r="APG30" i="6"/>
  <c r="APF30" i="6"/>
  <c r="APE30" i="6"/>
  <c r="APD30" i="6"/>
  <c r="APC30" i="6"/>
  <c r="APB30" i="6"/>
  <c r="APA30" i="6"/>
  <c r="AOZ30" i="6"/>
  <c r="AOY30" i="6"/>
  <c r="AOX30" i="6"/>
  <c r="AOW30" i="6"/>
  <c r="AOV30" i="6"/>
  <c r="AOU30" i="6"/>
  <c r="AOT30" i="6"/>
  <c r="AOS30" i="6"/>
  <c r="AOR30" i="6"/>
  <c r="AOQ30" i="6"/>
  <c r="AOP30" i="6"/>
  <c r="AOO30" i="6"/>
  <c r="AON30" i="6"/>
  <c r="AOM30" i="6"/>
  <c r="AOL30" i="6"/>
  <c r="AOK30" i="6"/>
  <c r="AOJ30" i="6"/>
  <c r="AOI30" i="6"/>
  <c r="AOH30" i="6"/>
  <c r="AOG30" i="6"/>
  <c r="AOF30" i="6"/>
  <c r="AOE30" i="6"/>
  <c r="AOD30" i="6"/>
  <c r="AOC30" i="6"/>
  <c r="AOB30" i="6"/>
  <c r="AOA30" i="6"/>
  <c r="ANZ30" i="6"/>
  <c r="ANY30" i="6"/>
  <c r="ANX30" i="6"/>
  <c r="ANW30" i="6"/>
  <c r="ANV30" i="6"/>
  <c r="ANU30" i="6"/>
  <c r="ANT30" i="6"/>
  <c r="ANS30" i="6"/>
  <c r="ANR30" i="6"/>
  <c r="ANQ30" i="6"/>
  <c r="ANP30" i="6"/>
  <c r="ANO30" i="6"/>
  <c r="ANN30" i="6"/>
  <c r="ANM30" i="6"/>
  <c r="ANL30" i="6"/>
  <c r="ANK30" i="6"/>
  <c r="ANJ30" i="6"/>
  <c r="ANI30" i="6"/>
  <c r="ANH30" i="6"/>
  <c r="ANG30" i="6"/>
  <c r="ANF30" i="6"/>
  <c r="ANE30" i="6"/>
  <c r="AND30" i="6"/>
  <c r="ANC30" i="6"/>
  <c r="ANB30" i="6"/>
  <c r="ANA30" i="6"/>
  <c r="AMZ30" i="6"/>
  <c r="AMY30" i="6"/>
  <c r="AMX30" i="6"/>
  <c r="AMW30" i="6"/>
  <c r="AMV30" i="6"/>
  <c r="AMU30" i="6"/>
  <c r="AMT30" i="6"/>
  <c r="AMS30" i="6"/>
  <c r="AMR30" i="6"/>
  <c r="AMQ30" i="6"/>
  <c r="AMP30" i="6"/>
  <c r="AMO30" i="6"/>
  <c r="AMN30" i="6"/>
  <c r="AMM30" i="6"/>
  <c r="AML30" i="6"/>
  <c r="AMK30" i="6"/>
  <c r="AMJ30" i="6"/>
  <c r="AMI30" i="6"/>
  <c r="AMH30" i="6"/>
  <c r="AMG30" i="6"/>
  <c r="AMF30" i="6"/>
  <c r="AME30" i="6"/>
  <c r="AMD30" i="6"/>
  <c r="AMC30" i="6"/>
  <c r="AMB30" i="6"/>
  <c r="AMA30" i="6"/>
  <c r="ALZ30" i="6"/>
  <c r="ALY30" i="6"/>
  <c r="ALX30" i="6"/>
  <c r="ALW30" i="6"/>
  <c r="ALV30" i="6"/>
  <c r="ALU30" i="6"/>
  <c r="ALT30" i="6"/>
  <c r="ALS30" i="6"/>
  <c r="ALR30" i="6"/>
  <c r="ALQ30" i="6"/>
  <c r="ALP30" i="6"/>
  <c r="ALO30" i="6"/>
  <c r="ALN30" i="6"/>
  <c r="ALM30" i="6"/>
  <c r="ALL30" i="6"/>
  <c r="ALK30" i="6"/>
  <c r="ALJ30" i="6"/>
  <c r="ALI30" i="6"/>
  <c r="ALH30" i="6"/>
  <c r="ALG30" i="6"/>
  <c r="ALF30" i="6"/>
  <c r="ALE30" i="6"/>
  <c r="ALD30" i="6"/>
  <c r="ALC30" i="6"/>
  <c r="ALB30" i="6"/>
  <c r="ALA30" i="6"/>
  <c r="AKZ30" i="6"/>
  <c r="AKY30" i="6"/>
  <c r="AKX30" i="6"/>
  <c r="AKW30" i="6"/>
  <c r="AKV30" i="6"/>
  <c r="AKU30" i="6"/>
  <c r="AKT30" i="6"/>
  <c r="AKS30" i="6"/>
  <c r="AKR30" i="6"/>
  <c r="AKQ30" i="6"/>
  <c r="AKP30" i="6"/>
  <c r="AKO30" i="6"/>
  <c r="AKN30" i="6"/>
  <c r="AKM30" i="6"/>
  <c r="AKL30" i="6"/>
  <c r="AKK30" i="6"/>
  <c r="AKJ30" i="6"/>
  <c r="AKI30" i="6"/>
  <c r="AKH30" i="6"/>
  <c r="AKG30" i="6"/>
  <c r="AKF30" i="6"/>
  <c r="AKE30" i="6"/>
  <c r="AKD30" i="6"/>
  <c r="AKC30" i="6"/>
  <c r="AKB30" i="6"/>
  <c r="AKA30" i="6"/>
  <c r="AJZ30" i="6"/>
  <c r="AJY30" i="6"/>
  <c r="AJX30" i="6"/>
  <c r="AJW30" i="6"/>
  <c r="AJV30" i="6"/>
  <c r="AJU30" i="6"/>
  <c r="AJT30" i="6"/>
  <c r="AJS30" i="6"/>
  <c r="AJR30" i="6"/>
  <c r="AJQ30" i="6"/>
  <c r="AJP30" i="6"/>
  <c r="AJO30" i="6"/>
  <c r="AJN30" i="6"/>
  <c r="AJM30" i="6"/>
  <c r="AJL30" i="6"/>
  <c r="AJK30" i="6"/>
  <c r="AJJ30" i="6"/>
  <c r="AJI30" i="6"/>
  <c r="AJH30" i="6"/>
  <c r="AJG30" i="6"/>
  <c r="AJF30" i="6"/>
  <c r="AJE30" i="6"/>
  <c r="AJD30" i="6"/>
  <c r="AJC30" i="6"/>
  <c r="AJB30" i="6"/>
  <c r="AJA30" i="6"/>
  <c r="AIZ30" i="6"/>
  <c r="AIY30" i="6"/>
  <c r="AIX30" i="6"/>
  <c r="AIW30" i="6"/>
  <c r="AIV30" i="6"/>
  <c r="AIU30" i="6"/>
  <c r="AIT30" i="6"/>
  <c r="AIS30" i="6"/>
  <c r="AIR30" i="6"/>
  <c r="AIQ30" i="6"/>
  <c r="AIP30" i="6"/>
  <c r="AIO30" i="6"/>
  <c r="AIN30" i="6"/>
  <c r="AIM30" i="6"/>
  <c r="AIL30" i="6"/>
  <c r="AIK30" i="6"/>
  <c r="AIJ30" i="6"/>
  <c r="AII30" i="6"/>
  <c r="AIH30" i="6"/>
  <c r="AIG30" i="6"/>
  <c r="AIF30" i="6"/>
  <c r="AIE30" i="6"/>
  <c r="AID30" i="6"/>
  <c r="AIC30" i="6"/>
  <c r="AIB30" i="6"/>
  <c r="AIA30" i="6"/>
  <c r="AHZ30" i="6"/>
  <c r="AHY30" i="6"/>
  <c r="AHX30" i="6"/>
  <c r="AHW30" i="6"/>
  <c r="AHV30" i="6"/>
  <c r="AHU30" i="6"/>
  <c r="AHT30" i="6"/>
  <c r="AHS30" i="6"/>
  <c r="AHR30" i="6"/>
  <c r="AHQ30" i="6"/>
  <c r="AHP30" i="6"/>
  <c r="AHO30" i="6"/>
  <c r="AHN30" i="6"/>
  <c r="AHM30" i="6"/>
  <c r="AHL30" i="6"/>
  <c r="AHK30" i="6"/>
  <c r="AHJ30" i="6"/>
  <c r="AHI30" i="6"/>
  <c r="AHH30" i="6"/>
  <c r="AHG30" i="6"/>
  <c r="AHF30" i="6"/>
  <c r="AHE30" i="6"/>
  <c r="AHD30" i="6"/>
  <c r="AHC30" i="6"/>
  <c r="AHB30" i="6"/>
  <c r="AHA30" i="6"/>
  <c r="AGZ30" i="6"/>
  <c r="AGY30" i="6"/>
  <c r="AGX30" i="6"/>
  <c r="AGW30" i="6"/>
  <c r="AGV30" i="6"/>
  <c r="AGU30" i="6"/>
  <c r="AGT30" i="6"/>
  <c r="AGS30" i="6"/>
  <c r="AGR30" i="6"/>
  <c r="AGQ30" i="6"/>
  <c r="AGP30" i="6"/>
  <c r="AGO30" i="6"/>
  <c r="AGN30" i="6"/>
  <c r="AGM30" i="6"/>
  <c r="AGL30" i="6"/>
  <c r="AGK30" i="6"/>
  <c r="AGJ30" i="6"/>
  <c r="AGI30" i="6"/>
  <c r="AGH30" i="6"/>
  <c r="AGG30" i="6"/>
  <c r="AGF30" i="6"/>
  <c r="AGE30" i="6"/>
  <c r="AGD30" i="6"/>
  <c r="AGC30" i="6"/>
  <c r="AGB30" i="6"/>
  <c r="AGA30" i="6"/>
  <c r="AFZ30" i="6"/>
  <c r="AFY30" i="6"/>
  <c r="AFX30" i="6"/>
  <c r="AFW30" i="6"/>
  <c r="AFV30" i="6"/>
  <c r="AFU30" i="6"/>
  <c r="AFT30" i="6"/>
  <c r="AFS30" i="6"/>
  <c r="AFR30" i="6"/>
  <c r="AFQ30" i="6"/>
  <c r="AFP30" i="6"/>
  <c r="AFO30" i="6"/>
  <c r="AFN30" i="6"/>
  <c r="AFM30" i="6"/>
  <c r="AFL30" i="6"/>
  <c r="AFK30" i="6"/>
  <c r="AFJ30" i="6"/>
  <c r="AFI30" i="6"/>
  <c r="AFH30" i="6"/>
  <c r="AFG30" i="6"/>
  <c r="AFF30" i="6"/>
  <c r="AFE30" i="6"/>
  <c r="AFD30" i="6"/>
  <c r="AFC30" i="6"/>
  <c r="AFB30" i="6"/>
  <c r="AFA30" i="6"/>
  <c r="AEZ30" i="6"/>
  <c r="AEY30" i="6"/>
  <c r="AEX30" i="6"/>
  <c r="AEW30" i="6"/>
  <c r="AEV30" i="6"/>
  <c r="AEU30" i="6"/>
  <c r="AET30" i="6"/>
  <c r="AES30" i="6"/>
  <c r="AER30" i="6"/>
  <c r="AEQ30" i="6"/>
  <c r="AEP30" i="6"/>
  <c r="AEO30" i="6"/>
  <c r="AEN30" i="6"/>
  <c r="AEM30" i="6"/>
  <c r="AEL30" i="6"/>
  <c r="AEK30" i="6"/>
  <c r="AEJ30" i="6"/>
  <c r="AEI30" i="6"/>
  <c r="AEH30" i="6"/>
  <c r="AEG30" i="6"/>
  <c r="AEF30" i="6"/>
  <c r="AEE30" i="6"/>
  <c r="AED30" i="6"/>
  <c r="AEC30" i="6"/>
  <c r="AEB30" i="6"/>
  <c r="AEA30" i="6"/>
  <c r="ADZ30" i="6"/>
  <c r="ADY30" i="6"/>
  <c r="ADX30" i="6"/>
  <c r="ADW30" i="6"/>
  <c r="ADV30" i="6"/>
  <c r="ADU30" i="6"/>
  <c r="ADT30" i="6"/>
  <c r="ADS30" i="6"/>
  <c r="ADR30" i="6"/>
  <c r="ADQ30" i="6"/>
  <c r="ADP30" i="6"/>
  <c r="ADO30" i="6"/>
  <c r="ADN30" i="6"/>
  <c r="ADM30" i="6"/>
  <c r="ADL30" i="6"/>
  <c r="ADK30" i="6"/>
  <c r="ADJ30" i="6"/>
  <c r="ADI30" i="6"/>
  <c r="ADH30" i="6"/>
  <c r="ADG30" i="6"/>
  <c r="ADF30" i="6"/>
  <c r="ADE30" i="6"/>
  <c r="ADD30" i="6"/>
  <c r="ADC30" i="6"/>
  <c r="ADB30" i="6"/>
  <c r="ADA30" i="6"/>
  <c r="ACZ30" i="6"/>
  <c r="ACY30" i="6"/>
  <c r="ACX30" i="6"/>
  <c r="ACW30" i="6"/>
  <c r="ACV30" i="6"/>
  <c r="ACU30" i="6"/>
  <c r="ACT30" i="6"/>
  <c r="ACS30" i="6"/>
  <c r="ACR30" i="6"/>
  <c r="ACQ30" i="6"/>
  <c r="ACP30" i="6"/>
  <c r="ACO30" i="6"/>
  <c r="ACN30" i="6"/>
  <c r="ACM30" i="6"/>
  <c r="ACL30" i="6"/>
  <c r="ACK30" i="6"/>
  <c r="ACJ30" i="6"/>
  <c r="ACI30" i="6"/>
  <c r="ACH30" i="6"/>
  <c r="ACG30" i="6"/>
  <c r="ACF30" i="6"/>
  <c r="ACE30" i="6"/>
  <c r="ACD30" i="6"/>
  <c r="ACC30" i="6"/>
  <c r="ACB30" i="6"/>
  <c r="ACA30" i="6"/>
  <c r="ABZ30" i="6"/>
  <c r="ABY30" i="6"/>
  <c r="ABX30" i="6"/>
  <c r="ABW30" i="6"/>
  <c r="ABV30" i="6"/>
  <c r="ABU30" i="6"/>
  <c r="ABT30" i="6"/>
  <c r="ABS30" i="6"/>
  <c r="ABR30" i="6"/>
  <c r="ABQ30" i="6"/>
  <c r="ABP30" i="6"/>
  <c r="ABO30" i="6"/>
  <c r="ABN30" i="6"/>
  <c r="ABM30" i="6"/>
  <c r="ABL30" i="6"/>
  <c r="ABK30" i="6"/>
  <c r="ABJ30" i="6"/>
  <c r="ABI30" i="6"/>
  <c r="ABH30" i="6"/>
  <c r="ABG30" i="6"/>
  <c r="ABF30" i="6"/>
  <c r="ABE30" i="6"/>
  <c r="ABD30" i="6"/>
  <c r="ABC30" i="6"/>
  <c r="ABB30" i="6"/>
  <c r="ABA30" i="6"/>
  <c r="AAZ30" i="6"/>
  <c r="AAY30" i="6"/>
  <c r="AAX30" i="6"/>
  <c r="AAW30" i="6"/>
  <c r="AAV30" i="6"/>
  <c r="AAU30" i="6"/>
  <c r="AAT30" i="6"/>
  <c r="AAS30" i="6"/>
  <c r="AAR30" i="6"/>
  <c r="AAQ30" i="6"/>
  <c r="AAP30" i="6"/>
  <c r="AAO30" i="6"/>
  <c r="AAN30" i="6"/>
  <c r="AAM30" i="6"/>
  <c r="AAL30" i="6"/>
  <c r="AAK30" i="6"/>
  <c r="AAJ30" i="6"/>
  <c r="AAI30" i="6"/>
  <c r="AAH30" i="6"/>
  <c r="AAG30" i="6"/>
  <c r="AAF30" i="6"/>
  <c r="AAE30" i="6"/>
  <c r="AAD30" i="6"/>
  <c r="AAC30" i="6"/>
  <c r="AAB30" i="6"/>
  <c r="AAA30" i="6"/>
  <c r="ZZ30" i="6"/>
  <c r="ZY30" i="6"/>
  <c r="ZX30" i="6"/>
  <c r="ZW30" i="6"/>
  <c r="ZV30" i="6"/>
  <c r="ZU30" i="6"/>
  <c r="ZT30" i="6"/>
  <c r="ZS30" i="6"/>
  <c r="ZR30" i="6"/>
  <c r="ZQ30" i="6"/>
  <c r="ZP30" i="6"/>
  <c r="ZO30" i="6"/>
  <c r="ZN30" i="6"/>
  <c r="ZM30" i="6"/>
  <c r="ZL30" i="6"/>
  <c r="ZK30" i="6"/>
  <c r="ZJ30" i="6"/>
  <c r="ZI30" i="6"/>
  <c r="ZH30" i="6"/>
  <c r="ZG30" i="6"/>
  <c r="ZF30" i="6"/>
  <c r="ZE30" i="6"/>
  <c r="ZD30" i="6"/>
  <c r="ZC30" i="6"/>
  <c r="ZB30" i="6"/>
  <c r="ZA30" i="6"/>
  <c r="YZ30" i="6"/>
  <c r="YY30" i="6"/>
  <c r="YX30" i="6"/>
  <c r="YW30" i="6"/>
  <c r="YV30" i="6"/>
  <c r="YU30" i="6"/>
  <c r="YT30" i="6"/>
  <c r="YS30" i="6"/>
  <c r="YR30" i="6"/>
  <c r="YQ30" i="6"/>
  <c r="YP30" i="6"/>
  <c r="YO30" i="6"/>
  <c r="YN30" i="6"/>
  <c r="YM30" i="6"/>
  <c r="YL30" i="6"/>
  <c r="YK30" i="6"/>
  <c r="YJ30" i="6"/>
  <c r="YI30" i="6"/>
  <c r="YH30" i="6"/>
  <c r="YG30" i="6"/>
  <c r="YF30" i="6"/>
  <c r="YE30" i="6"/>
  <c r="YD30" i="6"/>
  <c r="YC30" i="6"/>
  <c r="YB30" i="6"/>
  <c r="YA30" i="6"/>
  <c r="XZ30" i="6"/>
  <c r="XY30" i="6"/>
  <c r="XX30" i="6"/>
  <c r="XW30" i="6"/>
  <c r="XV30" i="6"/>
  <c r="XU30" i="6"/>
  <c r="XT30" i="6"/>
  <c r="XS30" i="6"/>
  <c r="XR30" i="6"/>
  <c r="XQ30" i="6"/>
  <c r="XP30" i="6"/>
  <c r="XO30" i="6"/>
  <c r="XN30" i="6"/>
  <c r="XM30" i="6"/>
  <c r="XL30" i="6"/>
  <c r="XK30" i="6"/>
  <c r="XJ30" i="6"/>
  <c r="XI30" i="6"/>
  <c r="XH30" i="6"/>
  <c r="XG30" i="6"/>
  <c r="XF30" i="6"/>
  <c r="XE30" i="6"/>
  <c r="XD30" i="6"/>
  <c r="XC30" i="6"/>
  <c r="XB30" i="6"/>
  <c r="XA30" i="6"/>
  <c r="WZ30" i="6"/>
  <c r="WY30" i="6"/>
  <c r="WX30" i="6"/>
  <c r="WW30" i="6"/>
  <c r="WV30" i="6"/>
  <c r="WU30" i="6"/>
  <c r="WT30" i="6"/>
  <c r="WS30" i="6"/>
  <c r="WR30" i="6"/>
  <c r="WQ30" i="6"/>
  <c r="WP30" i="6"/>
  <c r="WO30" i="6"/>
  <c r="WN30" i="6"/>
  <c r="WM30" i="6"/>
  <c r="WL30" i="6"/>
  <c r="WK30" i="6"/>
  <c r="WJ30" i="6"/>
  <c r="WI30" i="6"/>
  <c r="WH30" i="6"/>
  <c r="WG30" i="6"/>
  <c r="WF30" i="6"/>
  <c r="WE30" i="6"/>
  <c r="WD30" i="6"/>
  <c r="WC30" i="6"/>
  <c r="WB30" i="6"/>
  <c r="WA30" i="6"/>
  <c r="VZ30" i="6"/>
  <c r="VY30" i="6"/>
  <c r="VX30" i="6"/>
  <c r="VW30" i="6"/>
  <c r="VV30" i="6"/>
  <c r="VU30" i="6"/>
  <c r="VT30" i="6"/>
  <c r="VS30" i="6"/>
  <c r="VR30" i="6"/>
  <c r="VQ30" i="6"/>
  <c r="VP30" i="6"/>
  <c r="VO30" i="6"/>
  <c r="VN30" i="6"/>
  <c r="VM30" i="6"/>
  <c r="VL30" i="6"/>
  <c r="VK30" i="6"/>
  <c r="VJ30" i="6"/>
  <c r="VI30" i="6"/>
  <c r="VH30" i="6"/>
  <c r="VG30" i="6"/>
  <c r="VF30" i="6"/>
  <c r="VE30" i="6"/>
  <c r="VD30" i="6"/>
  <c r="VC30" i="6"/>
  <c r="VB30" i="6"/>
  <c r="VA30" i="6"/>
  <c r="UZ30" i="6"/>
  <c r="UY30" i="6"/>
  <c r="UX30" i="6"/>
  <c r="UW30" i="6"/>
  <c r="UV30" i="6"/>
  <c r="UU30" i="6"/>
  <c r="UT30" i="6"/>
  <c r="US30" i="6"/>
  <c r="UR30" i="6"/>
  <c r="UQ30" i="6"/>
  <c r="UP30" i="6"/>
  <c r="UO30" i="6"/>
  <c r="UN30" i="6"/>
  <c r="UM30" i="6"/>
  <c r="UL30" i="6"/>
  <c r="UK30" i="6"/>
  <c r="UJ30" i="6"/>
  <c r="UI30" i="6"/>
  <c r="UH30" i="6"/>
  <c r="UG30" i="6"/>
  <c r="UF30" i="6"/>
  <c r="UE30" i="6"/>
  <c r="UD30" i="6"/>
  <c r="UC30" i="6"/>
  <c r="UB30" i="6"/>
  <c r="UA30" i="6"/>
  <c r="TZ30" i="6"/>
  <c r="TY30" i="6"/>
  <c r="TX30" i="6"/>
  <c r="TW30" i="6"/>
  <c r="TV30" i="6"/>
  <c r="TU30" i="6"/>
  <c r="TT30" i="6"/>
  <c r="TS30" i="6"/>
  <c r="TR30" i="6"/>
  <c r="TQ30" i="6"/>
  <c r="TP30" i="6"/>
  <c r="TO30" i="6"/>
  <c r="TN30" i="6"/>
  <c r="TM30" i="6"/>
  <c r="TL30" i="6"/>
  <c r="TK30" i="6"/>
  <c r="TJ30" i="6"/>
  <c r="TI30" i="6"/>
  <c r="TH30" i="6"/>
  <c r="TG30" i="6"/>
  <c r="TF30" i="6"/>
  <c r="TE30" i="6"/>
  <c r="TD30" i="6"/>
  <c r="TC30" i="6"/>
  <c r="TB30" i="6"/>
  <c r="TA30" i="6"/>
  <c r="SZ30" i="6"/>
  <c r="SY30" i="6"/>
  <c r="SX30" i="6"/>
  <c r="SW30" i="6"/>
  <c r="SV30" i="6"/>
  <c r="SU30" i="6"/>
  <c r="ST30" i="6"/>
  <c r="SS30" i="6"/>
  <c r="SR30" i="6"/>
  <c r="SQ30" i="6"/>
  <c r="SP30" i="6"/>
  <c r="SO30" i="6"/>
  <c r="SN30" i="6"/>
  <c r="SM30" i="6"/>
  <c r="SL30" i="6"/>
  <c r="SK30" i="6"/>
  <c r="SJ30" i="6"/>
  <c r="SI30" i="6"/>
  <c r="SH30" i="6"/>
  <c r="SG30" i="6"/>
  <c r="SF30" i="6"/>
  <c r="SE30" i="6"/>
  <c r="SD30" i="6"/>
  <c r="SC30" i="6"/>
  <c r="SB30" i="6"/>
  <c r="SA30" i="6"/>
  <c r="RZ30" i="6"/>
  <c r="RY30" i="6"/>
  <c r="RX30" i="6"/>
  <c r="RW30" i="6"/>
  <c r="RV30" i="6"/>
  <c r="RU30" i="6"/>
  <c r="RT30" i="6"/>
  <c r="RS30" i="6"/>
  <c r="RR30" i="6"/>
  <c r="RQ30" i="6"/>
  <c r="RP30" i="6"/>
  <c r="RO30" i="6"/>
  <c r="RN30" i="6"/>
  <c r="RM30" i="6"/>
  <c r="RL30" i="6"/>
  <c r="RK30" i="6"/>
  <c r="RJ30" i="6"/>
  <c r="RI30" i="6"/>
  <c r="RH30" i="6"/>
  <c r="RG30" i="6"/>
  <c r="RF30" i="6"/>
  <c r="RE30" i="6"/>
  <c r="RD30" i="6"/>
  <c r="RC30" i="6"/>
  <c r="RB30" i="6"/>
  <c r="RA30" i="6"/>
  <c r="QZ30" i="6"/>
  <c r="QY30" i="6"/>
  <c r="QX30" i="6"/>
  <c r="QW30" i="6"/>
  <c r="QV30" i="6"/>
  <c r="QU30" i="6"/>
  <c r="QT30" i="6"/>
  <c r="QS30" i="6"/>
  <c r="QR30" i="6"/>
  <c r="QQ30" i="6"/>
  <c r="QP30" i="6"/>
  <c r="QO30" i="6"/>
  <c r="QN30" i="6"/>
  <c r="QM30" i="6"/>
  <c r="QL30" i="6"/>
  <c r="QK30" i="6"/>
  <c r="QJ30" i="6"/>
  <c r="QI30" i="6"/>
  <c r="QH30" i="6"/>
  <c r="QG30" i="6"/>
  <c r="QF30" i="6"/>
  <c r="QE30" i="6"/>
  <c r="QD30" i="6"/>
  <c r="QC30" i="6"/>
  <c r="QB30" i="6"/>
  <c r="QA30" i="6"/>
  <c r="PZ30" i="6"/>
  <c r="PY30" i="6"/>
  <c r="PX30" i="6"/>
  <c r="PW30" i="6"/>
  <c r="PV30" i="6"/>
  <c r="PU30" i="6"/>
  <c r="PT30" i="6"/>
  <c r="PS30" i="6"/>
  <c r="PR30" i="6"/>
  <c r="PQ30" i="6"/>
  <c r="PP30" i="6"/>
  <c r="PO30" i="6"/>
  <c r="PN30" i="6"/>
  <c r="PM30" i="6"/>
  <c r="PL30" i="6"/>
  <c r="PK30" i="6"/>
  <c r="PJ30" i="6"/>
  <c r="PI30" i="6"/>
  <c r="PH30" i="6"/>
  <c r="PG30" i="6"/>
  <c r="PF30" i="6"/>
  <c r="PE30" i="6"/>
  <c r="PD30" i="6"/>
  <c r="PC30" i="6"/>
  <c r="PB30" i="6"/>
  <c r="PA30" i="6"/>
  <c r="OZ30" i="6"/>
  <c r="OY30" i="6"/>
  <c r="OX30" i="6"/>
  <c r="OW30" i="6"/>
  <c r="OV30" i="6"/>
  <c r="OU30" i="6"/>
  <c r="OT30" i="6"/>
  <c r="OS30" i="6"/>
  <c r="OR30" i="6"/>
  <c r="OQ30" i="6"/>
  <c r="OP30" i="6"/>
  <c r="OO30" i="6"/>
  <c r="ON30" i="6"/>
  <c r="OM30" i="6"/>
  <c r="OL30" i="6"/>
  <c r="OK30" i="6"/>
  <c r="OJ30" i="6"/>
  <c r="OI30" i="6"/>
  <c r="OH30" i="6"/>
  <c r="OG30" i="6"/>
  <c r="OF30" i="6"/>
  <c r="OE30" i="6"/>
  <c r="OD30" i="6"/>
  <c r="OC30" i="6"/>
  <c r="OB30" i="6"/>
  <c r="OA30" i="6"/>
  <c r="NZ30" i="6"/>
  <c r="NY30" i="6"/>
  <c r="NX30" i="6"/>
  <c r="NW30" i="6"/>
  <c r="NV30" i="6"/>
  <c r="NU30" i="6"/>
  <c r="NT30" i="6"/>
  <c r="NS30" i="6"/>
  <c r="NR30" i="6"/>
  <c r="NQ30" i="6"/>
  <c r="NP30" i="6"/>
  <c r="NO30" i="6"/>
  <c r="NN30" i="6"/>
  <c r="NM30" i="6"/>
  <c r="NL30" i="6"/>
  <c r="NK30" i="6"/>
  <c r="NJ30" i="6"/>
  <c r="NI30" i="6"/>
  <c r="NH30" i="6"/>
  <c r="NG30" i="6"/>
  <c r="NF30" i="6"/>
  <c r="NE30" i="6"/>
  <c r="ND30" i="6"/>
  <c r="NC30" i="6"/>
  <c r="NB30" i="6"/>
  <c r="NA30" i="6"/>
  <c r="MZ30" i="6"/>
  <c r="MY30" i="6"/>
  <c r="MX30" i="6"/>
  <c r="MW30" i="6"/>
  <c r="MV30" i="6"/>
  <c r="MU30" i="6"/>
  <c r="MT30" i="6"/>
  <c r="MS30" i="6"/>
  <c r="MR30" i="6"/>
  <c r="MQ30" i="6"/>
  <c r="MP30" i="6"/>
  <c r="MO30" i="6"/>
  <c r="MN30" i="6"/>
  <c r="MM30" i="6"/>
  <c r="ML30" i="6"/>
  <c r="MK30" i="6"/>
  <c r="MJ30" i="6"/>
  <c r="MI30" i="6"/>
  <c r="MH30" i="6"/>
  <c r="MG30" i="6"/>
  <c r="MF30" i="6"/>
  <c r="ME30" i="6"/>
  <c r="MD30" i="6"/>
  <c r="MC30" i="6"/>
  <c r="MB30" i="6"/>
  <c r="MA30" i="6"/>
  <c r="LZ30" i="6"/>
  <c r="LY30" i="6"/>
  <c r="LX30" i="6"/>
  <c r="LW30" i="6"/>
  <c r="LV30" i="6"/>
  <c r="LU30" i="6"/>
  <c r="LT30" i="6"/>
  <c r="LS30" i="6"/>
  <c r="LR30" i="6"/>
  <c r="LQ30" i="6"/>
  <c r="LP30" i="6"/>
  <c r="LO30" i="6"/>
  <c r="LN30" i="6"/>
  <c r="LM30" i="6"/>
  <c r="LL30" i="6"/>
  <c r="LK30" i="6"/>
  <c r="LJ30" i="6"/>
  <c r="LI30" i="6"/>
  <c r="LH30" i="6"/>
  <c r="LG30" i="6"/>
  <c r="LF30" i="6"/>
  <c r="LE30" i="6"/>
  <c r="LD30" i="6"/>
  <c r="LC30" i="6"/>
  <c r="LB30" i="6"/>
  <c r="LA30" i="6"/>
  <c r="KZ30" i="6"/>
  <c r="KY30" i="6"/>
  <c r="KX30" i="6"/>
  <c r="KW30" i="6"/>
  <c r="KV30" i="6"/>
  <c r="KU30" i="6"/>
  <c r="KT30" i="6"/>
  <c r="KS30" i="6"/>
  <c r="KR30" i="6"/>
  <c r="KQ30" i="6"/>
  <c r="KP30" i="6"/>
  <c r="KO30" i="6"/>
  <c r="KN30" i="6"/>
  <c r="KM30" i="6"/>
  <c r="KL30" i="6"/>
  <c r="KK30" i="6"/>
  <c r="KJ30" i="6"/>
  <c r="KI30" i="6"/>
  <c r="KH30" i="6"/>
  <c r="KG30" i="6"/>
  <c r="KF30" i="6"/>
  <c r="KE30" i="6"/>
  <c r="KD30" i="6"/>
  <c r="KC30" i="6"/>
  <c r="KB30" i="6"/>
  <c r="KA30" i="6"/>
  <c r="JZ30" i="6"/>
  <c r="JY30" i="6"/>
  <c r="JX30" i="6"/>
  <c r="JW30" i="6"/>
  <c r="JV30" i="6"/>
  <c r="JU30" i="6"/>
  <c r="JT30" i="6"/>
  <c r="JS30" i="6"/>
  <c r="JR30" i="6"/>
  <c r="JQ30" i="6"/>
  <c r="JP30" i="6"/>
  <c r="JO30" i="6"/>
  <c r="JN30" i="6"/>
  <c r="JM30" i="6"/>
  <c r="JL30" i="6"/>
  <c r="JK30" i="6"/>
  <c r="JJ30" i="6"/>
  <c r="JI30" i="6"/>
  <c r="JH30" i="6"/>
  <c r="JG30" i="6"/>
  <c r="JF30" i="6"/>
  <c r="JE30" i="6"/>
  <c r="JD30" i="6"/>
  <c r="JC30" i="6"/>
  <c r="JB30" i="6"/>
  <c r="JA30" i="6"/>
  <c r="IZ30" i="6"/>
  <c r="IY30" i="6"/>
  <c r="IX30" i="6"/>
  <c r="IW30" i="6"/>
  <c r="IV30" i="6"/>
  <c r="IU30" i="6"/>
  <c r="IT30" i="6"/>
  <c r="IS30" i="6"/>
  <c r="IR30" i="6"/>
  <c r="IQ30" i="6"/>
  <c r="IP30" i="6"/>
  <c r="IO30" i="6"/>
  <c r="IN30" i="6"/>
  <c r="IM30" i="6"/>
  <c r="IL30" i="6"/>
  <c r="IK30" i="6"/>
  <c r="IJ30" i="6"/>
  <c r="II30" i="6"/>
  <c r="IH30" i="6"/>
  <c r="IG30" i="6"/>
  <c r="IF30" i="6"/>
  <c r="IE30" i="6"/>
  <c r="ID30" i="6"/>
  <c r="IC30" i="6"/>
  <c r="IB30" i="6"/>
  <c r="IA30" i="6"/>
  <c r="HZ30" i="6"/>
  <c r="HY30" i="6"/>
  <c r="HX30" i="6"/>
  <c r="HW30" i="6"/>
  <c r="HV30" i="6"/>
  <c r="HU30" i="6"/>
  <c r="HT30" i="6"/>
  <c r="HS30" i="6"/>
  <c r="HR30" i="6"/>
  <c r="HQ30" i="6"/>
  <c r="HP30" i="6"/>
  <c r="HO30" i="6"/>
  <c r="HN30" i="6"/>
  <c r="HM30" i="6"/>
  <c r="HL30" i="6"/>
  <c r="HK30" i="6"/>
  <c r="HJ30" i="6"/>
  <c r="HI30" i="6"/>
  <c r="HH30" i="6"/>
  <c r="HG30" i="6"/>
  <c r="HF30" i="6"/>
  <c r="HE30" i="6"/>
  <c r="HD30" i="6"/>
  <c r="HC30" i="6"/>
  <c r="HB30" i="6"/>
  <c r="HA30" i="6"/>
  <c r="GZ30" i="6"/>
  <c r="GY30" i="6"/>
  <c r="GX30" i="6"/>
  <c r="GW30" i="6"/>
  <c r="GV30" i="6"/>
  <c r="GU30" i="6"/>
  <c r="GT30" i="6"/>
  <c r="GS30" i="6"/>
  <c r="GR30" i="6"/>
  <c r="GQ30" i="6"/>
  <c r="GP30" i="6"/>
  <c r="GO30" i="6"/>
  <c r="GN30" i="6"/>
  <c r="GM30" i="6"/>
  <c r="GL30" i="6"/>
  <c r="GK30" i="6"/>
  <c r="GJ30" i="6"/>
  <c r="GI30" i="6"/>
  <c r="GH30" i="6"/>
  <c r="GG30" i="6"/>
  <c r="GF30" i="6"/>
  <c r="GE30" i="6"/>
  <c r="GD30" i="6"/>
  <c r="GC30" i="6"/>
  <c r="GB30" i="6"/>
  <c r="GA30" i="6"/>
  <c r="FZ30" i="6"/>
  <c r="FY30" i="6"/>
  <c r="FX30" i="6"/>
  <c r="FW30" i="6"/>
  <c r="FV30" i="6"/>
  <c r="FU30" i="6"/>
  <c r="FT30" i="6"/>
  <c r="FS30" i="6"/>
  <c r="FR30" i="6"/>
  <c r="FQ30" i="6"/>
  <c r="FP30" i="6"/>
  <c r="FO30" i="6"/>
  <c r="FN30" i="6"/>
  <c r="FM30" i="6"/>
  <c r="FL30" i="6"/>
  <c r="FK30" i="6"/>
  <c r="FJ30" i="6"/>
  <c r="FI30" i="6"/>
  <c r="FH30" i="6"/>
  <c r="FG30" i="6"/>
  <c r="FF30" i="6"/>
  <c r="FE30" i="6"/>
  <c r="FD30" i="6"/>
  <c r="FC30" i="6"/>
  <c r="FB30" i="6"/>
  <c r="FA30" i="6"/>
  <c r="EZ30" i="6"/>
  <c r="EY30" i="6"/>
  <c r="EX30" i="6"/>
  <c r="EW30" i="6"/>
  <c r="EV30" i="6"/>
  <c r="EU30" i="6"/>
  <c r="ET30" i="6"/>
  <c r="ES30" i="6"/>
  <c r="ER30" i="6"/>
  <c r="EQ30" i="6"/>
  <c r="EP30" i="6"/>
  <c r="EO30" i="6"/>
  <c r="EN30" i="6"/>
  <c r="EM30" i="6"/>
  <c r="EL30" i="6"/>
  <c r="EK30" i="6"/>
  <c r="EJ30" i="6"/>
  <c r="EI30" i="6"/>
  <c r="EH30" i="6"/>
  <c r="EG30" i="6"/>
  <c r="EF30" i="6"/>
  <c r="EE30" i="6"/>
  <c r="ED30" i="6"/>
  <c r="EC30" i="6"/>
  <c r="EB30" i="6"/>
  <c r="EA30" i="6"/>
  <c r="DZ30" i="6"/>
  <c r="DY30" i="6"/>
  <c r="DX30" i="6"/>
  <c r="DW30" i="6"/>
  <c r="DV30" i="6"/>
  <c r="DU30" i="6"/>
  <c r="DT30" i="6"/>
  <c r="DS30" i="6"/>
  <c r="DR30" i="6"/>
  <c r="DQ30" i="6"/>
  <c r="DP30" i="6"/>
  <c r="DO30" i="6"/>
  <c r="DN30" i="6"/>
  <c r="DM30" i="6"/>
  <c r="DL30" i="6"/>
  <c r="DK30" i="6"/>
  <c r="DJ30" i="6"/>
  <c r="DI30" i="6"/>
  <c r="DH30" i="6"/>
  <c r="DG30" i="6"/>
  <c r="DF30" i="6"/>
  <c r="DE30" i="6"/>
  <c r="DD30" i="6"/>
  <c r="DC30" i="6"/>
  <c r="DB30" i="6"/>
  <c r="DA30" i="6"/>
  <c r="CZ30" i="6"/>
  <c r="CY30" i="6"/>
  <c r="CX30" i="6"/>
  <c r="CW30" i="6"/>
  <c r="CV30" i="6"/>
  <c r="CU30" i="6"/>
  <c r="CT30" i="6"/>
  <c r="CS30" i="6"/>
  <c r="CR30" i="6"/>
  <c r="CQ30" i="6"/>
  <c r="CP30" i="6"/>
  <c r="CO30" i="6"/>
  <c r="CN30" i="6"/>
  <c r="CM30" i="6"/>
  <c r="CL30" i="6"/>
  <c r="CK30" i="6"/>
  <c r="CJ30" i="6"/>
  <c r="CI30" i="6"/>
  <c r="CH30" i="6"/>
  <c r="CG30" i="6"/>
  <c r="CF30" i="6"/>
  <c r="CE30" i="6"/>
  <c r="CD30" i="6"/>
  <c r="CC30" i="6"/>
  <c r="CB30" i="6"/>
  <c r="CA30" i="6"/>
  <c r="BZ30" i="6"/>
  <c r="BY30" i="6"/>
  <c r="BX30" i="6"/>
  <c r="BW30" i="6"/>
  <c r="BV30" i="6"/>
  <c r="BU30" i="6"/>
  <c r="BT30" i="6"/>
  <c r="BS30" i="6"/>
  <c r="BR30" i="6"/>
  <c r="BQ30" i="6"/>
  <c r="BP30" i="6"/>
  <c r="BO30" i="6"/>
  <c r="BN30" i="6"/>
  <c r="BM30" i="6"/>
  <c r="BL30" i="6"/>
  <c r="BK30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C13" i="6"/>
  <c r="C19" i="6" s="1"/>
  <c r="D13" i="6"/>
  <c r="D19" i="6" s="1"/>
  <c r="E13" i="6"/>
  <c r="E19" i="6" s="1"/>
  <c r="C11" i="6"/>
  <c r="C18" i="6" s="1"/>
  <c r="D11" i="6"/>
  <c r="D18" i="6" s="1"/>
  <c r="E11" i="6"/>
  <c r="E18" i="6" s="1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BI93" i="1"/>
  <c r="BD93" i="1"/>
  <c r="BC93" i="1"/>
  <c r="BB93" i="1"/>
  <c r="BA93" i="1"/>
  <c r="AY93" i="1"/>
  <c r="AX93" i="1"/>
  <c r="AW93" i="1"/>
  <c r="AV93" i="1"/>
  <c r="BJ35" i="3"/>
  <c r="BE35" i="3"/>
  <c r="BE34" i="3"/>
  <c r="BF34" i="3" s="1"/>
  <c r="BE33" i="3"/>
  <c r="BF33" i="3" s="1"/>
  <c r="BE32" i="3"/>
  <c r="BF32" i="3" s="1"/>
  <c r="BE31" i="3"/>
  <c r="BE30" i="3"/>
  <c r="BF30" i="3" s="1"/>
  <c r="BE29" i="3"/>
  <c r="BF29" i="3" s="1"/>
  <c r="AU35" i="3"/>
  <c r="AU34" i="3"/>
  <c r="AU33" i="3"/>
  <c r="AU32" i="3"/>
  <c r="AU31" i="3"/>
  <c r="AU30" i="3"/>
  <c r="AU29" i="3"/>
  <c r="AZ35" i="3"/>
  <c r="AZ34" i="3"/>
  <c r="AZ33" i="3"/>
  <c r="AZ32" i="3"/>
  <c r="AZ31" i="3"/>
  <c r="AZ30" i="3"/>
  <c r="AZ29" i="3"/>
  <c r="AU26" i="3"/>
  <c r="AU25" i="3"/>
  <c r="AU24" i="3"/>
  <c r="AU23" i="3"/>
  <c r="AU22" i="3"/>
  <c r="AZ26" i="3"/>
  <c r="AZ25" i="3"/>
  <c r="AZ24" i="3"/>
  <c r="AZ23" i="3"/>
  <c r="AZ22" i="3"/>
  <c r="BE26" i="3"/>
  <c r="BF26" i="3" s="1"/>
  <c r="BE25" i="3"/>
  <c r="BF25" i="3" s="1"/>
  <c r="BE24" i="3"/>
  <c r="BF24" i="3" s="1"/>
  <c r="BE23" i="3"/>
  <c r="BF23" i="3" s="1"/>
  <c r="BJ13" i="3"/>
  <c r="BJ12" i="3"/>
  <c r="BJ11" i="3"/>
  <c r="BJ10" i="3"/>
  <c r="BJ9" i="3"/>
  <c r="D8" i="10" s="1"/>
  <c r="AU19" i="3"/>
  <c r="AU18" i="3"/>
  <c r="AU17" i="3"/>
  <c r="AU16" i="3"/>
  <c r="AU15" i="3"/>
  <c r="AU13" i="3"/>
  <c r="AU12" i="3"/>
  <c r="AU11" i="3"/>
  <c r="AU10" i="3"/>
  <c r="AU9" i="3"/>
  <c r="AZ19" i="3"/>
  <c r="AZ18" i="3"/>
  <c r="AZ17" i="3"/>
  <c r="AZ16" i="3"/>
  <c r="AZ15" i="3"/>
  <c r="AZ13" i="3"/>
  <c r="AZ12" i="3"/>
  <c r="AZ11" i="3"/>
  <c r="AZ10" i="3"/>
  <c r="AZ9" i="3"/>
  <c r="BE19" i="3"/>
  <c r="BE18" i="3"/>
  <c r="BE17" i="3"/>
  <c r="BE16" i="3"/>
  <c r="BE13" i="3"/>
  <c r="BE12" i="3"/>
  <c r="BE11" i="3"/>
  <c r="BE10" i="3"/>
  <c r="BF36" i="3"/>
  <c r="BE36" i="3"/>
  <c r="F49" i="13" s="1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BC46" i="2"/>
  <c r="BC48" i="2" s="1"/>
  <c r="BB46" i="2"/>
  <c r="BB48" i="2" s="1"/>
  <c r="BA46" i="2"/>
  <c r="BA48" i="2" s="1"/>
  <c r="AZ46" i="2"/>
  <c r="AY46" i="2"/>
  <c r="AY48" i="2" s="1"/>
  <c r="AX46" i="2"/>
  <c r="AX48" i="2" s="1"/>
  <c r="AW46" i="2"/>
  <c r="AW48" i="2" s="1"/>
  <c r="AV46" i="2"/>
  <c r="AV48" i="2" s="1"/>
  <c r="AU46" i="2"/>
  <c r="AT46" i="2"/>
  <c r="AT48" i="2" s="1"/>
  <c r="AS46" i="2"/>
  <c r="AS48" i="2" s="1"/>
  <c r="AR46" i="2"/>
  <c r="AR48" i="2" s="1"/>
  <c r="AQ46" i="2"/>
  <c r="AQ48" i="2" s="1"/>
  <c r="AP46" i="2"/>
  <c r="AO46" i="2"/>
  <c r="AO48" i="2" s="1"/>
  <c r="AN46" i="2"/>
  <c r="AN48" i="2" s="1"/>
  <c r="AM46" i="2"/>
  <c r="AM48" i="2" s="1"/>
  <c r="AL46" i="2"/>
  <c r="AL48" i="2" s="1"/>
  <c r="AK46" i="2"/>
  <c r="AK48" i="2" s="1"/>
  <c r="AJ46" i="2"/>
  <c r="AJ48" i="2" s="1"/>
  <c r="AI46" i="2"/>
  <c r="AI48" i="2" s="1"/>
  <c r="AH46" i="2"/>
  <c r="AH48" i="2" s="1"/>
  <c r="AG46" i="2"/>
  <c r="AG48" i="2" s="1"/>
  <c r="AF46" i="2"/>
  <c r="AF48" i="2" s="1"/>
  <c r="AE46" i="2"/>
  <c r="AE48" i="2" s="1"/>
  <c r="AD46" i="2"/>
  <c r="AD48" i="2" s="1"/>
  <c r="AC46" i="2"/>
  <c r="AC48" i="2" s="1"/>
  <c r="AB46" i="2"/>
  <c r="AB48" i="2" s="1"/>
  <c r="AA46" i="2"/>
  <c r="AA48" i="2" s="1"/>
  <c r="Z46" i="2"/>
  <c r="Z48" i="2" s="1"/>
  <c r="Y46" i="2"/>
  <c r="Y48" i="2" s="1"/>
  <c r="X46" i="2"/>
  <c r="X48" i="2" s="1"/>
  <c r="W46" i="2"/>
  <c r="W48" i="2" s="1"/>
  <c r="V46" i="2"/>
  <c r="V48" i="2" s="1"/>
  <c r="U46" i="2"/>
  <c r="U48" i="2" s="1"/>
  <c r="T46" i="2"/>
  <c r="T48" i="2" s="1"/>
  <c r="S46" i="2"/>
  <c r="S48" i="2" s="1"/>
  <c r="R46" i="2"/>
  <c r="R48" i="2" s="1"/>
  <c r="Q46" i="2"/>
  <c r="Q48" i="2" s="1"/>
  <c r="P46" i="2"/>
  <c r="P48" i="2" s="1"/>
  <c r="O46" i="2"/>
  <c r="O48" i="2" s="1"/>
  <c r="N46" i="2"/>
  <c r="N48" i="2" s="1"/>
  <c r="M46" i="2"/>
  <c r="M48" i="2" s="1"/>
  <c r="L46" i="2"/>
  <c r="L48" i="2" s="1"/>
  <c r="K46" i="2"/>
  <c r="K48" i="2" s="1"/>
  <c r="J46" i="2"/>
  <c r="J48" i="2" s="1"/>
  <c r="I46" i="2"/>
  <c r="I48" i="2" s="1"/>
  <c r="H46" i="2"/>
  <c r="H48" i="2" s="1"/>
  <c r="G46" i="2"/>
  <c r="G48" i="2" s="1"/>
  <c r="F46" i="2"/>
  <c r="F48" i="2" s="1"/>
  <c r="E46" i="2"/>
  <c r="E48" i="2" s="1"/>
  <c r="BC40" i="2"/>
  <c r="BC49" i="2" s="1"/>
  <c r="BB40" i="2"/>
  <c r="BB49" i="2" s="1"/>
  <c r="BA40" i="2"/>
  <c r="BA49" i="2" s="1"/>
  <c r="AZ40" i="2"/>
  <c r="AY40" i="2"/>
  <c r="AY49" i="2" s="1"/>
  <c r="AX40" i="2"/>
  <c r="AX49" i="2" s="1"/>
  <c r="AW40" i="2"/>
  <c r="AW49" i="2" s="1"/>
  <c r="AV40" i="2"/>
  <c r="AV49" i="2" s="1"/>
  <c r="AU40" i="2"/>
  <c r="AT40" i="2"/>
  <c r="AT49" i="2" s="1"/>
  <c r="AS40" i="2"/>
  <c r="AS49" i="2" s="1"/>
  <c r="AR40" i="2"/>
  <c r="AR49" i="2" s="1"/>
  <c r="AQ40" i="2"/>
  <c r="AQ49" i="2" s="1"/>
  <c r="AP40" i="2"/>
  <c r="AO40" i="2"/>
  <c r="AO49" i="2" s="1"/>
  <c r="AN40" i="2"/>
  <c r="AN49" i="2" s="1"/>
  <c r="AM40" i="2"/>
  <c r="AM49" i="2" s="1"/>
  <c r="AL40" i="2"/>
  <c r="AL49" i="2" s="1"/>
  <c r="AK40" i="2"/>
  <c r="AK49" i="2" s="1"/>
  <c r="AJ40" i="2"/>
  <c r="AJ49" i="2" s="1"/>
  <c r="AI40" i="2"/>
  <c r="AI49" i="2" s="1"/>
  <c r="AH40" i="2"/>
  <c r="AH49" i="2" s="1"/>
  <c r="AG40" i="2"/>
  <c r="AG49" i="2" s="1"/>
  <c r="AF40" i="2"/>
  <c r="AF49" i="2" s="1"/>
  <c r="AE40" i="2"/>
  <c r="AE49" i="2" s="1"/>
  <c r="AD40" i="2"/>
  <c r="AD49" i="2" s="1"/>
  <c r="AC40" i="2"/>
  <c r="AC49" i="2" s="1"/>
  <c r="AB40" i="2"/>
  <c r="AB49" i="2" s="1"/>
  <c r="AA40" i="2"/>
  <c r="AA49" i="2" s="1"/>
  <c r="Z40" i="2"/>
  <c r="Z49" i="2" s="1"/>
  <c r="Y40" i="2"/>
  <c r="Y49" i="2" s="1"/>
  <c r="X40" i="2"/>
  <c r="X49" i="2" s="1"/>
  <c r="W40" i="2"/>
  <c r="W49" i="2" s="1"/>
  <c r="V40" i="2"/>
  <c r="V49" i="2" s="1"/>
  <c r="U40" i="2"/>
  <c r="U49" i="2" s="1"/>
  <c r="T40" i="2"/>
  <c r="T49" i="2" s="1"/>
  <c r="S40" i="2"/>
  <c r="S49" i="2" s="1"/>
  <c r="R40" i="2"/>
  <c r="R49" i="2" s="1"/>
  <c r="Q40" i="2"/>
  <c r="Q49" i="2" s="1"/>
  <c r="P40" i="2"/>
  <c r="P49" i="2" s="1"/>
  <c r="O40" i="2"/>
  <c r="O49" i="2" s="1"/>
  <c r="N40" i="2"/>
  <c r="N49" i="2" s="1"/>
  <c r="M40" i="2"/>
  <c r="M49" i="2" s="1"/>
  <c r="L40" i="2"/>
  <c r="L49" i="2" s="1"/>
  <c r="K40" i="2"/>
  <c r="K49" i="2" s="1"/>
  <c r="J40" i="2"/>
  <c r="J49" i="2" s="1"/>
  <c r="I40" i="2"/>
  <c r="I49" i="2" s="1"/>
  <c r="H40" i="2"/>
  <c r="H49" i="2" s="1"/>
  <c r="G40" i="2"/>
  <c r="G49" i="2" s="1"/>
  <c r="F40" i="2"/>
  <c r="F49" i="2" s="1"/>
  <c r="E40" i="2"/>
  <c r="E49" i="2" s="1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BC25" i="2"/>
  <c r="BB25" i="2"/>
  <c r="BA25" i="2"/>
  <c r="AZ25" i="2"/>
  <c r="E8" i="6" s="1"/>
  <c r="AY25" i="2"/>
  <c r="AX25" i="2"/>
  <c r="AW25" i="2"/>
  <c r="AV25" i="2"/>
  <c r="AU25" i="2"/>
  <c r="D8" i="6" s="1"/>
  <c r="AT25" i="2"/>
  <c r="AS25" i="2"/>
  <c r="AR25" i="2"/>
  <c r="AQ25" i="2"/>
  <c r="AP25" i="2"/>
  <c r="C8" i="6" s="1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BC12" i="2"/>
  <c r="BC51" i="2" s="1"/>
  <c r="BB12" i="2"/>
  <c r="BB51" i="2" s="1"/>
  <c r="BA12" i="2"/>
  <c r="BA51" i="2" s="1"/>
  <c r="AZ12" i="2"/>
  <c r="AY12" i="2"/>
  <c r="AY51" i="2" s="1"/>
  <c r="AX12" i="2"/>
  <c r="AX51" i="2" s="1"/>
  <c r="AW12" i="2"/>
  <c r="AW51" i="2" s="1"/>
  <c r="AV12" i="2"/>
  <c r="AV51" i="2" s="1"/>
  <c r="AU12" i="2"/>
  <c r="AT12" i="2"/>
  <c r="AT51" i="2" s="1"/>
  <c r="AS12" i="2"/>
  <c r="AS51" i="2" s="1"/>
  <c r="AR12" i="2"/>
  <c r="AR51" i="2" s="1"/>
  <c r="AQ12" i="2"/>
  <c r="AQ51" i="2" s="1"/>
  <c r="AP12" i="2"/>
  <c r="AO12" i="2"/>
  <c r="AO51" i="2" s="1"/>
  <c r="AN12" i="2"/>
  <c r="AN51" i="2" s="1"/>
  <c r="AM12" i="2"/>
  <c r="AM51" i="2" s="1"/>
  <c r="AL12" i="2"/>
  <c r="AL51" i="2" s="1"/>
  <c r="AK12" i="2"/>
  <c r="AK51" i="2" s="1"/>
  <c r="AJ12" i="2"/>
  <c r="AJ51" i="2" s="1"/>
  <c r="AI12" i="2"/>
  <c r="AI51" i="2" s="1"/>
  <c r="AH12" i="2"/>
  <c r="AH51" i="2" s="1"/>
  <c r="AG12" i="2"/>
  <c r="AG51" i="2" s="1"/>
  <c r="AF12" i="2"/>
  <c r="AF51" i="2" s="1"/>
  <c r="AE12" i="2"/>
  <c r="AE51" i="2" s="1"/>
  <c r="AD12" i="2"/>
  <c r="AD51" i="2" s="1"/>
  <c r="AC12" i="2"/>
  <c r="AC51" i="2" s="1"/>
  <c r="AB12" i="2"/>
  <c r="AB51" i="2" s="1"/>
  <c r="AA12" i="2"/>
  <c r="AA51" i="2" s="1"/>
  <c r="Z12" i="2"/>
  <c r="Z51" i="2" s="1"/>
  <c r="Y12" i="2"/>
  <c r="Y51" i="2" s="1"/>
  <c r="X12" i="2"/>
  <c r="X51" i="2" s="1"/>
  <c r="W12" i="2"/>
  <c r="W51" i="2" s="1"/>
  <c r="V12" i="2"/>
  <c r="V51" i="2" s="1"/>
  <c r="U12" i="2"/>
  <c r="U51" i="2" s="1"/>
  <c r="T12" i="2"/>
  <c r="T51" i="2" s="1"/>
  <c r="S12" i="2"/>
  <c r="S51" i="2" s="1"/>
  <c r="R12" i="2"/>
  <c r="R51" i="2" s="1"/>
  <c r="Q12" i="2"/>
  <c r="Q51" i="2" s="1"/>
  <c r="P12" i="2"/>
  <c r="P51" i="2" s="1"/>
  <c r="O12" i="2"/>
  <c r="O51" i="2" s="1"/>
  <c r="N12" i="2"/>
  <c r="N51" i="2" s="1"/>
  <c r="M12" i="2"/>
  <c r="M51" i="2" s="1"/>
  <c r="L12" i="2"/>
  <c r="L51" i="2" s="1"/>
  <c r="K12" i="2"/>
  <c r="K51" i="2" s="1"/>
  <c r="J12" i="2"/>
  <c r="J51" i="2" s="1"/>
  <c r="I12" i="2"/>
  <c r="I51" i="2" s="1"/>
  <c r="H12" i="2"/>
  <c r="H51" i="2" s="1"/>
  <c r="G12" i="2"/>
  <c r="G51" i="2" s="1"/>
  <c r="F12" i="2"/>
  <c r="F51" i="2" s="1"/>
  <c r="E12" i="2"/>
  <c r="E51" i="2" s="1"/>
  <c r="BF36" i="1"/>
  <c r="BG36" i="1" s="1"/>
  <c r="BH36" i="1" s="1"/>
  <c r="BI36" i="1" s="1"/>
  <c r="AU29" i="1"/>
  <c r="D14" i="13" s="1"/>
  <c r="AZ30" i="1"/>
  <c r="E15" i="13" s="1"/>
  <c r="AZ29" i="1"/>
  <c r="J88" i="1"/>
  <c r="I88" i="1"/>
  <c r="H88" i="1"/>
  <c r="G88" i="1"/>
  <c r="F88" i="1"/>
  <c r="J87" i="1"/>
  <c r="I87" i="1"/>
  <c r="H87" i="1"/>
  <c r="G87" i="1"/>
  <c r="F87" i="1"/>
  <c r="J85" i="1"/>
  <c r="I85" i="1"/>
  <c r="H85" i="1"/>
  <c r="G85" i="1"/>
  <c r="F85" i="1"/>
  <c r="J84" i="1"/>
  <c r="I84" i="1"/>
  <c r="H84" i="1"/>
  <c r="G84" i="1"/>
  <c r="F84" i="1"/>
  <c r="J83" i="1"/>
  <c r="I83" i="1"/>
  <c r="H83" i="1"/>
  <c r="G83" i="1"/>
  <c r="F83" i="1"/>
  <c r="J80" i="1"/>
  <c r="I80" i="1"/>
  <c r="H80" i="1"/>
  <c r="G80" i="1"/>
  <c r="F80" i="1"/>
  <c r="J79" i="1"/>
  <c r="I79" i="1"/>
  <c r="H79" i="1"/>
  <c r="G79" i="1"/>
  <c r="F79" i="1"/>
  <c r="J78" i="1"/>
  <c r="I78" i="1"/>
  <c r="H78" i="1"/>
  <c r="G78" i="1"/>
  <c r="F78" i="1"/>
  <c r="J77" i="1"/>
  <c r="I77" i="1"/>
  <c r="H77" i="1"/>
  <c r="G77" i="1"/>
  <c r="F77" i="1"/>
  <c r="J76" i="1"/>
  <c r="I76" i="1"/>
  <c r="H76" i="1"/>
  <c r="G76" i="1"/>
  <c r="F76" i="1"/>
  <c r="J74" i="1"/>
  <c r="I74" i="1"/>
  <c r="H74" i="1"/>
  <c r="G74" i="1"/>
  <c r="F74" i="1"/>
  <c r="J73" i="1"/>
  <c r="I73" i="1"/>
  <c r="H73" i="1"/>
  <c r="G73" i="1"/>
  <c r="F73" i="1"/>
  <c r="E88" i="1"/>
  <c r="E87" i="1"/>
  <c r="E85" i="1"/>
  <c r="E84" i="1"/>
  <c r="E83" i="1"/>
  <c r="E80" i="1"/>
  <c r="E79" i="1"/>
  <c r="E78" i="1"/>
  <c r="E77" i="1"/>
  <c r="E76" i="1"/>
  <c r="E74" i="1"/>
  <c r="E73" i="1"/>
  <c r="AY61" i="1"/>
  <c r="AX61" i="1"/>
  <c r="AW61" i="1"/>
  <c r="AV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AY60" i="1"/>
  <c r="AX60" i="1"/>
  <c r="AW60" i="1"/>
  <c r="AV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AY45" i="1"/>
  <c r="AX45" i="1"/>
  <c r="AW45" i="1"/>
  <c r="AV45" i="1"/>
  <c r="AT45" i="1"/>
  <c r="AS45" i="1"/>
  <c r="AR45" i="1"/>
  <c r="AQ45" i="1"/>
  <c r="AO45" i="1"/>
  <c r="AN45" i="1"/>
  <c r="AM45" i="1"/>
  <c r="AL45" i="1"/>
  <c r="AJ45" i="1"/>
  <c r="AI45" i="1"/>
  <c r="AH45" i="1"/>
  <c r="AG45" i="1"/>
  <c r="AE45" i="1"/>
  <c r="AD45" i="1"/>
  <c r="AC45" i="1"/>
  <c r="AB45" i="1"/>
  <c r="Z45" i="1"/>
  <c r="Y45" i="1"/>
  <c r="X45" i="1"/>
  <c r="W45" i="1"/>
  <c r="U45" i="1"/>
  <c r="T45" i="1"/>
  <c r="S45" i="1"/>
  <c r="R45" i="1"/>
  <c r="AY44" i="1"/>
  <c r="AX44" i="1"/>
  <c r="AW44" i="1"/>
  <c r="AV44" i="1"/>
  <c r="AT44" i="1"/>
  <c r="AS44" i="1"/>
  <c r="AR44" i="1"/>
  <c r="AQ44" i="1"/>
  <c r="AO44" i="1"/>
  <c r="AN44" i="1"/>
  <c r="AM44" i="1"/>
  <c r="AL44" i="1"/>
  <c r="AJ44" i="1"/>
  <c r="AI44" i="1"/>
  <c r="AH44" i="1"/>
  <c r="AG44" i="1"/>
  <c r="AE44" i="1"/>
  <c r="AD44" i="1"/>
  <c r="AC44" i="1"/>
  <c r="AB44" i="1"/>
  <c r="Z44" i="1"/>
  <c r="Y44" i="1"/>
  <c r="X44" i="1"/>
  <c r="W44" i="1"/>
  <c r="U44" i="1"/>
  <c r="T44" i="1"/>
  <c r="S44" i="1"/>
  <c r="R44" i="1"/>
  <c r="AY43" i="1"/>
  <c r="AX43" i="1"/>
  <c r="AW43" i="1"/>
  <c r="AV43" i="1"/>
  <c r="AT43" i="1"/>
  <c r="AS43" i="1"/>
  <c r="AR43" i="1"/>
  <c r="AQ43" i="1"/>
  <c r="AO43" i="1"/>
  <c r="AN43" i="1"/>
  <c r="AY42" i="1"/>
  <c r="AX42" i="1"/>
  <c r="AW42" i="1"/>
  <c r="AV42" i="1"/>
  <c r="AT42" i="1"/>
  <c r="AS42" i="1"/>
  <c r="AR42" i="1"/>
  <c r="AQ42" i="1"/>
  <c r="AO42" i="1"/>
  <c r="AN42" i="1"/>
  <c r="AM42" i="1"/>
  <c r="AL42" i="1"/>
  <c r="AJ42" i="1"/>
  <c r="AI42" i="1"/>
  <c r="AH42" i="1"/>
  <c r="AG42" i="1"/>
  <c r="AE42" i="1"/>
  <c r="AD42" i="1"/>
  <c r="AC42" i="1"/>
  <c r="AB42" i="1"/>
  <c r="Z42" i="1"/>
  <c r="Y42" i="1"/>
  <c r="X42" i="1"/>
  <c r="W42" i="1"/>
  <c r="U42" i="1"/>
  <c r="T42" i="1"/>
  <c r="S42" i="1"/>
  <c r="R42" i="1"/>
  <c r="AY41" i="1"/>
  <c r="AX41" i="1"/>
  <c r="AW41" i="1"/>
  <c r="AV41" i="1"/>
  <c r="AT41" i="1"/>
  <c r="AS41" i="1"/>
  <c r="AR41" i="1"/>
  <c r="AQ41" i="1"/>
  <c r="AO41" i="1"/>
  <c r="AN41" i="1"/>
  <c r="AM41" i="1"/>
  <c r="AL41" i="1"/>
  <c r="AJ41" i="1"/>
  <c r="AI41" i="1"/>
  <c r="AH41" i="1"/>
  <c r="AG41" i="1"/>
  <c r="AE41" i="1"/>
  <c r="AD41" i="1"/>
  <c r="AC41" i="1"/>
  <c r="AB41" i="1"/>
  <c r="Z41" i="1"/>
  <c r="Y41" i="1"/>
  <c r="X41" i="1"/>
  <c r="W41" i="1"/>
  <c r="U41" i="1"/>
  <c r="T41" i="1"/>
  <c r="S41" i="1"/>
  <c r="R41" i="1"/>
  <c r="AY40" i="1"/>
  <c r="AX40" i="1"/>
  <c r="AW40" i="1"/>
  <c r="AV40" i="1"/>
  <c r="AT40" i="1"/>
  <c r="AS40" i="1"/>
  <c r="AR40" i="1"/>
  <c r="AQ40" i="1"/>
  <c r="AO40" i="1"/>
  <c r="AN40" i="1"/>
  <c r="AM40" i="1"/>
  <c r="AL40" i="1"/>
  <c r="AJ40" i="1"/>
  <c r="AI40" i="1"/>
  <c r="AH40" i="1"/>
  <c r="AG40" i="1"/>
  <c r="AE40" i="1"/>
  <c r="AD40" i="1"/>
  <c r="AC40" i="1"/>
  <c r="AB40" i="1"/>
  <c r="Z40" i="1"/>
  <c r="Y40" i="1"/>
  <c r="AY39" i="1"/>
  <c r="AX39" i="1"/>
  <c r="AW39" i="1"/>
  <c r="AV39" i="1"/>
  <c r="AT39" i="1"/>
  <c r="AS39" i="1"/>
  <c r="AR39" i="1"/>
  <c r="AQ39" i="1"/>
  <c r="AO39" i="1"/>
  <c r="AN39" i="1"/>
  <c r="AM39" i="1"/>
  <c r="AL39" i="1"/>
  <c r="AJ39" i="1"/>
  <c r="AI39" i="1"/>
  <c r="AH39" i="1"/>
  <c r="AG39" i="1"/>
  <c r="AE39" i="1"/>
  <c r="AD39" i="1"/>
  <c r="AC39" i="1"/>
  <c r="AB39" i="1"/>
  <c r="Z39" i="1"/>
  <c r="Y39" i="1"/>
  <c r="X39" i="1"/>
  <c r="W39" i="1"/>
  <c r="U39" i="1"/>
  <c r="T39" i="1"/>
  <c r="S39" i="1"/>
  <c r="R39" i="1"/>
  <c r="Q61" i="1"/>
  <c r="Q60" i="1"/>
  <c r="Q58" i="1"/>
  <c r="Q57" i="1"/>
  <c r="Q56" i="1"/>
  <c r="Q53" i="1"/>
  <c r="Q52" i="1"/>
  <c r="Q51" i="1"/>
  <c r="Q50" i="1"/>
  <c r="Q49" i="1"/>
  <c r="Q47" i="1"/>
  <c r="AZ14" i="1"/>
  <c r="AZ13" i="1"/>
  <c r="AZ12" i="1"/>
  <c r="AZ11" i="1"/>
  <c r="AZ10" i="1"/>
  <c r="AZ9" i="1"/>
  <c r="AZ15" i="1" s="1"/>
  <c r="E6" i="13" s="1"/>
  <c r="AZ8" i="1"/>
  <c r="AP14" i="1"/>
  <c r="AP13" i="1"/>
  <c r="AP12" i="1"/>
  <c r="AP11" i="1"/>
  <c r="AP10" i="1"/>
  <c r="AP9" i="1"/>
  <c r="AU14" i="1"/>
  <c r="AU13" i="1"/>
  <c r="AU12" i="1"/>
  <c r="AU11" i="1"/>
  <c r="AU10" i="1"/>
  <c r="AU9" i="1"/>
  <c r="AU8" i="1"/>
  <c r="AK14" i="1"/>
  <c r="AK13" i="1"/>
  <c r="AK12" i="1"/>
  <c r="AK11" i="1"/>
  <c r="AK10" i="1"/>
  <c r="AK9" i="1"/>
  <c r="AK8" i="1"/>
  <c r="AF14" i="1"/>
  <c r="AF13" i="1"/>
  <c r="AF12" i="1"/>
  <c r="AF11" i="1"/>
  <c r="AF10" i="1"/>
  <c r="AF9" i="1"/>
  <c r="AF8" i="1"/>
  <c r="AF15" i="1" s="1"/>
  <c r="AA14" i="1"/>
  <c r="AA13" i="1"/>
  <c r="AA12" i="1"/>
  <c r="AA11" i="1"/>
  <c r="AA10" i="1"/>
  <c r="AA9" i="1"/>
  <c r="AA8" i="1"/>
  <c r="V14" i="1"/>
  <c r="V13" i="1"/>
  <c r="V12" i="1"/>
  <c r="V11" i="1"/>
  <c r="V10" i="1"/>
  <c r="V9" i="1"/>
  <c r="V8" i="1"/>
  <c r="Q14" i="1"/>
  <c r="Q13" i="1"/>
  <c r="Q12" i="1"/>
  <c r="Q11" i="1"/>
  <c r="Q10" i="1"/>
  <c r="Q41" i="1" s="1"/>
  <c r="Q9" i="1"/>
  <c r="Q8" i="1"/>
  <c r="Q39" i="1" s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J81" i="1"/>
  <c r="F81" i="1"/>
  <c r="E81" i="1"/>
  <c r="BC15" i="1"/>
  <c r="BB15" i="1"/>
  <c r="BA15" i="1"/>
  <c r="AY15" i="1"/>
  <c r="AX15" i="1"/>
  <c r="AW15" i="1"/>
  <c r="AV15" i="1"/>
  <c r="AT15" i="1"/>
  <c r="AS15" i="1"/>
  <c r="AR15" i="1"/>
  <c r="AQ15" i="1"/>
  <c r="AO15" i="1"/>
  <c r="AN15" i="1"/>
  <c r="AM15" i="1"/>
  <c r="AL15" i="1"/>
  <c r="AJ15" i="1"/>
  <c r="AI15" i="1"/>
  <c r="AH15" i="1"/>
  <c r="AG15" i="1"/>
  <c r="AE15" i="1"/>
  <c r="AD15" i="1"/>
  <c r="AC15" i="1"/>
  <c r="AB15" i="1"/>
  <c r="Z15" i="1"/>
  <c r="Y15" i="1"/>
  <c r="X15" i="1"/>
  <c r="W15" i="1"/>
  <c r="U15" i="1"/>
  <c r="T15" i="1"/>
  <c r="S15" i="1"/>
  <c r="R15" i="1"/>
  <c r="O15" i="1"/>
  <c r="N15" i="1"/>
  <c r="P15" i="1"/>
  <c r="BE108" i="1" l="1"/>
  <c r="BE107" i="1"/>
  <c r="BE102" i="1"/>
  <c r="BG107" i="1"/>
  <c r="BE104" i="1"/>
  <c r="BB109" i="1"/>
  <c r="BB110" i="1" s="1"/>
  <c r="BG106" i="1"/>
  <c r="Q14" i="10"/>
  <c r="P17" i="10" s="1"/>
  <c r="BC109" i="1"/>
  <c r="BC110" i="1" s="1"/>
  <c r="BE103" i="1"/>
  <c r="BE109" i="1" s="1"/>
  <c r="BB113" i="1"/>
  <c r="BB116" i="1" s="1"/>
  <c r="BA113" i="1"/>
  <c r="BA116" i="1" s="1"/>
  <c r="L24" i="1"/>
  <c r="L28" i="1" s="1"/>
  <c r="L31" i="1" s="1"/>
  <c r="L33" i="1" s="1"/>
  <c r="BH106" i="1"/>
  <c r="BF107" i="1"/>
  <c r="BF103" i="1"/>
  <c r="BH108" i="1"/>
  <c r="BF106" i="1"/>
  <c r="BG105" i="1"/>
  <c r="BH104" i="1"/>
  <c r="BF102" i="1"/>
  <c r="BF108" i="1"/>
  <c r="BF104" i="1"/>
  <c r="BH102" i="1"/>
  <c r="BH105" i="1"/>
  <c r="H24" i="1"/>
  <c r="H28" i="1" s="1"/>
  <c r="H31" i="1" s="1"/>
  <c r="BG108" i="1"/>
  <c r="BH107" i="1"/>
  <c r="BF105" i="1"/>
  <c r="BG104" i="1"/>
  <c r="BH103" i="1"/>
  <c r="G24" i="1"/>
  <c r="G28" i="1" s="1"/>
  <c r="G31" i="1" s="1"/>
  <c r="F24" i="1"/>
  <c r="F28" i="1" s="1"/>
  <c r="F31" i="1" s="1"/>
  <c r="BF15" i="1"/>
  <c r="BF46" i="1" s="1"/>
  <c r="AZ60" i="1"/>
  <c r="BJ36" i="1"/>
  <c r="G18" i="13" s="1"/>
  <c r="K24" i="1"/>
  <c r="K28" i="1" s="1"/>
  <c r="K31" i="1" s="1"/>
  <c r="BG15" i="1"/>
  <c r="BG22" i="1" s="1"/>
  <c r="BG53" i="1" s="1"/>
  <c r="AK15" i="1"/>
  <c r="AK87" i="1" s="1"/>
  <c r="BH15" i="1"/>
  <c r="BH27" i="1" s="1"/>
  <c r="BH58" i="1" s="1"/>
  <c r="BE9" i="3"/>
  <c r="C8" i="10" s="1"/>
  <c r="BG93" i="1"/>
  <c r="AZ61" i="1"/>
  <c r="I24" i="1"/>
  <c r="I28" i="1" s="1"/>
  <c r="I31" i="1" s="1"/>
  <c r="E24" i="1"/>
  <c r="E28" i="1" s="1"/>
  <c r="E31" i="1" s="1"/>
  <c r="M24" i="1"/>
  <c r="M28" i="1" s="1"/>
  <c r="M31" i="1" s="1"/>
  <c r="M33" i="1" s="1"/>
  <c r="G81" i="1"/>
  <c r="BF93" i="1"/>
  <c r="Q15" i="1"/>
  <c r="Q17" i="1" s="1"/>
  <c r="V15" i="1"/>
  <c r="V88" i="1" s="1"/>
  <c r="AA15" i="1"/>
  <c r="AA84" i="1" s="1"/>
  <c r="AU15" i="1"/>
  <c r="D64" i="6" s="1"/>
  <c r="AP15" i="1"/>
  <c r="C6" i="13" s="1"/>
  <c r="BH93" i="1"/>
  <c r="G32" i="1"/>
  <c r="G33" i="1"/>
  <c r="J32" i="1"/>
  <c r="J33" i="1"/>
  <c r="F32" i="1"/>
  <c r="F33" i="1"/>
  <c r="K32" i="1"/>
  <c r="K33" i="1"/>
  <c r="H32" i="1"/>
  <c r="H33" i="1"/>
  <c r="I32" i="1"/>
  <c r="I33" i="1"/>
  <c r="E32" i="1"/>
  <c r="E33" i="1"/>
  <c r="D15" i="13"/>
  <c r="AU60" i="1"/>
  <c r="BA46" i="1"/>
  <c r="BB46" i="1"/>
  <c r="BC46" i="1"/>
  <c r="BA54" i="1"/>
  <c r="BB54" i="1"/>
  <c r="BC54" i="1"/>
  <c r="BE61" i="1"/>
  <c r="J13" i="12"/>
  <c r="BD10" i="1" s="1"/>
  <c r="BE10" i="1" s="1"/>
  <c r="BE41" i="1" s="1"/>
  <c r="J14" i="12"/>
  <c r="BD11" i="1" s="1"/>
  <c r="BE11" i="1" s="1"/>
  <c r="BE42" i="1" s="1"/>
  <c r="J15" i="12"/>
  <c r="BD12" i="1" s="1"/>
  <c r="BE12" i="1" s="1"/>
  <c r="BE43" i="1" s="1"/>
  <c r="J16" i="12"/>
  <c r="BD13" i="1" s="1"/>
  <c r="BE13" i="1" s="1"/>
  <c r="BE44" i="1" s="1"/>
  <c r="J17" i="12"/>
  <c r="BD14" i="1" s="1"/>
  <c r="BE14" i="1" s="1"/>
  <c r="BE45" i="1" s="1"/>
  <c r="M14" i="10"/>
  <c r="J8" i="10" s="1"/>
  <c r="C21" i="10"/>
  <c r="J6" i="10"/>
  <c r="BD28" i="2"/>
  <c r="BE28" i="2" s="1"/>
  <c r="BK38" i="3"/>
  <c r="H50" i="13" s="1"/>
  <c r="G50" i="13"/>
  <c r="BK10" i="3"/>
  <c r="BL10" i="3" s="1"/>
  <c r="BM10" i="3" s="1"/>
  <c r="BK13" i="3"/>
  <c r="BL13" i="3" s="1"/>
  <c r="BM13" i="3" s="1"/>
  <c r="BF29" i="2"/>
  <c r="BG29" i="2" s="1"/>
  <c r="BH29" i="2" s="1"/>
  <c r="BI29" i="2" s="1"/>
  <c r="BJ29" i="2" s="1"/>
  <c r="F38" i="13"/>
  <c r="BF23" i="2"/>
  <c r="F34" i="13"/>
  <c r="BF24" i="2"/>
  <c r="F35" i="13"/>
  <c r="BF17" i="2"/>
  <c r="BG17" i="2" s="1"/>
  <c r="BF22" i="3"/>
  <c r="AZ39" i="1"/>
  <c r="E11" i="12" s="1"/>
  <c r="E14" i="13"/>
  <c r="BE35" i="1"/>
  <c r="F18" i="13"/>
  <c r="BG9" i="2"/>
  <c r="BH9" i="2" s="1"/>
  <c r="BI9" i="2" s="1"/>
  <c r="BG29" i="3"/>
  <c r="BG30" i="3"/>
  <c r="BG32" i="3"/>
  <c r="BG33" i="3"/>
  <c r="BG34" i="3"/>
  <c r="BL38" i="3"/>
  <c r="F25" i="13"/>
  <c r="P16" i="14"/>
  <c r="K16" i="14"/>
  <c r="K17" i="14" s="1"/>
  <c r="E8" i="13"/>
  <c r="F6" i="11"/>
  <c r="C8" i="13"/>
  <c r="D6" i="11"/>
  <c r="C31" i="13"/>
  <c r="C64" i="6"/>
  <c r="C42" i="12"/>
  <c r="C41" i="12"/>
  <c r="E64" i="6"/>
  <c r="E41" i="12"/>
  <c r="E42" i="12"/>
  <c r="D42" i="12"/>
  <c r="BF26" i="1"/>
  <c r="BF57" i="1" s="1"/>
  <c r="BF25" i="1"/>
  <c r="BF56" i="1" s="1"/>
  <c r="BF20" i="1"/>
  <c r="BF51" i="1" s="1"/>
  <c r="BF19" i="1"/>
  <c r="BF50" i="1" s="1"/>
  <c r="BG25" i="1"/>
  <c r="BG56" i="1" s="1"/>
  <c r="BG19" i="1"/>
  <c r="BG50" i="1" s="1"/>
  <c r="BH22" i="1"/>
  <c r="BH53" i="1" s="1"/>
  <c r="BH18" i="1"/>
  <c r="BH49" i="1" s="1"/>
  <c r="BK36" i="1"/>
  <c r="H18" i="13" s="1"/>
  <c r="BJ35" i="1"/>
  <c r="BG15" i="3"/>
  <c r="BF16" i="2"/>
  <c r="BG16" i="2"/>
  <c r="BG35" i="2"/>
  <c r="BF38" i="2"/>
  <c r="BG38" i="2"/>
  <c r="AK52" i="2"/>
  <c r="AP51" i="2"/>
  <c r="AP52" i="2" s="1"/>
  <c r="C7" i="6"/>
  <c r="C6" i="6"/>
  <c r="AU51" i="2"/>
  <c r="AU52" i="2" s="1"/>
  <c r="D7" i="6"/>
  <c r="D6" i="6"/>
  <c r="AZ51" i="2"/>
  <c r="AZ52" i="2" s="1"/>
  <c r="E7" i="6"/>
  <c r="E6" i="6"/>
  <c r="AP49" i="2"/>
  <c r="C67" i="6"/>
  <c r="C54" i="6"/>
  <c r="D33" i="11" s="1"/>
  <c r="D67" i="6"/>
  <c r="D54" i="6"/>
  <c r="E33" i="11" s="1"/>
  <c r="AZ49" i="2"/>
  <c r="E67" i="6"/>
  <c r="E54" i="6"/>
  <c r="F33" i="11" s="1"/>
  <c r="AP48" i="2"/>
  <c r="C24" i="6"/>
  <c r="AU48" i="2"/>
  <c r="D24" i="6"/>
  <c r="AZ48" i="2"/>
  <c r="E24" i="6"/>
  <c r="C55" i="6"/>
  <c r="E55" i="6"/>
  <c r="BD25" i="2"/>
  <c r="BE22" i="2"/>
  <c r="BE27" i="2"/>
  <c r="BD47" i="2"/>
  <c r="C19" i="10"/>
  <c r="BE93" i="1"/>
  <c r="BJ93" i="1"/>
  <c r="AZ93" i="1"/>
  <c r="BG23" i="3"/>
  <c r="BH23" i="3" s="1"/>
  <c r="BI23" i="3" s="1"/>
  <c r="BJ23" i="3"/>
  <c r="BK23" i="3" s="1"/>
  <c r="BL23" i="3" s="1"/>
  <c r="BM23" i="3" s="1"/>
  <c r="BG24" i="3"/>
  <c r="BH24" i="3" s="1"/>
  <c r="BI24" i="3" s="1"/>
  <c r="BJ24" i="3"/>
  <c r="BK24" i="3" s="1"/>
  <c r="BL24" i="3" s="1"/>
  <c r="BM24" i="3" s="1"/>
  <c r="BG25" i="3"/>
  <c r="BH25" i="3" s="1"/>
  <c r="BI25" i="3" s="1"/>
  <c r="BJ25" i="3"/>
  <c r="BK25" i="3" s="1"/>
  <c r="BL25" i="3" s="1"/>
  <c r="BM25" i="3" s="1"/>
  <c r="BG26" i="3"/>
  <c r="BH26" i="3" s="1"/>
  <c r="BI26" i="3" s="1"/>
  <c r="BJ26" i="3"/>
  <c r="BK26" i="3" s="1"/>
  <c r="BL26" i="3" s="1"/>
  <c r="BM26" i="3" s="1"/>
  <c r="BJ37" i="2"/>
  <c r="BK37" i="2" s="1"/>
  <c r="BL37" i="2" s="1"/>
  <c r="BM37" i="2" s="1"/>
  <c r="Q97" i="1"/>
  <c r="V97" i="1"/>
  <c r="AA97" i="1"/>
  <c r="AF97" i="1"/>
  <c r="AK97" i="1"/>
  <c r="AP97" i="1"/>
  <c r="C32" i="6"/>
  <c r="C39" i="6"/>
  <c r="C16" i="6"/>
  <c r="C14" i="6"/>
  <c r="C12" i="6"/>
  <c r="C17" i="6" s="1"/>
  <c r="C20" i="6" s="1"/>
  <c r="C10" i="6"/>
  <c r="AU97" i="1"/>
  <c r="D39" i="6"/>
  <c r="D10" i="6"/>
  <c r="AZ97" i="1"/>
  <c r="E32" i="6"/>
  <c r="E39" i="6"/>
  <c r="E16" i="6"/>
  <c r="E14" i="6"/>
  <c r="E12" i="6"/>
  <c r="E17" i="6" s="1"/>
  <c r="E10" i="6"/>
  <c r="BE97" i="1"/>
  <c r="AU93" i="1"/>
  <c r="E20" i="6"/>
  <c r="AU49" i="2"/>
  <c r="D55" i="6" s="1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E42" i="2"/>
  <c r="F42" i="2"/>
  <c r="F43" i="2" s="1"/>
  <c r="G42" i="2"/>
  <c r="G43" i="2" s="1"/>
  <c r="H42" i="2"/>
  <c r="H43" i="2" s="1"/>
  <c r="I42" i="2"/>
  <c r="I43" i="2" s="1"/>
  <c r="J42" i="2"/>
  <c r="J43" i="2" s="1"/>
  <c r="K42" i="2"/>
  <c r="K43" i="2" s="1"/>
  <c r="L42" i="2"/>
  <c r="L43" i="2" s="1"/>
  <c r="M42" i="2"/>
  <c r="M43" i="2" s="1"/>
  <c r="N42" i="2"/>
  <c r="N43" i="2" s="1"/>
  <c r="O42" i="2"/>
  <c r="O43" i="2" s="1"/>
  <c r="P42" i="2"/>
  <c r="P43" i="2" s="1"/>
  <c r="Q42" i="2"/>
  <c r="Q43" i="2" s="1"/>
  <c r="R42" i="2"/>
  <c r="R43" i="2" s="1"/>
  <c r="S42" i="2"/>
  <c r="S43" i="2" s="1"/>
  <c r="T42" i="2"/>
  <c r="T43" i="2" s="1"/>
  <c r="U42" i="2"/>
  <c r="U43" i="2" s="1"/>
  <c r="V42" i="2"/>
  <c r="V43" i="2" s="1"/>
  <c r="W42" i="2"/>
  <c r="W43" i="2" s="1"/>
  <c r="X42" i="2"/>
  <c r="X43" i="2" s="1"/>
  <c r="Y42" i="2"/>
  <c r="Y43" i="2" s="1"/>
  <c r="Z42" i="2"/>
  <c r="Z43" i="2" s="1"/>
  <c r="AA42" i="2"/>
  <c r="AA43" i="2" s="1"/>
  <c r="AB42" i="2"/>
  <c r="AB43" i="2" s="1"/>
  <c r="AC42" i="2"/>
  <c r="AC43" i="2" s="1"/>
  <c r="AD42" i="2"/>
  <c r="AD43" i="2" s="1"/>
  <c r="AE42" i="2"/>
  <c r="AE43" i="2" s="1"/>
  <c r="AF42" i="2"/>
  <c r="AF43" i="2" s="1"/>
  <c r="AG42" i="2"/>
  <c r="AG43" i="2" s="1"/>
  <c r="AH42" i="2"/>
  <c r="AH43" i="2" s="1"/>
  <c r="AI42" i="2"/>
  <c r="AI43" i="2" s="1"/>
  <c r="AJ42" i="2"/>
  <c r="AJ43" i="2" s="1"/>
  <c r="AK42" i="2"/>
  <c r="AK43" i="2" s="1"/>
  <c r="AL42" i="2"/>
  <c r="AL43" i="2" s="1"/>
  <c r="AM42" i="2"/>
  <c r="AM43" i="2" s="1"/>
  <c r="AN42" i="2"/>
  <c r="AN43" i="2" s="1"/>
  <c r="AO42" i="2"/>
  <c r="AO43" i="2" s="1"/>
  <c r="AP42" i="2"/>
  <c r="AP43" i="2" s="1"/>
  <c r="AQ42" i="2"/>
  <c r="AQ43" i="2" s="1"/>
  <c r="AR42" i="2"/>
  <c r="AR43" i="2" s="1"/>
  <c r="AS42" i="2"/>
  <c r="AS43" i="2" s="1"/>
  <c r="AT42" i="2"/>
  <c r="AT43" i="2" s="1"/>
  <c r="AU42" i="2"/>
  <c r="AU43" i="2" s="1"/>
  <c r="AV42" i="2"/>
  <c r="AV43" i="2" s="1"/>
  <c r="AW42" i="2"/>
  <c r="AW43" i="2" s="1"/>
  <c r="AX42" i="2"/>
  <c r="AX43" i="2" s="1"/>
  <c r="AY42" i="2"/>
  <c r="AY43" i="2" s="1"/>
  <c r="AZ42" i="2"/>
  <c r="AZ43" i="2" s="1"/>
  <c r="BA42" i="2"/>
  <c r="BA43" i="2" s="1"/>
  <c r="BB42" i="2"/>
  <c r="BB43" i="2" s="1"/>
  <c r="BC42" i="2"/>
  <c r="BC43" i="2" s="1"/>
  <c r="K72" i="1"/>
  <c r="K71" i="1"/>
  <c r="K70" i="1"/>
  <c r="K69" i="1"/>
  <c r="K68" i="1"/>
  <c r="K67" i="1"/>
  <c r="K66" i="1"/>
  <c r="K88" i="1"/>
  <c r="K87" i="1"/>
  <c r="K85" i="1"/>
  <c r="K84" i="1"/>
  <c r="K83" i="1"/>
  <c r="K80" i="1"/>
  <c r="K79" i="1"/>
  <c r="K78" i="1"/>
  <c r="K77" i="1"/>
  <c r="K76" i="1"/>
  <c r="K74" i="1"/>
  <c r="K73" i="1"/>
  <c r="L72" i="1"/>
  <c r="L71" i="1"/>
  <c r="L70" i="1"/>
  <c r="L69" i="1"/>
  <c r="L68" i="1"/>
  <c r="L67" i="1"/>
  <c r="L66" i="1"/>
  <c r="L88" i="1"/>
  <c r="L87" i="1"/>
  <c r="L85" i="1"/>
  <c r="L84" i="1"/>
  <c r="L83" i="1"/>
  <c r="L80" i="1"/>
  <c r="L79" i="1"/>
  <c r="L78" i="1"/>
  <c r="L77" i="1"/>
  <c r="L76" i="1"/>
  <c r="L74" i="1"/>
  <c r="L73" i="1"/>
  <c r="M72" i="1"/>
  <c r="M71" i="1"/>
  <c r="M70" i="1"/>
  <c r="M69" i="1"/>
  <c r="M68" i="1"/>
  <c r="M67" i="1"/>
  <c r="M66" i="1"/>
  <c r="M88" i="1"/>
  <c r="M87" i="1"/>
  <c r="M85" i="1"/>
  <c r="M84" i="1"/>
  <c r="M83" i="1"/>
  <c r="M80" i="1"/>
  <c r="M79" i="1"/>
  <c r="M78" i="1"/>
  <c r="M77" i="1"/>
  <c r="M76" i="1"/>
  <c r="M74" i="1"/>
  <c r="M73" i="1"/>
  <c r="P88" i="1"/>
  <c r="P87" i="1"/>
  <c r="P85" i="1"/>
  <c r="P84" i="1"/>
  <c r="P83" i="1"/>
  <c r="P80" i="1"/>
  <c r="P79" i="1"/>
  <c r="P78" i="1"/>
  <c r="P77" i="1"/>
  <c r="P76" i="1"/>
  <c r="P74" i="1"/>
  <c r="P73" i="1"/>
  <c r="P72" i="1"/>
  <c r="P71" i="1"/>
  <c r="P70" i="1"/>
  <c r="P69" i="1"/>
  <c r="P68" i="1"/>
  <c r="P67" i="1"/>
  <c r="P66" i="1"/>
  <c r="P17" i="1"/>
  <c r="N88" i="1"/>
  <c r="N87" i="1"/>
  <c r="N85" i="1"/>
  <c r="N84" i="1"/>
  <c r="N83" i="1"/>
  <c r="N80" i="1"/>
  <c r="N79" i="1"/>
  <c r="N78" i="1"/>
  <c r="N77" i="1"/>
  <c r="N76" i="1"/>
  <c r="N74" i="1"/>
  <c r="N73" i="1"/>
  <c r="N72" i="1"/>
  <c r="N71" i="1"/>
  <c r="N70" i="1"/>
  <c r="N69" i="1"/>
  <c r="N68" i="1"/>
  <c r="N67" i="1"/>
  <c r="N66" i="1"/>
  <c r="N17" i="1"/>
  <c r="O88" i="1"/>
  <c r="O87" i="1"/>
  <c r="O85" i="1"/>
  <c r="O84" i="1"/>
  <c r="O83" i="1"/>
  <c r="O80" i="1"/>
  <c r="O79" i="1"/>
  <c r="O78" i="1"/>
  <c r="O77" i="1"/>
  <c r="O76" i="1"/>
  <c r="O74" i="1"/>
  <c r="O73" i="1"/>
  <c r="O72" i="1"/>
  <c r="O71" i="1"/>
  <c r="O70" i="1"/>
  <c r="O69" i="1"/>
  <c r="O68" i="1"/>
  <c r="O67" i="1"/>
  <c r="O66" i="1"/>
  <c r="O17" i="1"/>
  <c r="R88" i="1"/>
  <c r="R87" i="1"/>
  <c r="R85" i="1"/>
  <c r="R84" i="1"/>
  <c r="R83" i="1"/>
  <c r="R80" i="1"/>
  <c r="R79" i="1"/>
  <c r="R78" i="1"/>
  <c r="R77" i="1"/>
  <c r="R76" i="1"/>
  <c r="R74" i="1"/>
  <c r="R73" i="1"/>
  <c r="R72" i="1"/>
  <c r="R71" i="1"/>
  <c r="R70" i="1"/>
  <c r="R69" i="1"/>
  <c r="R68" i="1"/>
  <c r="R67" i="1"/>
  <c r="R66" i="1"/>
  <c r="R46" i="1"/>
  <c r="R17" i="1"/>
  <c r="S88" i="1"/>
  <c r="S87" i="1"/>
  <c r="S85" i="1"/>
  <c r="S84" i="1"/>
  <c r="S83" i="1"/>
  <c r="S80" i="1"/>
  <c r="S79" i="1"/>
  <c r="S78" i="1"/>
  <c r="S77" i="1"/>
  <c r="S76" i="1"/>
  <c r="S74" i="1"/>
  <c r="S73" i="1"/>
  <c r="S72" i="1"/>
  <c r="S71" i="1"/>
  <c r="S70" i="1"/>
  <c r="S69" i="1"/>
  <c r="S68" i="1"/>
  <c r="S67" i="1"/>
  <c r="S66" i="1"/>
  <c r="S46" i="1"/>
  <c r="S17" i="1"/>
  <c r="T88" i="1"/>
  <c r="T87" i="1"/>
  <c r="T85" i="1"/>
  <c r="T84" i="1"/>
  <c r="T83" i="1"/>
  <c r="T80" i="1"/>
  <c r="T79" i="1"/>
  <c r="T78" i="1"/>
  <c r="T77" i="1"/>
  <c r="T76" i="1"/>
  <c r="T74" i="1"/>
  <c r="T73" i="1"/>
  <c r="T72" i="1"/>
  <c r="T71" i="1"/>
  <c r="T70" i="1"/>
  <c r="T69" i="1"/>
  <c r="T68" i="1"/>
  <c r="T67" i="1"/>
  <c r="T66" i="1"/>
  <c r="T46" i="1"/>
  <c r="T17" i="1"/>
  <c r="U88" i="1"/>
  <c r="U87" i="1"/>
  <c r="U85" i="1"/>
  <c r="U84" i="1"/>
  <c r="U83" i="1"/>
  <c r="U80" i="1"/>
  <c r="U79" i="1"/>
  <c r="U78" i="1"/>
  <c r="U77" i="1"/>
  <c r="U76" i="1"/>
  <c r="U74" i="1"/>
  <c r="U73" i="1"/>
  <c r="U72" i="1"/>
  <c r="U71" i="1"/>
  <c r="U70" i="1"/>
  <c r="U69" i="1"/>
  <c r="U68" i="1"/>
  <c r="U67" i="1"/>
  <c r="U66" i="1"/>
  <c r="U46" i="1"/>
  <c r="U17" i="1"/>
  <c r="V85" i="1"/>
  <c r="V84" i="1"/>
  <c r="V79" i="1"/>
  <c r="V78" i="1"/>
  <c r="V74" i="1"/>
  <c r="V73" i="1"/>
  <c r="W88" i="1"/>
  <c r="W87" i="1"/>
  <c r="W85" i="1"/>
  <c r="W84" i="1"/>
  <c r="W83" i="1"/>
  <c r="W80" i="1"/>
  <c r="W79" i="1"/>
  <c r="W78" i="1"/>
  <c r="W77" i="1"/>
  <c r="W76" i="1"/>
  <c r="W74" i="1"/>
  <c r="W73" i="1"/>
  <c r="W72" i="1"/>
  <c r="W71" i="1"/>
  <c r="W70" i="1"/>
  <c r="W69" i="1"/>
  <c r="W68" i="1"/>
  <c r="W67" i="1"/>
  <c r="W66" i="1"/>
  <c r="W46" i="1"/>
  <c r="W17" i="1"/>
  <c r="X88" i="1"/>
  <c r="X87" i="1"/>
  <c r="X85" i="1"/>
  <c r="X84" i="1"/>
  <c r="X83" i="1"/>
  <c r="X80" i="1"/>
  <c r="X79" i="1"/>
  <c r="X78" i="1"/>
  <c r="X77" i="1"/>
  <c r="X76" i="1"/>
  <c r="X74" i="1"/>
  <c r="X73" i="1"/>
  <c r="X72" i="1"/>
  <c r="X71" i="1"/>
  <c r="X70" i="1"/>
  <c r="X69" i="1"/>
  <c r="X68" i="1"/>
  <c r="X67" i="1"/>
  <c r="X66" i="1"/>
  <c r="X46" i="1"/>
  <c r="X17" i="1"/>
  <c r="Y88" i="1"/>
  <c r="Y87" i="1"/>
  <c r="Y85" i="1"/>
  <c r="Y84" i="1"/>
  <c r="Y83" i="1"/>
  <c r="Y80" i="1"/>
  <c r="Y79" i="1"/>
  <c r="Y78" i="1"/>
  <c r="Y77" i="1"/>
  <c r="Y76" i="1"/>
  <c r="Y74" i="1"/>
  <c r="Y73" i="1"/>
  <c r="Y72" i="1"/>
  <c r="Y71" i="1"/>
  <c r="Y70" i="1"/>
  <c r="Y69" i="1"/>
  <c r="Y68" i="1"/>
  <c r="Y67" i="1"/>
  <c r="Y66" i="1"/>
  <c r="Y46" i="1"/>
  <c r="Y17" i="1"/>
  <c r="Z88" i="1"/>
  <c r="Z87" i="1"/>
  <c r="Z85" i="1"/>
  <c r="Z84" i="1"/>
  <c r="Z83" i="1"/>
  <c r="Z80" i="1"/>
  <c r="Z79" i="1"/>
  <c r="Z78" i="1"/>
  <c r="Z77" i="1"/>
  <c r="Z76" i="1"/>
  <c r="Z74" i="1"/>
  <c r="Z73" i="1"/>
  <c r="Z72" i="1"/>
  <c r="Z71" i="1"/>
  <c r="Z70" i="1"/>
  <c r="Z69" i="1"/>
  <c r="Z68" i="1"/>
  <c r="Z67" i="1"/>
  <c r="Z66" i="1"/>
  <c r="Z46" i="1"/>
  <c r="Z17" i="1"/>
  <c r="AB88" i="1"/>
  <c r="AB87" i="1"/>
  <c r="AB85" i="1"/>
  <c r="AB84" i="1"/>
  <c r="AB83" i="1"/>
  <c r="AB80" i="1"/>
  <c r="AB79" i="1"/>
  <c r="AB78" i="1"/>
  <c r="AB77" i="1"/>
  <c r="AB76" i="1"/>
  <c r="AB74" i="1"/>
  <c r="AB73" i="1"/>
  <c r="AB72" i="1"/>
  <c r="AB71" i="1"/>
  <c r="AB70" i="1"/>
  <c r="AB69" i="1"/>
  <c r="AB68" i="1"/>
  <c r="AB67" i="1"/>
  <c r="AB66" i="1"/>
  <c r="AB46" i="1"/>
  <c r="AB17" i="1"/>
  <c r="AC88" i="1"/>
  <c r="AC87" i="1"/>
  <c r="AC85" i="1"/>
  <c r="AC84" i="1"/>
  <c r="AC83" i="1"/>
  <c r="AC80" i="1"/>
  <c r="AC79" i="1"/>
  <c r="AC78" i="1"/>
  <c r="AC77" i="1"/>
  <c r="AC76" i="1"/>
  <c r="AC74" i="1"/>
  <c r="AC73" i="1"/>
  <c r="AC72" i="1"/>
  <c r="AC71" i="1"/>
  <c r="AC70" i="1"/>
  <c r="AC69" i="1"/>
  <c r="AC68" i="1"/>
  <c r="AC67" i="1"/>
  <c r="AC66" i="1"/>
  <c r="AC46" i="1"/>
  <c r="AC17" i="1"/>
  <c r="AD88" i="1"/>
  <c r="AD87" i="1"/>
  <c r="AD85" i="1"/>
  <c r="AD84" i="1"/>
  <c r="AD83" i="1"/>
  <c r="AD80" i="1"/>
  <c r="AD79" i="1"/>
  <c r="AD78" i="1"/>
  <c r="AD77" i="1"/>
  <c r="AD76" i="1"/>
  <c r="AD74" i="1"/>
  <c r="AD73" i="1"/>
  <c r="AD72" i="1"/>
  <c r="AD71" i="1"/>
  <c r="AD70" i="1"/>
  <c r="AD69" i="1"/>
  <c r="AD68" i="1"/>
  <c r="AD67" i="1"/>
  <c r="AD66" i="1"/>
  <c r="AD46" i="1"/>
  <c r="AD17" i="1"/>
  <c r="AE88" i="1"/>
  <c r="AE87" i="1"/>
  <c r="AE85" i="1"/>
  <c r="AE84" i="1"/>
  <c r="AE83" i="1"/>
  <c r="AE80" i="1"/>
  <c r="AE79" i="1"/>
  <c r="AE78" i="1"/>
  <c r="AE77" i="1"/>
  <c r="AE76" i="1"/>
  <c r="AE74" i="1"/>
  <c r="AE73" i="1"/>
  <c r="AE72" i="1"/>
  <c r="AE71" i="1"/>
  <c r="AE70" i="1"/>
  <c r="AE69" i="1"/>
  <c r="AE68" i="1"/>
  <c r="AE67" i="1"/>
  <c r="AE66" i="1"/>
  <c r="AE46" i="1"/>
  <c r="AE17" i="1"/>
  <c r="AF88" i="1"/>
  <c r="AF87" i="1"/>
  <c r="AF85" i="1"/>
  <c r="AF84" i="1"/>
  <c r="AF83" i="1"/>
  <c r="AF80" i="1"/>
  <c r="AF79" i="1"/>
  <c r="AF78" i="1"/>
  <c r="AF77" i="1"/>
  <c r="AF76" i="1"/>
  <c r="AF74" i="1"/>
  <c r="AF73" i="1"/>
  <c r="AG88" i="1"/>
  <c r="AG87" i="1"/>
  <c r="AG85" i="1"/>
  <c r="AG84" i="1"/>
  <c r="AG83" i="1"/>
  <c r="AG80" i="1"/>
  <c r="AG79" i="1"/>
  <c r="AG78" i="1"/>
  <c r="AG77" i="1"/>
  <c r="AG76" i="1"/>
  <c r="AG74" i="1"/>
  <c r="AG73" i="1"/>
  <c r="AG72" i="1"/>
  <c r="AG71" i="1"/>
  <c r="AG70" i="1"/>
  <c r="AG69" i="1"/>
  <c r="AG68" i="1"/>
  <c r="AG67" i="1"/>
  <c r="AG66" i="1"/>
  <c r="AG46" i="1"/>
  <c r="AG17" i="1"/>
  <c r="AH88" i="1"/>
  <c r="AH87" i="1"/>
  <c r="AH85" i="1"/>
  <c r="AH84" i="1"/>
  <c r="AH83" i="1"/>
  <c r="AH80" i="1"/>
  <c r="AH79" i="1"/>
  <c r="AH78" i="1"/>
  <c r="AH77" i="1"/>
  <c r="AH76" i="1"/>
  <c r="AH74" i="1"/>
  <c r="AH73" i="1"/>
  <c r="AH72" i="1"/>
  <c r="AH71" i="1"/>
  <c r="AH70" i="1"/>
  <c r="AH69" i="1"/>
  <c r="AH68" i="1"/>
  <c r="AH67" i="1"/>
  <c r="AH66" i="1"/>
  <c r="AH46" i="1"/>
  <c r="AH17" i="1"/>
  <c r="AI88" i="1"/>
  <c r="AI87" i="1"/>
  <c r="AI85" i="1"/>
  <c r="AI84" i="1"/>
  <c r="AI83" i="1"/>
  <c r="AI80" i="1"/>
  <c r="AI79" i="1"/>
  <c r="AI78" i="1"/>
  <c r="AI77" i="1"/>
  <c r="AI76" i="1"/>
  <c r="AI74" i="1"/>
  <c r="AI73" i="1"/>
  <c r="AI72" i="1"/>
  <c r="AI71" i="1"/>
  <c r="AI70" i="1"/>
  <c r="AI69" i="1"/>
  <c r="AI68" i="1"/>
  <c r="AI67" i="1"/>
  <c r="AI66" i="1"/>
  <c r="AI46" i="1"/>
  <c r="AI17" i="1"/>
  <c r="AJ88" i="1"/>
  <c r="AJ87" i="1"/>
  <c r="AJ85" i="1"/>
  <c r="AJ84" i="1"/>
  <c r="AJ83" i="1"/>
  <c r="AJ80" i="1"/>
  <c r="AJ79" i="1"/>
  <c r="AJ78" i="1"/>
  <c r="AJ77" i="1"/>
  <c r="AJ76" i="1"/>
  <c r="AJ74" i="1"/>
  <c r="AJ73" i="1"/>
  <c r="AJ72" i="1"/>
  <c r="AJ71" i="1"/>
  <c r="AJ70" i="1"/>
  <c r="AJ69" i="1"/>
  <c r="AJ68" i="1"/>
  <c r="AJ67" i="1"/>
  <c r="AJ66" i="1"/>
  <c r="AJ46" i="1"/>
  <c r="AJ17" i="1"/>
  <c r="AK88" i="1"/>
  <c r="AL88" i="1"/>
  <c r="AL87" i="1"/>
  <c r="AL85" i="1"/>
  <c r="AL84" i="1"/>
  <c r="AL83" i="1"/>
  <c r="AL80" i="1"/>
  <c r="AL79" i="1"/>
  <c r="AL78" i="1"/>
  <c r="AL77" i="1"/>
  <c r="AL76" i="1"/>
  <c r="AL74" i="1"/>
  <c r="AL73" i="1"/>
  <c r="AL72" i="1"/>
  <c r="AL71" i="1"/>
  <c r="AL70" i="1"/>
  <c r="AL69" i="1"/>
  <c r="AL68" i="1"/>
  <c r="AL67" i="1"/>
  <c r="AL66" i="1"/>
  <c r="AL46" i="1"/>
  <c r="AL17" i="1"/>
  <c r="AM88" i="1"/>
  <c r="AM87" i="1"/>
  <c r="AM85" i="1"/>
  <c r="AM84" i="1"/>
  <c r="AM83" i="1"/>
  <c r="AM80" i="1"/>
  <c r="AM79" i="1"/>
  <c r="AM78" i="1"/>
  <c r="AM77" i="1"/>
  <c r="AM76" i="1"/>
  <c r="AM74" i="1"/>
  <c r="AM73" i="1"/>
  <c r="AM72" i="1"/>
  <c r="AM71" i="1"/>
  <c r="AM70" i="1"/>
  <c r="AM69" i="1"/>
  <c r="AM68" i="1"/>
  <c r="AM67" i="1"/>
  <c r="AM66" i="1"/>
  <c r="AM46" i="1"/>
  <c r="AM17" i="1"/>
  <c r="AN88" i="1"/>
  <c r="AN87" i="1"/>
  <c r="AN85" i="1"/>
  <c r="AN84" i="1"/>
  <c r="AN83" i="1"/>
  <c r="AN80" i="1"/>
  <c r="AN79" i="1"/>
  <c r="AN78" i="1"/>
  <c r="AN77" i="1"/>
  <c r="AN76" i="1"/>
  <c r="AN74" i="1"/>
  <c r="AN73" i="1"/>
  <c r="AN72" i="1"/>
  <c r="AN71" i="1"/>
  <c r="AN70" i="1"/>
  <c r="AN69" i="1"/>
  <c r="AN68" i="1"/>
  <c r="AN67" i="1"/>
  <c r="AN66" i="1"/>
  <c r="AN46" i="1"/>
  <c r="AN17" i="1"/>
  <c r="AO88" i="1"/>
  <c r="AO87" i="1"/>
  <c r="AO85" i="1"/>
  <c r="AO84" i="1"/>
  <c r="AO83" i="1"/>
  <c r="AO80" i="1"/>
  <c r="AO79" i="1"/>
  <c r="AO78" i="1"/>
  <c r="AO77" i="1"/>
  <c r="AO76" i="1"/>
  <c r="AO74" i="1"/>
  <c r="AO73" i="1"/>
  <c r="AO72" i="1"/>
  <c r="AO71" i="1"/>
  <c r="AO70" i="1"/>
  <c r="AO69" i="1"/>
  <c r="AO68" i="1"/>
  <c r="AO67" i="1"/>
  <c r="AO66" i="1"/>
  <c r="AO46" i="1"/>
  <c r="AO17" i="1"/>
  <c r="AP88" i="1"/>
  <c r="AP87" i="1"/>
  <c r="AP85" i="1"/>
  <c r="C34" i="12" s="1"/>
  <c r="AP84" i="1"/>
  <c r="C33" i="12" s="1"/>
  <c r="AP83" i="1"/>
  <c r="C32" i="12" s="1"/>
  <c r="AP80" i="1"/>
  <c r="C29" i="12" s="1"/>
  <c r="AP79" i="1"/>
  <c r="C28" i="12" s="1"/>
  <c r="AP78" i="1"/>
  <c r="C27" i="12" s="1"/>
  <c r="AP77" i="1"/>
  <c r="C26" i="12" s="1"/>
  <c r="AP76" i="1"/>
  <c r="C25" i="12" s="1"/>
  <c r="AP74" i="1"/>
  <c r="C23" i="12" s="1"/>
  <c r="AP73" i="1"/>
  <c r="AQ88" i="1"/>
  <c r="AQ87" i="1"/>
  <c r="AQ85" i="1"/>
  <c r="AQ84" i="1"/>
  <c r="AQ83" i="1"/>
  <c r="AQ80" i="1"/>
  <c r="AQ79" i="1"/>
  <c r="AQ78" i="1"/>
  <c r="AQ77" i="1"/>
  <c r="AQ76" i="1"/>
  <c r="AQ74" i="1"/>
  <c r="AQ73" i="1"/>
  <c r="AQ72" i="1"/>
  <c r="AQ71" i="1"/>
  <c r="AQ70" i="1"/>
  <c r="AQ69" i="1"/>
  <c r="AQ68" i="1"/>
  <c r="AQ67" i="1"/>
  <c r="AQ66" i="1"/>
  <c r="AQ46" i="1"/>
  <c r="AQ17" i="1"/>
  <c r="AR88" i="1"/>
  <c r="AR87" i="1"/>
  <c r="AR85" i="1"/>
  <c r="AR84" i="1"/>
  <c r="AR83" i="1"/>
  <c r="AR80" i="1"/>
  <c r="AR79" i="1"/>
  <c r="AR78" i="1"/>
  <c r="AR77" i="1"/>
  <c r="AR76" i="1"/>
  <c r="AR74" i="1"/>
  <c r="AR73" i="1"/>
  <c r="AR72" i="1"/>
  <c r="AR71" i="1"/>
  <c r="AR70" i="1"/>
  <c r="AR69" i="1"/>
  <c r="AR68" i="1"/>
  <c r="AR67" i="1"/>
  <c r="AR66" i="1"/>
  <c r="AR46" i="1"/>
  <c r="AR17" i="1"/>
  <c r="AS88" i="1"/>
  <c r="AS87" i="1"/>
  <c r="AS85" i="1"/>
  <c r="AS84" i="1"/>
  <c r="AS83" i="1"/>
  <c r="AS80" i="1"/>
  <c r="AS79" i="1"/>
  <c r="AS78" i="1"/>
  <c r="AS77" i="1"/>
  <c r="AS76" i="1"/>
  <c r="AS74" i="1"/>
  <c r="AS73" i="1"/>
  <c r="AS72" i="1"/>
  <c r="AS71" i="1"/>
  <c r="AS70" i="1"/>
  <c r="AS69" i="1"/>
  <c r="AS68" i="1"/>
  <c r="AS67" i="1"/>
  <c r="AS66" i="1"/>
  <c r="AS46" i="1"/>
  <c r="AS17" i="1"/>
  <c r="AT88" i="1"/>
  <c r="AT87" i="1"/>
  <c r="AT85" i="1"/>
  <c r="AT84" i="1"/>
  <c r="AT83" i="1"/>
  <c r="AT80" i="1"/>
  <c r="AT79" i="1"/>
  <c r="AT78" i="1"/>
  <c r="AT77" i="1"/>
  <c r="AT76" i="1"/>
  <c r="AT74" i="1"/>
  <c r="AT73" i="1"/>
  <c r="AT72" i="1"/>
  <c r="AT71" i="1"/>
  <c r="AT70" i="1"/>
  <c r="AT69" i="1"/>
  <c r="AT68" i="1"/>
  <c r="AT67" i="1"/>
  <c r="AT66" i="1"/>
  <c r="AT46" i="1"/>
  <c r="AT17" i="1"/>
  <c r="AU87" i="1"/>
  <c r="AU80" i="1"/>
  <c r="D29" i="12" s="1"/>
  <c r="AU76" i="1"/>
  <c r="D25" i="12" s="1"/>
  <c r="AV88" i="1"/>
  <c r="AV87" i="1"/>
  <c r="AV85" i="1"/>
  <c r="AV84" i="1"/>
  <c r="AV83" i="1"/>
  <c r="AV80" i="1"/>
  <c r="AV79" i="1"/>
  <c r="AV78" i="1"/>
  <c r="AV77" i="1"/>
  <c r="AV76" i="1"/>
  <c r="AV74" i="1"/>
  <c r="AV73" i="1"/>
  <c r="AV72" i="1"/>
  <c r="AV71" i="1"/>
  <c r="AV70" i="1"/>
  <c r="AV69" i="1"/>
  <c r="AV68" i="1"/>
  <c r="AV67" i="1"/>
  <c r="AV66" i="1"/>
  <c r="AV46" i="1"/>
  <c r="AV17" i="1"/>
  <c r="AW88" i="1"/>
  <c r="AW87" i="1"/>
  <c r="AW85" i="1"/>
  <c r="AW84" i="1"/>
  <c r="AW83" i="1"/>
  <c r="AW80" i="1"/>
  <c r="AW79" i="1"/>
  <c r="AW78" i="1"/>
  <c r="AW77" i="1"/>
  <c r="AW76" i="1"/>
  <c r="AW74" i="1"/>
  <c r="AW73" i="1"/>
  <c r="AW72" i="1"/>
  <c r="AW71" i="1"/>
  <c r="AW70" i="1"/>
  <c r="AW69" i="1"/>
  <c r="AW68" i="1"/>
  <c r="AW67" i="1"/>
  <c r="AW66" i="1"/>
  <c r="AW46" i="1"/>
  <c r="AW17" i="1"/>
  <c r="AX88" i="1"/>
  <c r="AX87" i="1"/>
  <c r="AX85" i="1"/>
  <c r="AX84" i="1"/>
  <c r="AX83" i="1"/>
  <c r="AX80" i="1"/>
  <c r="AX79" i="1"/>
  <c r="AX78" i="1"/>
  <c r="AX77" i="1"/>
  <c r="AX76" i="1"/>
  <c r="AX74" i="1"/>
  <c r="AX73" i="1"/>
  <c r="AX72" i="1"/>
  <c r="AX71" i="1"/>
  <c r="AX70" i="1"/>
  <c r="AX69" i="1"/>
  <c r="AX68" i="1"/>
  <c r="AX67" i="1"/>
  <c r="AX66" i="1"/>
  <c r="AX46" i="1"/>
  <c r="AX17" i="1"/>
  <c r="AY88" i="1"/>
  <c r="AY87" i="1"/>
  <c r="AY85" i="1"/>
  <c r="AY84" i="1"/>
  <c r="AY83" i="1"/>
  <c r="AY80" i="1"/>
  <c r="AY79" i="1"/>
  <c r="AY78" i="1"/>
  <c r="AY77" i="1"/>
  <c r="AY76" i="1"/>
  <c r="AY74" i="1"/>
  <c r="AY73" i="1"/>
  <c r="AY72" i="1"/>
  <c r="AY71" i="1"/>
  <c r="AY70" i="1"/>
  <c r="AY69" i="1"/>
  <c r="AY68" i="1"/>
  <c r="AY67" i="1"/>
  <c r="AY66" i="1"/>
  <c r="AY46" i="1"/>
  <c r="AY17" i="1"/>
  <c r="AZ88" i="1"/>
  <c r="AZ87" i="1"/>
  <c r="AZ85" i="1"/>
  <c r="E34" i="12" s="1"/>
  <c r="AZ84" i="1"/>
  <c r="E33" i="12" s="1"/>
  <c r="AZ83" i="1"/>
  <c r="E32" i="12" s="1"/>
  <c r="AZ80" i="1"/>
  <c r="E29" i="12" s="1"/>
  <c r="AZ79" i="1"/>
  <c r="E28" i="12" s="1"/>
  <c r="AZ78" i="1"/>
  <c r="E27" i="12" s="1"/>
  <c r="AZ77" i="1"/>
  <c r="E26" i="12" s="1"/>
  <c r="AZ76" i="1"/>
  <c r="E25" i="12" s="1"/>
  <c r="AZ74" i="1"/>
  <c r="E23" i="12" s="1"/>
  <c r="AZ73" i="1"/>
  <c r="AZ46" i="1"/>
  <c r="BA88" i="1"/>
  <c r="BA87" i="1"/>
  <c r="BA85" i="1"/>
  <c r="BA84" i="1"/>
  <c r="BA83" i="1"/>
  <c r="BA80" i="1"/>
  <c r="BA79" i="1"/>
  <c r="BA78" i="1"/>
  <c r="BA77" i="1"/>
  <c r="BA76" i="1"/>
  <c r="BA74" i="1"/>
  <c r="BA73" i="1"/>
  <c r="BA72" i="1"/>
  <c r="BA71" i="1"/>
  <c r="BA70" i="1"/>
  <c r="BA69" i="1"/>
  <c r="BA68" i="1"/>
  <c r="BA67" i="1"/>
  <c r="BA66" i="1"/>
  <c r="BA17" i="1"/>
  <c r="BA48" i="1" s="1"/>
  <c r="BB88" i="1"/>
  <c r="BB87" i="1"/>
  <c r="BB85" i="1"/>
  <c r="BB84" i="1"/>
  <c r="BB83" i="1"/>
  <c r="BB80" i="1"/>
  <c r="BB79" i="1"/>
  <c r="BB78" i="1"/>
  <c r="BB77" i="1"/>
  <c r="BB76" i="1"/>
  <c r="BB74" i="1"/>
  <c r="BB73" i="1"/>
  <c r="BB72" i="1"/>
  <c r="BB71" i="1"/>
  <c r="BB70" i="1"/>
  <c r="BB69" i="1"/>
  <c r="BB68" i="1"/>
  <c r="BB67" i="1"/>
  <c r="BB66" i="1"/>
  <c r="BB17" i="1"/>
  <c r="BC88" i="1"/>
  <c r="BC87" i="1"/>
  <c r="BC85" i="1"/>
  <c r="BC84" i="1"/>
  <c r="BC83" i="1"/>
  <c r="BC80" i="1"/>
  <c r="BC79" i="1"/>
  <c r="BC78" i="1"/>
  <c r="BC77" i="1"/>
  <c r="BC76" i="1"/>
  <c r="BC74" i="1"/>
  <c r="BC73" i="1"/>
  <c r="BC72" i="1"/>
  <c r="BC71" i="1"/>
  <c r="BC70" i="1"/>
  <c r="BC69" i="1"/>
  <c r="BC68" i="1"/>
  <c r="BC67" i="1"/>
  <c r="BC66" i="1"/>
  <c r="BC17" i="1"/>
  <c r="E75" i="1"/>
  <c r="F75" i="1"/>
  <c r="G75" i="1"/>
  <c r="H75" i="1"/>
  <c r="I75" i="1"/>
  <c r="J75" i="1"/>
  <c r="Q24" i="1"/>
  <c r="Q75" i="1"/>
  <c r="Q48" i="1"/>
  <c r="K81" i="1"/>
  <c r="L81" i="1"/>
  <c r="M81" i="1"/>
  <c r="N81" i="1"/>
  <c r="O81" i="1"/>
  <c r="P81" i="1"/>
  <c r="Q81" i="1"/>
  <c r="Q54" i="1"/>
  <c r="R81" i="1"/>
  <c r="R54" i="1"/>
  <c r="S81" i="1"/>
  <c r="S54" i="1"/>
  <c r="T81" i="1"/>
  <c r="T54" i="1"/>
  <c r="U81" i="1"/>
  <c r="U54" i="1"/>
  <c r="V81" i="1"/>
  <c r="V54" i="1"/>
  <c r="W81" i="1"/>
  <c r="W54" i="1"/>
  <c r="X81" i="1"/>
  <c r="X54" i="1"/>
  <c r="Y81" i="1"/>
  <c r="Y54" i="1"/>
  <c r="Z81" i="1"/>
  <c r="Z54" i="1"/>
  <c r="AA54" i="1"/>
  <c r="AB81" i="1"/>
  <c r="AB54" i="1"/>
  <c r="AC81" i="1"/>
  <c r="AC54" i="1"/>
  <c r="AD81" i="1"/>
  <c r="AD54" i="1"/>
  <c r="AE81" i="1"/>
  <c r="AE54" i="1"/>
  <c r="AF81" i="1"/>
  <c r="AF54" i="1"/>
  <c r="AG81" i="1"/>
  <c r="AG54" i="1"/>
  <c r="AH81" i="1"/>
  <c r="AH54" i="1"/>
  <c r="AI81" i="1"/>
  <c r="AI54" i="1"/>
  <c r="AJ81" i="1"/>
  <c r="AJ54" i="1"/>
  <c r="AK54" i="1"/>
  <c r="AL81" i="1"/>
  <c r="AL54" i="1"/>
  <c r="AM81" i="1"/>
  <c r="AM54" i="1"/>
  <c r="AN81" i="1"/>
  <c r="AN54" i="1"/>
  <c r="AO81" i="1"/>
  <c r="AO54" i="1"/>
  <c r="AP81" i="1"/>
  <c r="AP54" i="1"/>
  <c r="AQ81" i="1"/>
  <c r="AQ54" i="1"/>
  <c r="AR81" i="1"/>
  <c r="AR54" i="1"/>
  <c r="AS81" i="1"/>
  <c r="AS54" i="1"/>
  <c r="AT81" i="1"/>
  <c r="AT54" i="1"/>
  <c r="AU81" i="1"/>
  <c r="AU54" i="1"/>
  <c r="AV81" i="1"/>
  <c r="AV54" i="1"/>
  <c r="AW81" i="1"/>
  <c r="AW54" i="1"/>
  <c r="AX81" i="1"/>
  <c r="AX54" i="1"/>
  <c r="AY81" i="1"/>
  <c r="AY54" i="1"/>
  <c r="AZ81" i="1"/>
  <c r="AZ54" i="1"/>
  <c r="BA81" i="1"/>
  <c r="BB81" i="1"/>
  <c r="BC81" i="1"/>
  <c r="Q88" i="1"/>
  <c r="Q87" i="1"/>
  <c r="Q85" i="1"/>
  <c r="Q84" i="1"/>
  <c r="Q83" i="1"/>
  <c r="Q80" i="1"/>
  <c r="Q79" i="1"/>
  <c r="Q78" i="1"/>
  <c r="Q77" i="1"/>
  <c r="Q76" i="1"/>
  <c r="Q74" i="1"/>
  <c r="Q73" i="1"/>
  <c r="Q46" i="1"/>
  <c r="Q66" i="1"/>
  <c r="Q67" i="1"/>
  <c r="Q68" i="1"/>
  <c r="Q69" i="1"/>
  <c r="Q42" i="1"/>
  <c r="Q70" i="1"/>
  <c r="Q71" i="1"/>
  <c r="Q44" i="1"/>
  <c r="Q72" i="1"/>
  <c r="Q45" i="1"/>
  <c r="V66" i="1"/>
  <c r="V39" i="1"/>
  <c r="V41" i="1"/>
  <c r="V69" i="1"/>
  <c r="V42" i="1"/>
  <c r="V71" i="1"/>
  <c r="V44" i="1"/>
  <c r="V45" i="1"/>
  <c r="AA39" i="1"/>
  <c r="AA40" i="1"/>
  <c r="AA41" i="1"/>
  <c r="AA42" i="1"/>
  <c r="AA44" i="1"/>
  <c r="AA45" i="1"/>
  <c r="AF66" i="1"/>
  <c r="AF39" i="1"/>
  <c r="AF67" i="1"/>
  <c r="AF40" i="1"/>
  <c r="AF68" i="1"/>
  <c r="AF41" i="1"/>
  <c r="AF69" i="1"/>
  <c r="AF42" i="1"/>
  <c r="AF70" i="1"/>
  <c r="AF71" i="1"/>
  <c r="AF44" i="1"/>
  <c r="AF72" i="1"/>
  <c r="AF45" i="1"/>
  <c r="AK39" i="1"/>
  <c r="AK40" i="1"/>
  <c r="AK41" i="1"/>
  <c r="AK42" i="1"/>
  <c r="AK44" i="1"/>
  <c r="AK72" i="1"/>
  <c r="AK45" i="1"/>
  <c r="AU66" i="1"/>
  <c r="AU39" i="1"/>
  <c r="D11" i="12" s="1"/>
  <c r="AU40" i="1"/>
  <c r="D12" i="12" s="1"/>
  <c r="AU68" i="1"/>
  <c r="AU41" i="1"/>
  <c r="D13" i="12" s="1"/>
  <c r="AU42" i="1"/>
  <c r="D14" i="12" s="1"/>
  <c r="AU70" i="1"/>
  <c r="AU43" i="1"/>
  <c r="D15" i="12" s="1"/>
  <c r="AU44" i="1"/>
  <c r="D16" i="12" s="1"/>
  <c r="AU72" i="1"/>
  <c r="AU45" i="1"/>
  <c r="D17" i="12" s="1"/>
  <c r="AP66" i="1"/>
  <c r="AP39" i="1"/>
  <c r="C11" i="12" s="1"/>
  <c r="AP67" i="1"/>
  <c r="AP40" i="1"/>
  <c r="C12" i="12" s="1"/>
  <c r="AP68" i="1"/>
  <c r="AP41" i="1"/>
  <c r="C13" i="12" s="1"/>
  <c r="AP69" i="1"/>
  <c r="AP42" i="1"/>
  <c r="C14" i="12" s="1"/>
  <c r="AP70" i="1"/>
  <c r="AP43" i="1"/>
  <c r="C15" i="12" s="1"/>
  <c r="AP71" i="1"/>
  <c r="AP44" i="1"/>
  <c r="C16" i="12" s="1"/>
  <c r="AP72" i="1"/>
  <c r="AP45" i="1"/>
  <c r="C17" i="12" s="1"/>
  <c r="AZ66" i="1"/>
  <c r="AZ67" i="1"/>
  <c r="AZ40" i="1"/>
  <c r="E12" i="12" s="1"/>
  <c r="AZ68" i="1"/>
  <c r="AZ41" i="1"/>
  <c r="E13" i="12" s="1"/>
  <c r="AZ69" i="1"/>
  <c r="AZ42" i="1"/>
  <c r="E14" i="12" s="1"/>
  <c r="AZ70" i="1"/>
  <c r="AZ43" i="1"/>
  <c r="E15" i="12" s="1"/>
  <c r="AZ71" i="1"/>
  <c r="AZ44" i="1"/>
  <c r="E16" i="12" s="1"/>
  <c r="AZ72" i="1"/>
  <c r="AZ45" i="1"/>
  <c r="E17" i="12" s="1"/>
  <c r="AZ17" i="1"/>
  <c r="E38" i="6" s="1"/>
  <c r="AP17" i="1"/>
  <c r="C38" i="6" s="1"/>
  <c r="AU17" i="1"/>
  <c r="D38" i="6" s="1"/>
  <c r="AF17" i="1"/>
  <c r="BH25" i="1" l="1"/>
  <c r="BH56" i="1" s="1"/>
  <c r="BH20" i="1"/>
  <c r="BH51" i="1" s="1"/>
  <c r="BH26" i="1"/>
  <c r="BH57" i="1" s="1"/>
  <c r="BH22" i="3"/>
  <c r="BH46" i="1"/>
  <c r="BG109" i="1"/>
  <c r="BG110" i="1" s="1"/>
  <c r="BH19" i="1"/>
  <c r="BH50" i="1" s="1"/>
  <c r="BH16" i="1"/>
  <c r="BH21" i="1"/>
  <c r="BH52" i="1" s="1"/>
  <c r="BE110" i="1"/>
  <c r="BD30" i="2"/>
  <c r="BD32" i="2" s="1"/>
  <c r="J12" i="12"/>
  <c r="BD9" i="1" s="1"/>
  <c r="BE9" i="1" s="1"/>
  <c r="BE40" i="1" s="1"/>
  <c r="AA71" i="1"/>
  <c r="AK46" i="1"/>
  <c r="AA74" i="1"/>
  <c r="BI11" i="1"/>
  <c r="BI105" i="1" s="1"/>
  <c r="L32" i="1"/>
  <c r="AK77" i="1"/>
  <c r="AA79" i="1"/>
  <c r="BJ105" i="1"/>
  <c r="O14" i="12" s="1"/>
  <c r="BF109" i="1"/>
  <c r="BF110" i="1" s="1"/>
  <c r="J20" i="12"/>
  <c r="BC113" i="1"/>
  <c r="BC116" i="1" s="1"/>
  <c r="AK83" i="1"/>
  <c r="AA85" i="1"/>
  <c r="BD42" i="1"/>
  <c r="BH109" i="1"/>
  <c r="BH110" i="1" s="1"/>
  <c r="AK17" i="1"/>
  <c r="AK67" i="1"/>
  <c r="AA68" i="1"/>
  <c r="AK78" i="1"/>
  <c r="AF46" i="1"/>
  <c r="AA80" i="1"/>
  <c r="AK71" i="1"/>
  <c r="AA72" i="1"/>
  <c r="V70" i="1"/>
  <c r="V68" i="1"/>
  <c r="AK74" i="1"/>
  <c r="AK79" i="1"/>
  <c r="AK85" i="1"/>
  <c r="AA46" i="1"/>
  <c r="AA77" i="1"/>
  <c r="AA83" i="1"/>
  <c r="AA88" i="1"/>
  <c r="V76" i="1"/>
  <c r="V80" i="1"/>
  <c r="V87" i="1"/>
  <c r="BF16" i="1"/>
  <c r="BF47" i="1" s="1"/>
  <c r="BF21" i="1"/>
  <c r="BF52" i="1" s="1"/>
  <c r="BF27" i="1"/>
  <c r="BF58" i="1" s="1"/>
  <c r="BD45" i="1"/>
  <c r="BD41" i="1"/>
  <c r="AK69" i="1"/>
  <c r="AA70" i="1"/>
  <c r="AA66" i="1"/>
  <c r="AK73" i="1"/>
  <c r="AK84" i="1"/>
  <c r="AA76" i="1"/>
  <c r="AA87" i="1"/>
  <c r="V17" i="1"/>
  <c r="AA17" i="1"/>
  <c r="AK70" i="1"/>
  <c r="AK68" i="1"/>
  <c r="AK66" i="1"/>
  <c r="AA69" i="1"/>
  <c r="AA67" i="1"/>
  <c r="V72" i="1"/>
  <c r="V67" i="1"/>
  <c r="AK81" i="1"/>
  <c r="AA81" i="1"/>
  <c r="BC48" i="1"/>
  <c r="AP46" i="1"/>
  <c r="D14" i="11" s="1"/>
  <c r="AK76" i="1"/>
  <c r="AK80" i="1"/>
  <c r="AA73" i="1"/>
  <c r="AA78" i="1"/>
  <c r="V46" i="1"/>
  <c r="V77" i="1"/>
  <c r="V83" i="1"/>
  <c r="BF18" i="1"/>
  <c r="BF49" i="1" s="1"/>
  <c r="BF22" i="1"/>
  <c r="BF53" i="1" s="1"/>
  <c r="BI13" i="1"/>
  <c r="BI107" i="1" s="1"/>
  <c r="BJ107" i="1" s="1"/>
  <c r="O16" i="12" s="1"/>
  <c r="BI10" i="1"/>
  <c r="AU71" i="1"/>
  <c r="AU69" i="1"/>
  <c r="AU67" i="1"/>
  <c r="AU46" i="1"/>
  <c r="AU77" i="1"/>
  <c r="D26" i="12" s="1"/>
  <c r="AU83" i="1"/>
  <c r="D32" i="12" s="1"/>
  <c r="AU88" i="1"/>
  <c r="D12" i="6"/>
  <c r="D17" i="6" s="1"/>
  <c r="D20" i="6" s="1"/>
  <c r="D32" i="6"/>
  <c r="BG20" i="1"/>
  <c r="BG51" i="1" s="1"/>
  <c r="BG26" i="1"/>
  <c r="BG57" i="1" s="1"/>
  <c r="AU73" i="1"/>
  <c r="AU78" i="1"/>
  <c r="D27" i="12" s="1"/>
  <c r="AU84" i="1"/>
  <c r="D33" i="12" s="1"/>
  <c r="D14" i="6"/>
  <c r="BG16" i="1"/>
  <c r="BG47" i="1" s="1"/>
  <c r="BG21" i="1"/>
  <c r="BG52" i="1" s="1"/>
  <c r="BG27" i="1"/>
  <c r="BG58" i="1" s="1"/>
  <c r="D41" i="12"/>
  <c r="D6" i="13"/>
  <c r="BG22" i="3"/>
  <c r="BI14" i="1"/>
  <c r="BI108" i="1" s="1"/>
  <c r="BJ108" i="1" s="1"/>
  <c r="O17" i="12" s="1"/>
  <c r="BG46" i="1"/>
  <c r="AU74" i="1"/>
  <c r="D23" i="12" s="1"/>
  <c r="AU79" i="1"/>
  <c r="D28" i="12" s="1"/>
  <c r="AU85" i="1"/>
  <c r="D34" i="12" s="1"/>
  <c r="D16" i="6"/>
  <c r="J9" i="10"/>
  <c r="J12" i="10" s="1"/>
  <c r="C13" i="10" s="1"/>
  <c r="C14" i="10" s="1"/>
  <c r="BG18" i="1"/>
  <c r="BG49" i="1" s="1"/>
  <c r="BD44" i="1"/>
  <c r="BF17" i="1"/>
  <c r="BF48" i="1" s="1"/>
  <c r="BD43" i="1"/>
  <c r="BB48" i="1"/>
  <c r="BI12" i="1"/>
  <c r="BI43" i="1" s="1"/>
  <c r="J18" i="12"/>
  <c r="J11" i="12"/>
  <c r="BD8" i="1" s="1"/>
  <c r="BJ14" i="1"/>
  <c r="BJ10" i="1"/>
  <c r="BJ41" i="1" s="1"/>
  <c r="F37" i="13"/>
  <c r="BF28" i="2"/>
  <c r="BG28" i="2" s="1"/>
  <c r="BH28" i="2" s="1"/>
  <c r="BI28" i="2" s="1"/>
  <c r="BF27" i="2"/>
  <c r="F36" i="13"/>
  <c r="BK29" i="2"/>
  <c r="G38" i="13"/>
  <c r="BF19" i="3"/>
  <c r="BG24" i="2"/>
  <c r="BG23" i="2"/>
  <c r="BF18" i="3"/>
  <c r="BH17" i="2"/>
  <c r="BI17" i="2" s="1"/>
  <c r="BJ17" i="2" s="1"/>
  <c r="BJ31" i="3"/>
  <c r="BH34" i="3"/>
  <c r="BI34" i="3" s="1"/>
  <c r="BJ34" i="3"/>
  <c r="BK34" i="3" s="1"/>
  <c r="BL34" i="3" s="1"/>
  <c r="BM34" i="3" s="1"/>
  <c r="BH33" i="3"/>
  <c r="BI33" i="3" s="1"/>
  <c r="BJ33" i="3"/>
  <c r="BK33" i="3" s="1"/>
  <c r="BL33" i="3" s="1"/>
  <c r="BM33" i="3" s="1"/>
  <c r="BH32" i="3"/>
  <c r="BI32" i="3" s="1"/>
  <c r="BJ32" i="3"/>
  <c r="BK32" i="3" s="1"/>
  <c r="BL32" i="3" s="1"/>
  <c r="BM32" i="3" s="1"/>
  <c r="BH30" i="3"/>
  <c r="BI30" i="3" s="1"/>
  <c r="BJ30" i="3"/>
  <c r="BK30" i="3" s="1"/>
  <c r="BL30" i="3" s="1"/>
  <c r="BM30" i="3" s="1"/>
  <c r="BH29" i="3"/>
  <c r="BG36" i="3"/>
  <c r="I50" i="13"/>
  <c r="BM38" i="3"/>
  <c r="J50" i="13" s="1"/>
  <c r="BF22" i="2"/>
  <c r="F33" i="13"/>
  <c r="E11" i="13"/>
  <c r="F7" i="11"/>
  <c r="C11" i="13"/>
  <c r="C16" i="13" s="1"/>
  <c r="D7" i="11"/>
  <c r="D21" i="11" s="1"/>
  <c r="E36" i="6"/>
  <c r="E18" i="12"/>
  <c r="D36" i="6"/>
  <c r="D18" i="12"/>
  <c r="C36" i="6"/>
  <c r="C18" i="12"/>
  <c r="BL36" i="1"/>
  <c r="I18" i="13" s="1"/>
  <c r="BK35" i="1"/>
  <c r="BE47" i="2"/>
  <c r="BG27" i="2"/>
  <c r="BF30" i="2"/>
  <c r="BG22" i="2"/>
  <c r="BF25" i="2"/>
  <c r="BH38" i="2"/>
  <c r="BI38" i="2" s="1"/>
  <c r="BH35" i="2"/>
  <c r="BH16" i="2"/>
  <c r="BF15" i="3"/>
  <c r="BF16" i="3"/>
  <c r="E58" i="6"/>
  <c r="E9" i="6"/>
  <c r="E57" i="6"/>
  <c r="D58" i="6"/>
  <c r="D9" i="6"/>
  <c r="D57" i="6"/>
  <c r="E15" i="6"/>
  <c r="C58" i="6"/>
  <c r="C9" i="6"/>
  <c r="C57" i="6"/>
  <c r="D15" i="6"/>
  <c r="C15" i="6"/>
  <c r="BE30" i="2"/>
  <c r="BF17" i="3"/>
  <c r="BE25" i="2"/>
  <c r="BF27" i="3"/>
  <c r="E43" i="2"/>
  <c r="BH23" i="1"/>
  <c r="BH54" i="1" s="1"/>
  <c r="BJ30" i="1"/>
  <c r="V24" i="1"/>
  <c r="V75" i="1"/>
  <c r="V48" i="1"/>
  <c r="AA24" i="1"/>
  <c r="AA75" i="1"/>
  <c r="AA48" i="1"/>
  <c r="AF24" i="1"/>
  <c r="AF75" i="1"/>
  <c r="AF48" i="1"/>
  <c r="AK24" i="1"/>
  <c r="AK75" i="1"/>
  <c r="AK48" i="1"/>
  <c r="AU24" i="1"/>
  <c r="AU75" i="1"/>
  <c r="AU48" i="1"/>
  <c r="AP24" i="1"/>
  <c r="AP75" i="1"/>
  <c r="AP48" i="1"/>
  <c r="D15" i="11" s="1"/>
  <c r="AZ24" i="1"/>
  <c r="AZ75" i="1"/>
  <c r="AZ48" i="1"/>
  <c r="Q28" i="1"/>
  <c r="Q95" i="1" s="1"/>
  <c r="Q94" i="1" s="1"/>
  <c r="Q82" i="1"/>
  <c r="J82" i="1"/>
  <c r="J95" i="1"/>
  <c r="J94" i="1" s="1"/>
  <c r="I82" i="1"/>
  <c r="I95" i="1"/>
  <c r="I94" i="1" s="1"/>
  <c r="H82" i="1"/>
  <c r="H95" i="1"/>
  <c r="H94" i="1" s="1"/>
  <c r="G82" i="1"/>
  <c r="G95" i="1"/>
  <c r="G94" i="1" s="1"/>
  <c r="F82" i="1"/>
  <c r="F95" i="1"/>
  <c r="F94" i="1" s="1"/>
  <c r="E82" i="1"/>
  <c r="E95" i="1"/>
  <c r="E94" i="1" s="1"/>
  <c r="BC75" i="1"/>
  <c r="BC24" i="1"/>
  <c r="BB75" i="1"/>
  <c r="BB24" i="1"/>
  <c r="BA75" i="1"/>
  <c r="BA24" i="1"/>
  <c r="AY75" i="1"/>
  <c r="AY48" i="1"/>
  <c r="AY24" i="1"/>
  <c r="AX75" i="1"/>
  <c r="AX48" i="1"/>
  <c r="AX24" i="1"/>
  <c r="AW75" i="1"/>
  <c r="AW48" i="1"/>
  <c r="AW24" i="1"/>
  <c r="AV75" i="1"/>
  <c r="AV48" i="1"/>
  <c r="AV24" i="1"/>
  <c r="AT75" i="1"/>
  <c r="AT48" i="1"/>
  <c r="AT24" i="1"/>
  <c r="AS75" i="1"/>
  <c r="AS48" i="1"/>
  <c r="AS24" i="1"/>
  <c r="AR75" i="1"/>
  <c r="AR48" i="1"/>
  <c r="AR24" i="1"/>
  <c r="AQ75" i="1"/>
  <c r="AQ48" i="1"/>
  <c r="AQ24" i="1"/>
  <c r="AO75" i="1"/>
  <c r="AO48" i="1"/>
  <c r="AO24" i="1"/>
  <c r="AN75" i="1"/>
  <c r="AN48" i="1"/>
  <c r="AN24" i="1"/>
  <c r="AM75" i="1"/>
  <c r="AM48" i="1"/>
  <c r="AM24" i="1"/>
  <c r="AL75" i="1"/>
  <c r="AL48" i="1"/>
  <c r="AL24" i="1"/>
  <c r="AJ75" i="1"/>
  <c r="AJ48" i="1"/>
  <c r="AJ24" i="1"/>
  <c r="AI75" i="1"/>
  <c r="AI48" i="1"/>
  <c r="AI24" i="1"/>
  <c r="AH75" i="1"/>
  <c r="AH48" i="1"/>
  <c r="AH24" i="1"/>
  <c r="AG75" i="1"/>
  <c r="AG48" i="1"/>
  <c r="AG24" i="1"/>
  <c r="AE75" i="1"/>
  <c r="AE48" i="1"/>
  <c r="AE24" i="1"/>
  <c r="AD75" i="1"/>
  <c r="AD48" i="1"/>
  <c r="AD24" i="1"/>
  <c r="AC75" i="1"/>
  <c r="AC48" i="1"/>
  <c r="AC24" i="1"/>
  <c r="AB75" i="1"/>
  <c r="AB48" i="1"/>
  <c r="AB24" i="1"/>
  <c r="Z75" i="1"/>
  <c r="Z48" i="1"/>
  <c r="Z24" i="1"/>
  <c r="Y75" i="1"/>
  <c r="Y48" i="1"/>
  <c r="Y24" i="1"/>
  <c r="X75" i="1"/>
  <c r="X48" i="1"/>
  <c r="X24" i="1"/>
  <c r="W75" i="1"/>
  <c r="W48" i="1"/>
  <c r="W24" i="1"/>
  <c r="U75" i="1"/>
  <c r="U48" i="1"/>
  <c r="U24" i="1"/>
  <c r="T75" i="1"/>
  <c r="T48" i="1"/>
  <c r="T24" i="1"/>
  <c r="S75" i="1"/>
  <c r="S48" i="1"/>
  <c r="S24" i="1"/>
  <c r="R75" i="1"/>
  <c r="R48" i="1"/>
  <c r="R24" i="1"/>
  <c r="O75" i="1"/>
  <c r="O24" i="1"/>
  <c r="N75" i="1"/>
  <c r="N24" i="1"/>
  <c r="P75" i="1"/>
  <c r="P24" i="1"/>
  <c r="M75" i="1"/>
  <c r="L75" i="1"/>
  <c r="K75" i="1"/>
  <c r="BH47" i="1" l="1"/>
  <c r="BH17" i="1"/>
  <c r="BH48" i="1" s="1"/>
  <c r="BF23" i="1"/>
  <c r="BF54" i="1" s="1"/>
  <c r="BJ11" i="1"/>
  <c r="BJ42" i="1" s="1"/>
  <c r="BI9" i="1"/>
  <c r="BD40" i="1"/>
  <c r="BI42" i="1"/>
  <c r="G13" i="10"/>
  <c r="F39" i="13"/>
  <c r="BJ13" i="1"/>
  <c r="BJ44" i="1" s="1"/>
  <c r="BI45" i="1"/>
  <c r="BJ12" i="1"/>
  <c r="BJ43" i="1" s="1"/>
  <c r="BJ9" i="1"/>
  <c r="BJ40" i="1" s="1"/>
  <c r="BI44" i="1"/>
  <c r="BI106" i="1"/>
  <c r="BJ106" i="1" s="1"/>
  <c r="O15" i="12" s="1"/>
  <c r="E13" i="10"/>
  <c r="BI41" i="1"/>
  <c r="BI104" i="1"/>
  <c r="BJ104" i="1" s="1"/>
  <c r="O13" i="12" s="1"/>
  <c r="D13" i="10"/>
  <c r="D14" i="10" s="1"/>
  <c r="E14" i="10" s="1"/>
  <c r="BG23" i="1"/>
  <c r="BG54" i="1" s="1"/>
  <c r="D8" i="13"/>
  <c r="E6" i="11"/>
  <c r="F13" i="10"/>
  <c r="F14" i="10" s="1"/>
  <c r="G14" i="10" s="1"/>
  <c r="BG17" i="1"/>
  <c r="BG48" i="1" s="1"/>
  <c r="BA55" i="1"/>
  <c r="BB55" i="1"/>
  <c r="BC55" i="1"/>
  <c r="G15" i="13"/>
  <c r="BJ61" i="1"/>
  <c r="BK61" i="1"/>
  <c r="BE8" i="1"/>
  <c r="BD15" i="1"/>
  <c r="BI8" i="1"/>
  <c r="BI102" i="1" s="1"/>
  <c r="BD39" i="1"/>
  <c r="BJ45" i="1"/>
  <c r="BK14" i="1"/>
  <c r="BK108" i="1" s="1"/>
  <c r="BK9" i="1"/>
  <c r="BK103" i="1" s="1"/>
  <c r="BK10" i="1"/>
  <c r="BK104" i="1" s="1"/>
  <c r="BK12" i="1"/>
  <c r="BK106" i="1" s="1"/>
  <c r="BK13" i="1"/>
  <c r="BK107" i="1" s="1"/>
  <c r="BL29" i="2"/>
  <c r="H38" i="13"/>
  <c r="BH23" i="2"/>
  <c r="BG18" i="3"/>
  <c r="BH24" i="2"/>
  <c r="BG19" i="3"/>
  <c r="BI16" i="2"/>
  <c r="G30" i="13"/>
  <c r="BK17" i="2"/>
  <c r="BI29" i="3"/>
  <c r="BH36" i="3"/>
  <c r="F21" i="11"/>
  <c r="E16" i="13"/>
  <c r="F9" i="11"/>
  <c r="D9" i="11"/>
  <c r="D23" i="11" s="1"/>
  <c r="BM36" i="1"/>
  <c r="J18" i="13" s="1"/>
  <c r="BL35" i="1"/>
  <c r="BG16" i="3"/>
  <c r="BH15" i="3"/>
  <c r="BI35" i="2"/>
  <c r="BH22" i="2"/>
  <c r="BG25" i="2"/>
  <c r="BG17" i="3"/>
  <c r="BF32" i="2"/>
  <c r="BH27" i="2"/>
  <c r="BF47" i="2"/>
  <c r="BE32" i="2"/>
  <c r="C43" i="6"/>
  <c r="BG27" i="3"/>
  <c r="AZ28" i="1"/>
  <c r="AZ90" i="1" s="1"/>
  <c r="E39" i="12" s="1"/>
  <c r="E43" i="6"/>
  <c r="AU28" i="1"/>
  <c r="AU90" i="1" s="1"/>
  <c r="D39" i="12" s="1"/>
  <c r="D43" i="6"/>
  <c r="BF24" i="1"/>
  <c r="BF55" i="1" s="1"/>
  <c r="BG24" i="1"/>
  <c r="BG55" i="1" s="1"/>
  <c r="BH24" i="1"/>
  <c r="BH55" i="1" s="1"/>
  <c r="K82" i="1"/>
  <c r="K95" i="1"/>
  <c r="K94" i="1" s="1"/>
  <c r="L82" i="1"/>
  <c r="L95" i="1"/>
  <c r="L94" i="1" s="1"/>
  <c r="Q55" i="1"/>
  <c r="M82" i="1"/>
  <c r="M95" i="1"/>
  <c r="P82" i="1"/>
  <c r="P28" i="1"/>
  <c r="P95" i="1" s="1"/>
  <c r="P94" i="1" s="1"/>
  <c r="N82" i="1"/>
  <c r="N28" i="1"/>
  <c r="N95" i="1" s="1"/>
  <c r="N94" i="1" s="1"/>
  <c r="O82" i="1"/>
  <c r="O28" i="1"/>
  <c r="O95" i="1" s="1"/>
  <c r="O94" i="1" s="1"/>
  <c r="R82" i="1"/>
  <c r="R55" i="1"/>
  <c r="R28" i="1"/>
  <c r="R95" i="1" s="1"/>
  <c r="S82" i="1"/>
  <c r="S55" i="1"/>
  <c r="S28" i="1"/>
  <c r="S95" i="1" s="1"/>
  <c r="S94" i="1" s="1"/>
  <c r="T82" i="1"/>
  <c r="T55" i="1"/>
  <c r="T28" i="1"/>
  <c r="T95" i="1" s="1"/>
  <c r="T94" i="1" s="1"/>
  <c r="U82" i="1"/>
  <c r="U55" i="1"/>
  <c r="U28" i="1"/>
  <c r="U95" i="1" s="1"/>
  <c r="U94" i="1" s="1"/>
  <c r="W82" i="1"/>
  <c r="W55" i="1"/>
  <c r="W28" i="1"/>
  <c r="W95" i="1" s="1"/>
  <c r="X82" i="1"/>
  <c r="X55" i="1"/>
  <c r="X28" i="1"/>
  <c r="X95" i="1" s="1"/>
  <c r="X94" i="1" s="1"/>
  <c r="Y82" i="1"/>
  <c r="Y55" i="1"/>
  <c r="Y28" i="1"/>
  <c r="Y95" i="1" s="1"/>
  <c r="Y94" i="1" s="1"/>
  <c r="Z82" i="1"/>
  <c r="Z55" i="1"/>
  <c r="Z28" i="1"/>
  <c r="Z95" i="1" s="1"/>
  <c r="Z94" i="1" s="1"/>
  <c r="AB82" i="1"/>
  <c r="AB55" i="1"/>
  <c r="AB28" i="1"/>
  <c r="AB95" i="1" s="1"/>
  <c r="AC82" i="1"/>
  <c r="AC55" i="1"/>
  <c r="AC28" i="1"/>
  <c r="AC95" i="1" s="1"/>
  <c r="AC94" i="1" s="1"/>
  <c r="AD82" i="1"/>
  <c r="AD55" i="1"/>
  <c r="AD28" i="1"/>
  <c r="AD95" i="1" s="1"/>
  <c r="AD94" i="1" s="1"/>
  <c r="AE82" i="1"/>
  <c r="AE55" i="1"/>
  <c r="AE28" i="1"/>
  <c r="AE95" i="1" s="1"/>
  <c r="AE94" i="1" s="1"/>
  <c r="AG82" i="1"/>
  <c r="AG55" i="1"/>
  <c r="AG28" i="1"/>
  <c r="AG95" i="1" s="1"/>
  <c r="AH82" i="1"/>
  <c r="AH55" i="1"/>
  <c r="AH28" i="1"/>
  <c r="AH95" i="1" s="1"/>
  <c r="AH94" i="1" s="1"/>
  <c r="AI82" i="1"/>
  <c r="AI55" i="1"/>
  <c r="AI28" i="1"/>
  <c r="AI95" i="1" s="1"/>
  <c r="AI94" i="1" s="1"/>
  <c r="AJ82" i="1"/>
  <c r="AJ55" i="1"/>
  <c r="AJ28" i="1"/>
  <c r="AJ95" i="1" s="1"/>
  <c r="AJ94" i="1" s="1"/>
  <c r="AL82" i="1"/>
  <c r="AL55" i="1"/>
  <c r="AL28" i="1"/>
  <c r="AL95" i="1" s="1"/>
  <c r="AM82" i="1"/>
  <c r="AM55" i="1"/>
  <c r="AM28" i="1"/>
  <c r="AM95" i="1" s="1"/>
  <c r="AM94" i="1" s="1"/>
  <c r="AN82" i="1"/>
  <c r="AN55" i="1"/>
  <c r="AN28" i="1"/>
  <c r="AN95" i="1" s="1"/>
  <c r="AN94" i="1" s="1"/>
  <c r="AO82" i="1"/>
  <c r="AO55" i="1"/>
  <c r="AO28" i="1"/>
  <c r="AO95" i="1" s="1"/>
  <c r="AO94" i="1" s="1"/>
  <c r="AQ82" i="1"/>
  <c r="AQ55" i="1"/>
  <c r="AQ28" i="1"/>
  <c r="AQ95" i="1" s="1"/>
  <c r="AR82" i="1"/>
  <c r="AR55" i="1"/>
  <c r="AR28" i="1"/>
  <c r="AR95" i="1" s="1"/>
  <c r="AR94" i="1" s="1"/>
  <c r="AS82" i="1"/>
  <c r="AS55" i="1"/>
  <c r="AS28" i="1"/>
  <c r="AS95" i="1" s="1"/>
  <c r="AS94" i="1" s="1"/>
  <c r="AT82" i="1"/>
  <c r="AT55" i="1"/>
  <c r="AT28" i="1"/>
  <c r="AT95" i="1" s="1"/>
  <c r="AT94" i="1" s="1"/>
  <c r="AV82" i="1"/>
  <c r="AV55" i="1"/>
  <c r="AV28" i="1"/>
  <c r="AV95" i="1" s="1"/>
  <c r="AW82" i="1"/>
  <c r="AW55" i="1"/>
  <c r="AW28" i="1"/>
  <c r="AW95" i="1" s="1"/>
  <c r="AW94" i="1" s="1"/>
  <c r="AX82" i="1"/>
  <c r="AX55" i="1"/>
  <c r="AX28" i="1"/>
  <c r="AX95" i="1" s="1"/>
  <c r="AX94" i="1" s="1"/>
  <c r="AY82" i="1"/>
  <c r="AY55" i="1"/>
  <c r="AY28" i="1"/>
  <c r="AY95" i="1" s="1"/>
  <c r="AY94" i="1" s="1"/>
  <c r="BA82" i="1"/>
  <c r="BA28" i="1"/>
  <c r="BB82" i="1"/>
  <c r="BB28" i="1"/>
  <c r="BC82" i="1"/>
  <c r="BC28" i="1"/>
  <c r="E90" i="1"/>
  <c r="E86" i="1"/>
  <c r="F90" i="1"/>
  <c r="F86" i="1"/>
  <c r="G90" i="1"/>
  <c r="G86" i="1"/>
  <c r="H90" i="1"/>
  <c r="H86" i="1"/>
  <c r="I90" i="1"/>
  <c r="I86" i="1"/>
  <c r="J90" i="1"/>
  <c r="J86" i="1"/>
  <c r="Q31" i="1"/>
  <c r="Q90" i="1"/>
  <c r="Q86" i="1"/>
  <c r="Q59" i="1"/>
  <c r="AZ82" i="1"/>
  <c r="AZ55" i="1"/>
  <c r="AP28" i="1"/>
  <c r="AP82" i="1"/>
  <c r="AP55" i="1"/>
  <c r="D16" i="11" s="1"/>
  <c r="AU82" i="1"/>
  <c r="AU55" i="1"/>
  <c r="AK28" i="1"/>
  <c r="AK95" i="1" s="1"/>
  <c r="AK94" i="1" s="1"/>
  <c r="AK82" i="1"/>
  <c r="AK55" i="1"/>
  <c r="AF28" i="1"/>
  <c r="AF95" i="1" s="1"/>
  <c r="AF94" i="1" s="1"/>
  <c r="AF82" i="1"/>
  <c r="AF55" i="1"/>
  <c r="AA28" i="1"/>
  <c r="AA95" i="1" s="1"/>
  <c r="AA94" i="1" s="1"/>
  <c r="AA82" i="1"/>
  <c r="AA55" i="1"/>
  <c r="V28" i="1"/>
  <c r="V95" i="1" s="1"/>
  <c r="V94" i="1" s="1"/>
  <c r="V82" i="1"/>
  <c r="V55" i="1"/>
  <c r="BK11" i="1" l="1"/>
  <c r="BK105" i="1" s="1"/>
  <c r="BI103" i="1"/>
  <c r="BJ103" i="1" s="1"/>
  <c r="O12" i="12" s="1"/>
  <c r="BI40" i="1"/>
  <c r="BI109" i="1"/>
  <c r="BI110" i="1" s="1"/>
  <c r="BJ110" i="1" s="1"/>
  <c r="BJ102" i="1"/>
  <c r="BJ109" i="1" s="1"/>
  <c r="BC59" i="1"/>
  <c r="D11" i="13"/>
  <c r="E7" i="11"/>
  <c r="F14" i="11"/>
  <c r="E14" i="11"/>
  <c r="BB95" i="1"/>
  <c r="BB94" i="1" s="1"/>
  <c r="BB59" i="1"/>
  <c r="BA95" i="1"/>
  <c r="BA59" i="1"/>
  <c r="BI39" i="1"/>
  <c r="BJ8" i="1"/>
  <c r="BI15" i="1"/>
  <c r="BD46" i="1"/>
  <c r="BD22" i="3"/>
  <c r="BD19" i="1"/>
  <c r="BD27" i="1"/>
  <c r="BD26" i="1"/>
  <c r="BD25" i="1"/>
  <c r="BD22" i="1"/>
  <c r="BD21" i="1"/>
  <c r="BD20" i="1"/>
  <c r="BD18" i="1"/>
  <c r="BD16" i="1"/>
  <c r="BD17" i="1" s="1"/>
  <c r="BJ97" i="1"/>
  <c r="BE39" i="1"/>
  <c r="BE15" i="1"/>
  <c r="BK44" i="1"/>
  <c r="BK43" i="1"/>
  <c r="BK42" i="1"/>
  <c r="BK41" i="1"/>
  <c r="BK40" i="1"/>
  <c r="BK45" i="1"/>
  <c r="BL14" i="1"/>
  <c r="BL108" i="1" s="1"/>
  <c r="BC95" i="1"/>
  <c r="BC94" i="1" s="1"/>
  <c r="BC90" i="1"/>
  <c r="BH28" i="1"/>
  <c r="BH59" i="1" s="1"/>
  <c r="BG28" i="1"/>
  <c r="BG59" i="1" s="1"/>
  <c r="BF28" i="1"/>
  <c r="BF59" i="1" s="1"/>
  <c r="BL13" i="1"/>
  <c r="BL107" i="1" s="1"/>
  <c r="BL12" i="1"/>
  <c r="BL106" i="1" s="1"/>
  <c r="BL11" i="1"/>
  <c r="BL105" i="1" s="1"/>
  <c r="BL10" i="1"/>
  <c r="BL104" i="1" s="1"/>
  <c r="BL9" i="1"/>
  <c r="BL103" i="1" s="1"/>
  <c r="BM29" i="2"/>
  <c r="J38" i="13" s="1"/>
  <c r="I38" i="13"/>
  <c r="BI24" i="2"/>
  <c r="BH19" i="3"/>
  <c r="BI23" i="2"/>
  <c r="BH18" i="3"/>
  <c r="H30" i="13"/>
  <c r="BL17" i="2"/>
  <c r="BI36" i="3"/>
  <c r="BJ29" i="3"/>
  <c r="F23" i="11"/>
  <c r="E19" i="13"/>
  <c r="F11" i="11" s="1"/>
  <c r="F10" i="11"/>
  <c r="C19" i="13"/>
  <c r="D11" i="11" s="1"/>
  <c r="D10" i="11"/>
  <c r="D24" i="11" s="1"/>
  <c r="AZ95" i="1"/>
  <c r="BM35" i="1"/>
  <c r="BH47" i="2"/>
  <c r="BG47" i="2"/>
  <c r="BG30" i="2"/>
  <c r="BG32" i="2" s="1"/>
  <c r="BI27" i="2"/>
  <c r="BH30" i="2"/>
  <c r="BI22" i="2"/>
  <c r="BH25" i="2"/>
  <c r="BH17" i="3"/>
  <c r="BJ35" i="2"/>
  <c r="BK35" i="2" s="1"/>
  <c r="BL35" i="2" s="1"/>
  <c r="BM35" i="2" s="1"/>
  <c r="BI15" i="3"/>
  <c r="BJ15" i="3" s="1"/>
  <c r="BJ10" i="2"/>
  <c r="BH16" i="3"/>
  <c r="Q8" i="3"/>
  <c r="Q20" i="3" s="1"/>
  <c r="Q45" i="3" s="1"/>
  <c r="Q32" i="1"/>
  <c r="J8" i="3"/>
  <c r="J20" i="3" s="1"/>
  <c r="J45" i="3" s="1"/>
  <c r="I8" i="3"/>
  <c r="I20" i="3" s="1"/>
  <c r="I45" i="3" s="1"/>
  <c r="H8" i="3"/>
  <c r="H20" i="3" s="1"/>
  <c r="H45" i="3" s="1"/>
  <c r="G8" i="3"/>
  <c r="G20" i="3" s="1"/>
  <c r="G45" i="3" s="1"/>
  <c r="F8" i="3"/>
  <c r="F20" i="3" s="1"/>
  <c r="F45" i="3" s="1"/>
  <c r="E8" i="3"/>
  <c r="E20" i="3" s="1"/>
  <c r="E45" i="3" s="1"/>
  <c r="BH27" i="3"/>
  <c r="BJ38" i="2"/>
  <c r="BK38" i="2" s="1"/>
  <c r="BL38" i="2" s="1"/>
  <c r="BM38" i="2" s="1"/>
  <c r="BJ16" i="2"/>
  <c r="BJ9" i="2"/>
  <c r="BK9" i="2" s="1"/>
  <c r="BL9" i="2" s="1"/>
  <c r="BM9" i="2" s="1"/>
  <c r="AP95" i="1"/>
  <c r="C42" i="6"/>
  <c r="BA94" i="1"/>
  <c r="AV94" i="1"/>
  <c r="AZ96" i="1"/>
  <c r="AQ94" i="1"/>
  <c r="AU96" i="1"/>
  <c r="AL94" i="1"/>
  <c r="AP96" i="1"/>
  <c r="AG94" i="1"/>
  <c r="AK96" i="1"/>
  <c r="AB94" i="1"/>
  <c r="AF96" i="1"/>
  <c r="W94" i="1"/>
  <c r="AA96" i="1"/>
  <c r="R94" i="1"/>
  <c r="V96" i="1"/>
  <c r="M94" i="1"/>
  <c r="Q96" i="1"/>
  <c r="AU95" i="1"/>
  <c r="D42" i="6"/>
  <c r="E42" i="6"/>
  <c r="BH95" i="1"/>
  <c r="BH94" i="1" s="1"/>
  <c r="J41" i="3"/>
  <c r="J42" i="3" s="1"/>
  <c r="I41" i="3"/>
  <c r="I42" i="3" s="1"/>
  <c r="F41" i="3"/>
  <c r="F42" i="3" s="1"/>
  <c r="E41" i="3"/>
  <c r="E42" i="3" s="1"/>
  <c r="V31" i="1"/>
  <c r="V90" i="1"/>
  <c r="V86" i="1"/>
  <c r="V59" i="1"/>
  <c r="AA31" i="1"/>
  <c r="AA90" i="1"/>
  <c r="AA86" i="1"/>
  <c r="AA59" i="1"/>
  <c r="AF31" i="1"/>
  <c r="AF90" i="1"/>
  <c r="AF47" i="3" s="1"/>
  <c r="AF86" i="1"/>
  <c r="AF59" i="1"/>
  <c r="AK31" i="1"/>
  <c r="AK90" i="1"/>
  <c r="AK47" i="3" s="1"/>
  <c r="AK86" i="1"/>
  <c r="AK59" i="1"/>
  <c r="AU31" i="1"/>
  <c r="AU47" i="3"/>
  <c r="AU86" i="1"/>
  <c r="AU59" i="1"/>
  <c r="AP31" i="1"/>
  <c r="AP32" i="1" s="1"/>
  <c r="AP90" i="1"/>
  <c r="AP86" i="1"/>
  <c r="AP59" i="1"/>
  <c r="AZ31" i="1"/>
  <c r="AZ86" i="1"/>
  <c r="AZ59" i="1"/>
  <c r="Q33" i="1"/>
  <c r="Q89" i="1"/>
  <c r="J89" i="1"/>
  <c r="I89" i="1"/>
  <c r="H89" i="1"/>
  <c r="G89" i="1"/>
  <c r="F89" i="1"/>
  <c r="E89" i="1"/>
  <c r="BC86" i="1"/>
  <c r="BC31" i="1"/>
  <c r="BC114" i="1" s="1"/>
  <c r="BC117" i="1" s="1"/>
  <c r="BB90" i="1"/>
  <c r="BB86" i="1"/>
  <c r="BB31" i="1"/>
  <c r="BB114" i="1" s="1"/>
  <c r="BB117" i="1" s="1"/>
  <c r="BA90" i="1"/>
  <c r="BA86" i="1"/>
  <c r="BA31" i="1"/>
  <c r="BA114" i="1" s="1"/>
  <c r="BA117" i="1" s="1"/>
  <c r="AY90" i="1"/>
  <c r="AY86" i="1"/>
  <c r="AY59" i="1"/>
  <c r="AY31" i="1"/>
  <c r="AX90" i="1"/>
  <c r="AX86" i="1"/>
  <c r="AX59" i="1"/>
  <c r="AX31" i="1"/>
  <c r="AX8" i="3" s="1"/>
  <c r="AX20" i="3" s="1"/>
  <c r="AX45" i="3" s="1"/>
  <c r="AW90" i="1"/>
  <c r="AW86" i="1"/>
  <c r="AW59" i="1"/>
  <c r="AW31" i="1"/>
  <c r="AW8" i="3" s="1"/>
  <c r="AW20" i="3" s="1"/>
  <c r="AW45" i="3" s="1"/>
  <c r="AV90" i="1"/>
  <c r="AV86" i="1"/>
  <c r="AV59" i="1"/>
  <c r="AV31" i="1"/>
  <c r="AT90" i="1"/>
  <c r="AT86" i="1"/>
  <c r="AT59" i="1"/>
  <c r="AT31" i="1"/>
  <c r="AT8" i="3" s="1"/>
  <c r="AT20" i="3" s="1"/>
  <c r="AT45" i="3" s="1"/>
  <c r="AS90" i="1"/>
  <c r="AS86" i="1"/>
  <c r="AS59" i="1"/>
  <c r="AS31" i="1"/>
  <c r="AS8" i="3" s="1"/>
  <c r="AS20" i="3" s="1"/>
  <c r="AS45" i="3" s="1"/>
  <c r="AR90" i="1"/>
  <c r="AR86" i="1"/>
  <c r="AR59" i="1"/>
  <c r="AR31" i="1"/>
  <c r="AR8" i="3" s="1"/>
  <c r="AR20" i="3" s="1"/>
  <c r="AR45" i="3" s="1"/>
  <c r="AQ90" i="1"/>
  <c r="AQ86" i="1"/>
  <c r="AQ59" i="1"/>
  <c r="AQ31" i="1"/>
  <c r="AO90" i="1"/>
  <c r="AO86" i="1"/>
  <c r="AO59" i="1"/>
  <c r="AO31" i="1"/>
  <c r="AO8" i="3" s="1"/>
  <c r="AO20" i="3" s="1"/>
  <c r="AO45" i="3" s="1"/>
  <c r="AN90" i="1"/>
  <c r="AN86" i="1"/>
  <c r="AN59" i="1"/>
  <c r="AN31" i="1"/>
  <c r="AN8" i="3" s="1"/>
  <c r="AN20" i="3" s="1"/>
  <c r="AN45" i="3" s="1"/>
  <c r="AM90" i="1"/>
  <c r="AM86" i="1"/>
  <c r="AM59" i="1"/>
  <c r="AM31" i="1"/>
  <c r="AM8" i="3" s="1"/>
  <c r="AM20" i="3" s="1"/>
  <c r="AM45" i="3" s="1"/>
  <c r="AL90" i="1"/>
  <c r="AL86" i="1"/>
  <c r="AL59" i="1"/>
  <c r="AL31" i="1"/>
  <c r="AJ90" i="1"/>
  <c r="AJ86" i="1"/>
  <c r="AJ59" i="1"/>
  <c r="AJ31" i="1"/>
  <c r="AJ8" i="3" s="1"/>
  <c r="AJ20" i="3" s="1"/>
  <c r="AJ45" i="3" s="1"/>
  <c r="AI90" i="1"/>
  <c r="AI86" i="1"/>
  <c r="AI59" i="1"/>
  <c r="AI31" i="1"/>
  <c r="AI8" i="3" s="1"/>
  <c r="AI20" i="3" s="1"/>
  <c r="AI45" i="3" s="1"/>
  <c r="AH90" i="1"/>
  <c r="AH86" i="1"/>
  <c r="AH59" i="1"/>
  <c r="AH31" i="1"/>
  <c r="AH8" i="3" s="1"/>
  <c r="AH20" i="3" s="1"/>
  <c r="AH45" i="3" s="1"/>
  <c r="AG90" i="1"/>
  <c r="AG86" i="1"/>
  <c r="AG59" i="1"/>
  <c r="AG31" i="1"/>
  <c r="AE90" i="1"/>
  <c r="AE86" i="1"/>
  <c r="AE59" i="1"/>
  <c r="AE31" i="1"/>
  <c r="AE8" i="3" s="1"/>
  <c r="AE20" i="3" s="1"/>
  <c r="AE45" i="3" s="1"/>
  <c r="AD90" i="1"/>
  <c r="AD86" i="1"/>
  <c r="AD59" i="1"/>
  <c r="AD31" i="1"/>
  <c r="AD8" i="3" s="1"/>
  <c r="AD20" i="3" s="1"/>
  <c r="AD45" i="3" s="1"/>
  <c r="AC90" i="1"/>
  <c r="AC86" i="1"/>
  <c r="AC59" i="1"/>
  <c r="AC31" i="1"/>
  <c r="AC8" i="3" s="1"/>
  <c r="AC20" i="3" s="1"/>
  <c r="AC45" i="3" s="1"/>
  <c r="AB90" i="1"/>
  <c r="AB86" i="1"/>
  <c r="AB59" i="1"/>
  <c r="AB31" i="1"/>
  <c r="Z90" i="1"/>
  <c r="Z86" i="1"/>
  <c r="Z59" i="1"/>
  <c r="Z31" i="1"/>
  <c r="Z8" i="3" s="1"/>
  <c r="Z20" i="3" s="1"/>
  <c r="Z45" i="3" s="1"/>
  <c r="Y90" i="1"/>
  <c r="Y86" i="1"/>
  <c r="Y59" i="1"/>
  <c r="Y31" i="1"/>
  <c r="Y8" i="3" s="1"/>
  <c r="Y20" i="3" s="1"/>
  <c r="Y45" i="3" s="1"/>
  <c r="X90" i="1"/>
  <c r="X86" i="1"/>
  <c r="X59" i="1"/>
  <c r="X31" i="1"/>
  <c r="X8" i="3" s="1"/>
  <c r="X20" i="3" s="1"/>
  <c r="X45" i="3" s="1"/>
  <c r="W90" i="1"/>
  <c r="W86" i="1"/>
  <c r="W59" i="1"/>
  <c r="W31" i="1"/>
  <c r="U90" i="1"/>
  <c r="U86" i="1"/>
  <c r="U59" i="1"/>
  <c r="U31" i="1"/>
  <c r="U8" i="3" s="1"/>
  <c r="U20" i="3" s="1"/>
  <c r="U45" i="3" s="1"/>
  <c r="T90" i="1"/>
  <c r="T86" i="1"/>
  <c r="T59" i="1"/>
  <c r="T31" i="1"/>
  <c r="T8" i="3" s="1"/>
  <c r="T20" i="3" s="1"/>
  <c r="T45" i="3" s="1"/>
  <c r="S90" i="1"/>
  <c r="S86" i="1"/>
  <c r="S59" i="1"/>
  <c r="S31" i="1"/>
  <c r="S8" i="3" s="1"/>
  <c r="S20" i="3" s="1"/>
  <c r="S45" i="3" s="1"/>
  <c r="R90" i="1"/>
  <c r="R86" i="1"/>
  <c r="R59" i="1"/>
  <c r="R31" i="1"/>
  <c r="O90" i="1"/>
  <c r="O86" i="1"/>
  <c r="O31" i="1"/>
  <c r="O8" i="3" s="1"/>
  <c r="O20" i="3" s="1"/>
  <c r="O45" i="3" s="1"/>
  <c r="N90" i="1"/>
  <c r="N86" i="1"/>
  <c r="N31" i="1"/>
  <c r="N8" i="3" s="1"/>
  <c r="N20" i="3" s="1"/>
  <c r="N45" i="3" s="1"/>
  <c r="P90" i="1"/>
  <c r="P86" i="1"/>
  <c r="P31" i="1"/>
  <c r="P8" i="3" s="1"/>
  <c r="P20" i="3" s="1"/>
  <c r="P45" i="3" s="1"/>
  <c r="M90" i="1"/>
  <c r="M86" i="1"/>
  <c r="L90" i="1"/>
  <c r="L86" i="1"/>
  <c r="K90" i="1"/>
  <c r="K86" i="1"/>
  <c r="BF95" i="1" l="1"/>
  <c r="G41" i="3"/>
  <c r="G42" i="3" s="1"/>
  <c r="H41" i="3"/>
  <c r="H42" i="3" s="1"/>
  <c r="BG95" i="1"/>
  <c r="BG94" i="1" s="1"/>
  <c r="E15" i="11"/>
  <c r="F15" i="11"/>
  <c r="E21" i="11"/>
  <c r="E9" i="11"/>
  <c r="D16" i="13"/>
  <c r="Q41" i="3"/>
  <c r="Q42" i="3" s="1"/>
  <c r="BE96" i="1"/>
  <c r="BK10" i="2"/>
  <c r="BL10" i="2" s="1"/>
  <c r="BA62" i="1"/>
  <c r="BB8" i="3"/>
  <c r="BB20" i="3" s="1"/>
  <c r="BB45" i="3" s="1"/>
  <c r="BB62" i="1"/>
  <c r="BC8" i="3"/>
  <c r="BC20" i="3" s="1"/>
  <c r="BC45" i="3" s="1"/>
  <c r="BC62" i="1"/>
  <c r="BE46" i="1"/>
  <c r="F36" i="6" s="1"/>
  <c r="F64" i="6"/>
  <c r="F6" i="13"/>
  <c r="G6" i="11" s="1"/>
  <c r="G14" i="11" s="1"/>
  <c r="F12" i="6"/>
  <c r="F17" i="6" s="1"/>
  <c r="BD48" i="1"/>
  <c r="BD47" i="1"/>
  <c r="BE16" i="1"/>
  <c r="BD49" i="1"/>
  <c r="BE18" i="1"/>
  <c r="BD23" i="1"/>
  <c r="BD51" i="1"/>
  <c r="BE20" i="1"/>
  <c r="BD52" i="1"/>
  <c r="BE21" i="1"/>
  <c r="BE52" i="1" s="1"/>
  <c r="BD53" i="1"/>
  <c r="BE22" i="1"/>
  <c r="BE53" i="1" s="1"/>
  <c r="BD56" i="1"/>
  <c r="BE25" i="1"/>
  <c r="BD57" i="1"/>
  <c r="BE26" i="1"/>
  <c r="BE57" i="1" s="1"/>
  <c r="BD58" i="1"/>
  <c r="BE27" i="1"/>
  <c r="BE58" i="1" s="1"/>
  <c r="BD50" i="1"/>
  <c r="BE19" i="1"/>
  <c r="BE50" i="1" s="1"/>
  <c r="BD14" i="2"/>
  <c r="BE22" i="3"/>
  <c r="BD27" i="3"/>
  <c r="BI46" i="1"/>
  <c r="BI22" i="3"/>
  <c r="BI27" i="1"/>
  <c r="BI26" i="1"/>
  <c r="BI25" i="1"/>
  <c r="BI22" i="1"/>
  <c r="BI21" i="1"/>
  <c r="BI20" i="1"/>
  <c r="BI19" i="1"/>
  <c r="BI18" i="1"/>
  <c r="BI16" i="1"/>
  <c r="BI17" i="1"/>
  <c r="BI48" i="1" s="1"/>
  <c r="BJ39" i="1"/>
  <c r="BK8" i="1"/>
  <c r="BK102" i="1" s="1"/>
  <c r="BK109" i="1" s="1"/>
  <c r="BK110" i="1" s="1"/>
  <c r="BJ15" i="1"/>
  <c r="G12" i="6" s="1"/>
  <c r="G17" i="6" s="1"/>
  <c r="BL40" i="1"/>
  <c r="BL41" i="1"/>
  <c r="BL42" i="1"/>
  <c r="BL43" i="1"/>
  <c r="BL44" i="1"/>
  <c r="BL45" i="1"/>
  <c r="BM14" i="1"/>
  <c r="BM108" i="1" s="1"/>
  <c r="BM9" i="1"/>
  <c r="BM103" i="1" s="1"/>
  <c r="BM10" i="1"/>
  <c r="BM104" i="1" s="1"/>
  <c r="BM11" i="1"/>
  <c r="BM105" i="1" s="1"/>
  <c r="BM12" i="1"/>
  <c r="BM106" i="1" s="1"/>
  <c r="BM13" i="1"/>
  <c r="BM107" i="1" s="1"/>
  <c r="BF29" i="1"/>
  <c r="BF60" i="1" s="1"/>
  <c r="BG29" i="1"/>
  <c r="BG60" i="1" s="1"/>
  <c r="BH29" i="1"/>
  <c r="BH60" i="1" s="1"/>
  <c r="BJ23" i="2"/>
  <c r="BI18" i="3"/>
  <c r="BJ18" i="3" s="1"/>
  <c r="BJ24" i="2"/>
  <c r="BI19" i="3"/>
  <c r="BJ19" i="3" s="1"/>
  <c r="G29" i="13"/>
  <c r="BK16" i="2"/>
  <c r="BL16" i="2"/>
  <c r="I29" i="13" s="1"/>
  <c r="BM17" i="2"/>
  <c r="J30" i="13" s="1"/>
  <c r="I30" i="13"/>
  <c r="BK15" i="3"/>
  <c r="AU32" i="1"/>
  <c r="AZ62" i="1"/>
  <c r="BK29" i="3"/>
  <c r="BJ36" i="3"/>
  <c r="G49" i="13" s="1"/>
  <c r="G25" i="13"/>
  <c r="F24" i="11"/>
  <c r="AZ47" i="3"/>
  <c r="AP47" i="3"/>
  <c r="C39" i="12"/>
  <c r="BI16" i="3"/>
  <c r="BJ11" i="2"/>
  <c r="BI25" i="2"/>
  <c r="BI17" i="3"/>
  <c r="BJ17" i="3" s="1"/>
  <c r="BJ22" i="2"/>
  <c r="BH32" i="2"/>
  <c r="BJ27" i="2"/>
  <c r="K8" i="3"/>
  <c r="K20" i="3" s="1"/>
  <c r="K45" i="3" s="1"/>
  <c r="L8" i="3"/>
  <c r="L20" i="3" s="1"/>
  <c r="L45" i="3" s="1"/>
  <c r="AY8" i="3"/>
  <c r="AY20" i="3" s="1"/>
  <c r="AY45" i="3" s="1"/>
  <c r="AY33" i="1"/>
  <c r="AZ33" i="1"/>
  <c r="E63" i="6" s="1"/>
  <c r="AZ32" i="1"/>
  <c r="AK8" i="3"/>
  <c r="AK20" i="3" s="1"/>
  <c r="AK49" i="3" s="1"/>
  <c r="AK32" i="1"/>
  <c r="AF8" i="3"/>
  <c r="AF20" i="3" s="1"/>
  <c r="AF49" i="3" s="1"/>
  <c r="AF32" i="1"/>
  <c r="AA8" i="3"/>
  <c r="AA20" i="3" s="1"/>
  <c r="AA45" i="3" s="1"/>
  <c r="AA32" i="1"/>
  <c r="V8" i="3"/>
  <c r="V20" i="3" s="1"/>
  <c r="V45" i="3" s="1"/>
  <c r="V32" i="1"/>
  <c r="AK48" i="3"/>
  <c r="M8" i="3"/>
  <c r="M20" i="3" s="1"/>
  <c r="M45" i="3" s="1"/>
  <c r="Q98" i="1"/>
  <c r="R8" i="3"/>
  <c r="R20" i="3" s="1"/>
  <c r="R45" i="3" s="1"/>
  <c r="V98" i="1"/>
  <c r="W8" i="3"/>
  <c r="W20" i="3" s="1"/>
  <c r="W45" i="3" s="1"/>
  <c r="AA98" i="1"/>
  <c r="AB8" i="3"/>
  <c r="AB20" i="3" s="1"/>
  <c r="AB45" i="3" s="1"/>
  <c r="AF98" i="1"/>
  <c r="AG8" i="3"/>
  <c r="AG20" i="3" s="1"/>
  <c r="AG45" i="3" s="1"/>
  <c r="AK98" i="1"/>
  <c r="AL8" i="3"/>
  <c r="AL20" i="3" s="1"/>
  <c r="AL45" i="3" s="1"/>
  <c r="AP98" i="1"/>
  <c r="C53" i="6" s="1"/>
  <c r="D32" i="11" s="1"/>
  <c r="AQ8" i="3"/>
  <c r="AQ20" i="3" s="1"/>
  <c r="AQ45" i="3" s="1"/>
  <c r="AU98" i="1"/>
  <c r="AV8" i="3"/>
  <c r="AV20" i="3" s="1"/>
  <c r="AV45" i="3" s="1"/>
  <c r="AZ98" i="1"/>
  <c r="E52" i="6" s="1"/>
  <c r="F31" i="11" s="1"/>
  <c r="BA8" i="3"/>
  <c r="BA20" i="3" s="1"/>
  <c r="BA45" i="3" s="1"/>
  <c r="BE98" i="1"/>
  <c r="D52" i="6"/>
  <c r="E31" i="11" s="1"/>
  <c r="D53" i="6"/>
  <c r="E32" i="11" s="1"/>
  <c r="BF94" i="1"/>
  <c r="AZ94" i="1"/>
  <c r="F8" i="11" s="1"/>
  <c r="F22" i="11" s="1"/>
  <c r="E26" i="6"/>
  <c r="E51" i="6"/>
  <c r="F30" i="11" s="1"/>
  <c r="E41" i="6"/>
  <c r="D26" i="6"/>
  <c r="D51" i="6"/>
  <c r="E30" i="11" s="1"/>
  <c r="D41" i="6"/>
  <c r="AU94" i="1"/>
  <c r="AP94" i="1"/>
  <c r="C26" i="6"/>
  <c r="C51" i="6"/>
  <c r="D30" i="11" s="1"/>
  <c r="C41" i="6"/>
  <c r="P41" i="3"/>
  <c r="P42" i="3" s="1"/>
  <c r="N41" i="3"/>
  <c r="N42" i="3" s="1"/>
  <c r="O41" i="3"/>
  <c r="O42" i="3" s="1"/>
  <c r="S41" i="3"/>
  <c r="S42" i="3" s="1"/>
  <c r="T41" i="3"/>
  <c r="T42" i="3" s="1"/>
  <c r="U41" i="3"/>
  <c r="U42" i="3" s="1"/>
  <c r="X41" i="3"/>
  <c r="X42" i="3" s="1"/>
  <c r="Y41" i="3"/>
  <c r="Y42" i="3" s="1"/>
  <c r="Z41" i="3"/>
  <c r="Z42" i="3" s="1"/>
  <c r="AC41" i="3"/>
  <c r="AC42" i="3" s="1"/>
  <c r="AD41" i="3"/>
  <c r="AD42" i="3" s="1"/>
  <c r="AE41" i="3"/>
  <c r="AE42" i="3" s="1"/>
  <c r="AG40" i="3" s="1"/>
  <c r="AH41" i="3"/>
  <c r="AI41" i="3"/>
  <c r="AJ41" i="3"/>
  <c r="AL41" i="3"/>
  <c r="AM41" i="3"/>
  <c r="AN41" i="3"/>
  <c r="AO41" i="3"/>
  <c r="AR41" i="3"/>
  <c r="AS41" i="3"/>
  <c r="AT41" i="3"/>
  <c r="AV41" i="3"/>
  <c r="AW41" i="3"/>
  <c r="AX41" i="3"/>
  <c r="BB41" i="3"/>
  <c r="E44" i="6"/>
  <c r="E20" i="12" s="1"/>
  <c r="AZ8" i="3"/>
  <c r="AZ20" i="3" s="1"/>
  <c r="E47" i="13" s="1"/>
  <c r="E53" i="13" s="1"/>
  <c r="E45" i="6"/>
  <c r="F25" i="11" s="1"/>
  <c r="E47" i="6"/>
  <c r="F26" i="11" s="1"/>
  <c r="E46" i="6"/>
  <c r="C44" i="6"/>
  <c r="C20" i="12" s="1"/>
  <c r="C47" i="6"/>
  <c r="D26" i="11" s="1"/>
  <c r="C46" i="6"/>
  <c r="C45" i="6"/>
  <c r="D25" i="11" s="1"/>
  <c r="AP8" i="3"/>
  <c r="AP20" i="3" s="1"/>
  <c r="C47" i="13" s="1"/>
  <c r="C53" i="13" s="1"/>
  <c r="C54" i="13" s="1"/>
  <c r="D52" i="13" s="1"/>
  <c r="D47" i="6"/>
  <c r="E26" i="11" s="1"/>
  <c r="D46" i="6"/>
  <c r="D45" i="6"/>
  <c r="E25" i="11" s="1"/>
  <c r="D44" i="6"/>
  <c r="D20" i="12" s="1"/>
  <c r="AU8" i="3"/>
  <c r="AU20" i="3" s="1"/>
  <c r="D47" i="13" s="1"/>
  <c r="D53" i="13" s="1"/>
  <c r="AA41" i="3"/>
  <c r="AA42" i="3" s="1"/>
  <c r="K89" i="1"/>
  <c r="L89" i="1"/>
  <c r="Q62" i="1"/>
  <c r="M89" i="1"/>
  <c r="P89" i="1"/>
  <c r="P33" i="1"/>
  <c r="N89" i="1"/>
  <c r="N33" i="1"/>
  <c r="O89" i="1"/>
  <c r="O33" i="1"/>
  <c r="R89" i="1"/>
  <c r="R62" i="1"/>
  <c r="R33" i="1"/>
  <c r="R63" i="1" s="1"/>
  <c r="S89" i="1"/>
  <c r="S62" i="1"/>
  <c r="S33" i="1"/>
  <c r="S63" i="1" s="1"/>
  <c r="T89" i="1"/>
  <c r="T62" i="1"/>
  <c r="T33" i="1"/>
  <c r="U89" i="1"/>
  <c r="U62" i="1"/>
  <c r="U33" i="1"/>
  <c r="U63" i="1" s="1"/>
  <c r="W89" i="1"/>
  <c r="W62" i="1"/>
  <c r="W33" i="1"/>
  <c r="W63" i="1" s="1"/>
  <c r="X89" i="1"/>
  <c r="X62" i="1"/>
  <c r="X33" i="1"/>
  <c r="X63" i="1" s="1"/>
  <c r="Y89" i="1"/>
  <c r="Y62" i="1"/>
  <c r="Y33" i="1"/>
  <c r="Y63" i="1" s="1"/>
  <c r="Z89" i="1"/>
  <c r="Z62" i="1"/>
  <c r="Z33" i="1"/>
  <c r="Z63" i="1" s="1"/>
  <c r="AB89" i="1"/>
  <c r="AB62" i="1"/>
  <c r="AB33" i="1"/>
  <c r="AB63" i="1" s="1"/>
  <c r="AC89" i="1"/>
  <c r="AC62" i="1"/>
  <c r="AC33" i="1"/>
  <c r="AC63" i="1" s="1"/>
  <c r="AD89" i="1"/>
  <c r="AD62" i="1"/>
  <c r="AD33" i="1"/>
  <c r="AD63" i="1" s="1"/>
  <c r="AE89" i="1"/>
  <c r="AE62" i="1"/>
  <c r="AE33" i="1"/>
  <c r="AE63" i="1" s="1"/>
  <c r="AG89" i="1"/>
  <c r="AG62" i="1"/>
  <c r="AG33" i="1"/>
  <c r="AG63" i="1" s="1"/>
  <c r="AH89" i="1"/>
  <c r="AH62" i="1"/>
  <c r="AH33" i="1"/>
  <c r="AH63" i="1" s="1"/>
  <c r="AI89" i="1"/>
  <c r="AI62" i="1"/>
  <c r="AI33" i="1"/>
  <c r="AI63" i="1" s="1"/>
  <c r="AJ89" i="1"/>
  <c r="AJ62" i="1"/>
  <c r="AJ33" i="1"/>
  <c r="AJ63" i="1" s="1"/>
  <c r="AL89" i="1"/>
  <c r="AL62" i="1"/>
  <c r="AL33" i="1"/>
  <c r="AL63" i="1" s="1"/>
  <c r="AM89" i="1"/>
  <c r="AM62" i="1"/>
  <c r="AM33" i="1"/>
  <c r="AM63" i="1" s="1"/>
  <c r="AN89" i="1"/>
  <c r="AN62" i="1"/>
  <c r="AN33" i="1"/>
  <c r="AN63" i="1" s="1"/>
  <c r="AO89" i="1"/>
  <c r="AO62" i="1"/>
  <c r="AO33" i="1"/>
  <c r="AO63" i="1" s="1"/>
  <c r="AQ89" i="1"/>
  <c r="AQ62" i="1"/>
  <c r="AQ33" i="1"/>
  <c r="AQ63" i="1" s="1"/>
  <c r="AR89" i="1"/>
  <c r="AR62" i="1"/>
  <c r="AR33" i="1"/>
  <c r="AR63" i="1" s="1"/>
  <c r="AS89" i="1"/>
  <c r="AS62" i="1"/>
  <c r="AS33" i="1"/>
  <c r="AS63" i="1" s="1"/>
  <c r="AT89" i="1"/>
  <c r="AT62" i="1"/>
  <c r="AT33" i="1"/>
  <c r="AT63" i="1" s="1"/>
  <c r="AV89" i="1"/>
  <c r="AV62" i="1"/>
  <c r="AV33" i="1"/>
  <c r="AV63" i="1" s="1"/>
  <c r="AW89" i="1"/>
  <c r="AW62" i="1"/>
  <c r="AW33" i="1"/>
  <c r="AW63" i="1" s="1"/>
  <c r="AX89" i="1"/>
  <c r="AX62" i="1"/>
  <c r="AX33" i="1"/>
  <c r="AX63" i="1" s="1"/>
  <c r="AY89" i="1"/>
  <c r="AY62" i="1"/>
  <c r="BA89" i="1"/>
  <c r="BA33" i="1"/>
  <c r="BB89" i="1"/>
  <c r="BB33" i="1"/>
  <c r="BC89" i="1"/>
  <c r="BC33" i="1"/>
  <c r="BC63" i="1" s="1"/>
  <c r="Q63" i="1"/>
  <c r="AZ89" i="1"/>
  <c r="AP33" i="1"/>
  <c r="C63" i="6" s="1"/>
  <c r="AP89" i="1"/>
  <c r="AP62" i="1"/>
  <c r="D17" i="11" s="1"/>
  <c r="AU33" i="1"/>
  <c r="AU89" i="1"/>
  <c r="AU62" i="1"/>
  <c r="AK33" i="1"/>
  <c r="AK89" i="1"/>
  <c r="AK62" i="1"/>
  <c r="AF33" i="1"/>
  <c r="AF89" i="1"/>
  <c r="AF62" i="1"/>
  <c r="AA33" i="1"/>
  <c r="AA89" i="1"/>
  <c r="AA62" i="1"/>
  <c r="V33" i="1"/>
  <c r="V63" i="1" s="1"/>
  <c r="V89" i="1"/>
  <c r="V62" i="1"/>
  <c r="AY41" i="3" l="1"/>
  <c r="R41" i="3"/>
  <c r="R42" i="3" s="1"/>
  <c r="L41" i="3"/>
  <c r="L42" i="3" s="1"/>
  <c r="AK41" i="3"/>
  <c r="AK42" i="3" s="1"/>
  <c r="AB41" i="3"/>
  <c r="AB42" i="3" s="1"/>
  <c r="AQ41" i="3"/>
  <c r="M41" i="3"/>
  <c r="M42" i="3" s="1"/>
  <c r="AF45" i="3"/>
  <c r="AY63" i="1"/>
  <c r="BA41" i="3"/>
  <c r="AG41" i="3"/>
  <c r="V41" i="3"/>
  <c r="V42" i="3" s="1"/>
  <c r="E53" i="6"/>
  <c r="F32" i="11" s="1"/>
  <c r="W41" i="3"/>
  <c r="W42" i="3" s="1"/>
  <c r="BA63" i="1"/>
  <c r="T63" i="1"/>
  <c r="AZ63" i="1"/>
  <c r="AF41" i="3"/>
  <c r="AF42" i="3" s="1"/>
  <c r="F16" i="11"/>
  <c r="E23" i="11"/>
  <c r="E16" i="11"/>
  <c r="AF48" i="3"/>
  <c r="BC41" i="3"/>
  <c r="K41" i="3"/>
  <c r="K42" i="3" s="1"/>
  <c r="C52" i="6"/>
  <c r="D31" i="11" s="1"/>
  <c r="E10" i="11"/>
  <c r="D19" i="13"/>
  <c r="E11" i="11" s="1"/>
  <c r="AG42" i="3"/>
  <c r="AH40" i="3" s="1"/>
  <c r="AH42" i="3" s="1"/>
  <c r="AI40" i="3" s="1"/>
  <c r="AI42" i="3" s="1"/>
  <c r="AJ40" i="3" s="1"/>
  <c r="AJ42" i="3" s="1"/>
  <c r="AL40" i="3" s="1"/>
  <c r="AL42" i="3" s="1"/>
  <c r="AM40" i="3" s="1"/>
  <c r="AM42" i="3" s="1"/>
  <c r="AN40" i="3" s="1"/>
  <c r="AN42" i="3" s="1"/>
  <c r="AO40" i="3" s="1"/>
  <c r="AO42" i="3" s="1"/>
  <c r="AQ40" i="3" s="1"/>
  <c r="AQ42" i="3" s="1"/>
  <c r="AR40" i="3" s="1"/>
  <c r="AR42" i="3" s="1"/>
  <c r="AS40" i="3" s="1"/>
  <c r="AS42" i="3" s="1"/>
  <c r="AT40" i="3" s="1"/>
  <c r="AT42" i="3" s="1"/>
  <c r="AV40" i="3" s="1"/>
  <c r="AV42" i="3" s="1"/>
  <c r="AW40" i="3" s="1"/>
  <c r="AW42" i="3" s="1"/>
  <c r="AX40" i="3" s="1"/>
  <c r="AX42" i="3" s="1"/>
  <c r="AY40" i="3" s="1"/>
  <c r="AY42" i="3" s="1"/>
  <c r="BA40" i="3" s="1"/>
  <c r="BA42" i="3" s="1"/>
  <c r="BB40" i="3" s="1"/>
  <c r="BB42" i="3" s="1"/>
  <c r="BC40" i="3" s="1"/>
  <c r="BC42" i="3" s="1"/>
  <c r="BD40" i="3" s="1"/>
  <c r="BB63" i="1"/>
  <c r="AK45" i="3"/>
  <c r="O18" i="12"/>
  <c r="O11" i="12"/>
  <c r="BJ46" i="1"/>
  <c r="G36" i="6" s="1"/>
  <c r="G6" i="13"/>
  <c r="BK97" i="1"/>
  <c r="BK39" i="1"/>
  <c r="BL8" i="1"/>
  <c r="BL102" i="1" s="1"/>
  <c r="BL109" i="1" s="1"/>
  <c r="BL110" i="1" s="1"/>
  <c r="BK15" i="1"/>
  <c r="BI47" i="1"/>
  <c r="BJ16" i="1"/>
  <c r="BI49" i="1"/>
  <c r="BI23" i="1"/>
  <c r="BJ18" i="1"/>
  <c r="BI50" i="1"/>
  <c r="BJ19" i="1"/>
  <c r="BJ50" i="1" s="1"/>
  <c r="BI51" i="1"/>
  <c r="BJ20" i="1"/>
  <c r="BI52" i="1"/>
  <c r="BJ21" i="1"/>
  <c r="BJ52" i="1" s="1"/>
  <c r="BI53" i="1"/>
  <c r="BJ22" i="1"/>
  <c r="BJ53" i="1" s="1"/>
  <c r="BI56" i="1"/>
  <c r="BJ25" i="1"/>
  <c r="BI57" i="1"/>
  <c r="BJ26" i="1"/>
  <c r="BJ57" i="1" s="1"/>
  <c r="BI58" i="1"/>
  <c r="BJ27" i="1"/>
  <c r="BJ58" i="1" s="1"/>
  <c r="BI27" i="3"/>
  <c r="BJ22" i="3"/>
  <c r="C9" i="10"/>
  <c r="BE27" i="3"/>
  <c r="F48" i="13" s="1"/>
  <c r="BE14" i="2"/>
  <c r="BD50" i="2"/>
  <c r="F14" i="6" s="1"/>
  <c r="BD18" i="2"/>
  <c r="BE56" i="1"/>
  <c r="F13" i="13"/>
  <c r="BE51" i="1"/>
  <c r="F39" i="6"/>
  <c r="BD54" i="1"/>
  <c r="BD24" i="1"/>
  <c r="BE49" i="1"/>
  <c r="F10" i="13"/>
  <c r="BE23" i="1"/>
  <c r="BE54" i="1" s="1"/>
  <c r="BE47" i="1"/>
  <c r="F7" i="13"/>
  <c r="F8" i="13" s="1"/>
  <c r="G7" i="11" s="1"/>
  <c r="F13" i="6"/>
  <c r="F19" i="6" s="1"/>
  <c r="F11" i="6"/>
  <c r="BE17" i="1"/>
  <c r="BM44" i="1"/>
  <c r="BM43" i="1"/>
  <c r="BM42" i="1"/>
  <c r="BM41" i="1"/>
  <c r="BM40" i="1"/>
  <c r="BM45" i="1"/>
  <c r="BH31" i="1"/>
  <c r="BG31" i="1"/>
  <c r="BF31" i="1"/>
  <c r="BK27" i="2"/>
  <c r="G36" i="13"/>
  <c r="G35" i="13"/>
  <c r="BK24" i="2"/>
  <c r="BK23" i="2"/>
  <c r="G34" i="13"/>
  <c r="H29" i="13"/>
  <c r="BM16" i="2"/>
  <c r="J29" i="13" s="1"/>
  <c r="C65" i="6"/>
  <c r="D8" i="11"/>
  <c r="D22" i="11" s="1"/>
  <c r="D65" i="6"/>
  <c r="E8" i="11"/>
  <c r="E22" i="11" s="1"/>
  <c r="BM10" i="2"/>
  <c r="BL15" i="3"/>
  <c r="G26" i="13"/>
  <c r="BK11" i="2"/>
  <c r="D54" i="13"/>
  <c r="E52" i="13" s="1"/>
  <c r="E54" i="13" s="1"/>
  <c r="F52" i="13" s="1"/>
  <c r="BL29" i="3"/>
  <c r="BK36" i="3"/>
  <c r="H25" i="13"/>
  <c r="BJ25" i="2"/>
  <c r="BK22" i="2"/>
  <c r="G33" i="13"/>
  <c r="AZ49" i="3"/>
  <c r="AZ46" i="3"/>
  <c r="F37" i="11" s="1"/>
  <c r="AU46" i="3"/>
  <c r="E37" i="11" s="1"/>
  <c r="AU49" i="3"/>
  <c r="AP46" i="3"/>
  <c r="D37" i="11" s="1"/>
  <c r="AP49" i="3"/>
  <c r="BI47" i="2"/>
  <c r="BJ28" i="2"/>
  <c r="BK28" i="2" s="1"/>
  <c r="BI30" i="2"/>
  <c r="BI32" i="2" s="1"/>
  <c r="BJ30" i="2"/>
  <c r="BJ32" i="2" s="1"/>
  <c r="BJ16" i="3"/>
  <c r="AU63" i="1"/>
  <c r="D63" i="6"/>
  <c r="AU45" i="3"/>
  <c r="D66" i="6" s="1"/>
  <c r="AU48" i="3"/>
  <c r="AP48" i="3"/>
  <c r="AP45" i="3"/>
  <c r="C66" i="6" s="1"/>
  <c r="AZ48" i="3"/>
  <c r="AZ45" i="3"/>
  <c r="E66" i="6" s="1"/>
  <c r="E65" i="6"/>
  <c r="D29" i="6"/>
  <c r="E30" i="6"/>
  <c r="E29" i="6"/>
  <c r="E25" i="6"/>
  <c r="C31" i="6"/>
  <c r="C28" i="6"/>
  <c r="C27" i="6"/>
  <c r="C56" i="6"/>
  <c r="C40" i="6"/>
  <c r="C37" i="6"/>
  <c r="D56" i="6"/>
  <c r="D31" i="6"/>
  <c r="D28" i="6"/>
  <c r="D27" i="6"/>
  <c r="D40" i="6"/>
  <c r="D37" i="6"/>
  <c r="E31" i="6"/>
  <c r="E28" i="6"/>
  <c r="E27" i="6"/>
  <c r="E56" i="6"/>
  <c r="E40" i="6"/>
  <c r="E37" i="6"/>
  <c r="AU41" i="3"/>
  <c r="AU42" i="3" s="1"/>
  <c r="AZ40" i="3" s="1"/>
  <c r="AP41" i="3"/>
  <c r="AP42" i="3" s="1"/>
  <c r="AZ41" i="3"/>
  <c r="AA63" i="1"/>
  <c r="AF63" i="1"/>
  <c r="AK63" i="1"/>
  <c r="AP63" i="1"/>
  <c r="D18" i="11" s="1"/>
  <c r="D30" i="6" l="1"/>
  <c r="C29" i="6"/>
  <c r="E18" i="11"/>
  <c r="F18" i="11"/>
  <c r="C30" i="6"/>
  <c r="F17" i="11"/>
  <c r="E17" i="11"/>
  <c r="E24" i="11"/>
  <c r="AZ42" i="3"/>
  <c r="BE40" i="3" s="1"/>
  <c r="C25" i="6"/>
  <c r="D25" i="6"/>
  <c r="H12" i="6"/>
  <c r="H17" i="6" s="1"/>
  <c r="H6" i="11"/>
  <c r="H14" i="11" s="1"/>
  <c r="BM15" i="3"/>
  <c r="BF62" i="1"/>
  <c r="BG62" i="1"/>
  <c r="BH62" i="1"/>
  <c r="BE48" i="1"/>
  <c r="F38" i="6"/>
  <c r="BE24" i="1"/>
  <c r="F18" i="6"/>
  <c r="F20" i="6" s="1"/>
  <c r="G21" i="11"/>
  <c r="G15" i="11"/>
  <c r="F11" i="13"/>
  <c r="G9" i="11" s="1"/>
  <c r="BD55" i="1"/>
  <c r="BD28" i="1"/>
  <c r="F27" i="13"/>
  <c r="BF14" i="2"/>
  <c r="BE18" i="2"/>
  <c r="BE50" i="2"/>
  <c r="D9" i="10"/>
  <c r="BJ27" i="3"/>
  <c r="G48" i="13" s="1"/>
  <c r="BJ56" i="1"/>
  <c r="G13" i="13"/>
  <c r="BJ51" i="1"/>
  <c r="G39" i="6"/>
  <c r="BJ49" i="1"/>
  <c r="G10" i="13"/>
  <c r="BJ23" i="1"/>
  <c r="BJ54" i="1" s="1"/>
  <c r="BI54" i="1"/>
  <c r="BI24" i="1"/>
  <c r="BJ47" i="1"/>
  <c r="G7" i="13"/>
  <c r="G8" i="13" s="1"/>
  <c r="G11" i="6"/>
  <c r="BJ17" i="1"/>
  <c r="G13" i="6"/>
  <c r="G19" i="6" s="1"/>
  <c r="BK46" i="1"/>
  <c r="H36" i="6" s="1"/>
  <c r="BL97" i="1"/>
  <c r="BK22" i="3"/>
  <c r="BK9" i="3"/>
  <c r="H6" i="13"/>
  <c r="P18" i="12"/>
  <c r="BK27" i="1"/>
  <c r="BK58" i="1" s="1"/>
  <c r="BK26" i="1"/>
  <c r="BK57" i="1" s="1"/>
  <c r="BK25" i="1"/>
  <c r="BK22" i="1"/>
  <c r="BK53" i="1" s="1"/>
  <c r="BK21" i="1"/>
  <c r="BK52" i="1" s="1"/>
  <c r="BK20" i="1"/>
  <c r="BK19" i="1"/>
  <c r="BK50" i="1" s="1"/>
  <c r="BK18" i="1"/>
  <c r="BK16" i="1"/>
  <c r="BK17" i="1" s="1"/>
  <c r="BL39" i="1"/>
  <c r="BM8" i="1"/>
  <c r="BM102" i="1" s="1"/>
  <c r="BM109" i="1" s="1"/>
  <c r="BM110" i="1" s="1"/>
  <c r="BL15" i="1"/>
  <c r="BF8" i="3"/>
  <c r="BF20" i="3" s="1"/>
  <c r="BF33" i="1"/>
  <c r="BF63" i="1" s="1"/>
  <c r="BG8" i="3"/>
  <c r="BG20" i="3" s="1"/>
  <c r="BG33" i="1"/>
  <c r="BG63" i="1" s="1"/>
  <c r="BH8" i="3"/>
  <c r="BH20" i="3" s="1"/>
  <c r="BH33" i="1"/>
  <c r="BH63" i="1" s="1"/>
  <c r="BK47" i="2"/>
  <c r="BL28" i="2"/>
  <c r="H37" i="13"/>
  <c r="BL27" i="2"/>
  <c r="BK30" i="2"/>
  <c r="H36" i="13"/>
  <c r="BK17" i="3"/>
  <c r="BL22" i="2"/>
  <c r="BK18" i="3"/>
  <c r="BL23" i="2"/>
  <c r="H34" i="13"/>
  <c r="BK19" i="3"/>
  <c r="BL24" i="2"/>
  <c r="H35" i="13"/>
  <c r="BL11" i="2"/>
  <c r="BK16" i="3"/>
  <c r="H26" i="13"/>
  <c r="H49" i="13"/>
  <c r="BM29" i="3"/>
  <c r="BM36" i="3" s="1"/>
  <c r="BL36" i="3"/>
  <c r="I25" i="13"/>
  <c r="BK25" i="2"/>
  <c r="BK32" i="2" s="1"/>
  <c r="H33" i="13"/>
  <c r="H39" i="13" s="1"/>
  <c r="BJ47" i="2"/>
  <c r="G37" i="13"/>
  <c r="G39" i="13" s="1"/>
  <c r="I12" i="6" l="1"/>
  <c r="I17" i="6" s="1"/>
  <c r="H13" i="6"/>
  <c r="H19" i="6" s="1"/>
  <c r="H11" i="6"/>
  <c r="BL46" i="1"/>
  <c r="I36" i="6" s="1"/>
  <c r="I6" i="13"/>
  <c r="J6" i="11" s="1"/>
  <c r="BM97" i="1"/>
  <c r="BL22" i="3"/>
  <c r="Q18" i="12"/>
  <c r="BL16" i="1"/>
  <c r="BL17" i="1" s="1"/>
  <c r="BL22" i="1"/>
  <c r="BL53" i="1" s="1"/>
  <c r="BL21" i="1"/>
  <c r="BL52" i="1" s="1"/>
  <c r="BL20" i="1"/>
  <c r="BL19" i="1"/>
  <c r="BL50" i="1" s="1"/>
  <c r="BL18" i="1"/>
  <c r="BL27" i="1"/>
  <c r="BL58" i="1" s="1"/>
  <c r="BL26" i="1"/>
  <c r="BL57" i="1" s="1"/>
  <c r="BL25" i="1"/>
  <c r="BL9" i="3"/>
  <c r="BM39" i="1"/>
  <c r="BM15" i="1"/>
  <c r="BK48" i="1"/>
  <c r="H38" i="6"/>
  <c r="BK47" i="1"/>
  <c r="H7" i="13"/>
  <c r="BK49" i="1"/>
  <c r="H10" i="13"/>
  <c r="BK23" i="1"/>
  <c r="BK51" i="1"/>
  <c r="H39" i="6"/>
  <c r="BK56" i="1"/>
  <c r="H13" i="13"/>
  <c r="H8" i="13"/>
  <c r="I6" i="11"/>
  <c r="I14" i="11" s="1"/>
  <c r="E8" i="10"/>
  <c r="BK93" i="1"/>
  <c r="E9" i="10"/>
  <c r="BK27" i="3"/>
  <c r="H48" i="13" s="1"/>
  <c r="BJ48" i="1"/>
  <c r="G38" i="6"/>
  <c r="BJ24" i="1"/>
  <c r="G18" i="6"/>
  <c r="G20" i="6" s="1"/>
  <c r="H7" i="11"/>
  <c r="G11" i="13"/>
  <c r="H9" i="11" s="1"/>
  <c r="BI55" i="1"/>
  <c r="BI28" i="1"/>
  <c r="BG14" i="2"/>
  <c r="BF50" i="2"/>
  <c r="BF18" i="2"/>
  <c r="BD59" i="1"/>
  <c r="BD29" i="1"/>
  <c r="BD31" i="1" s="1"/>
  <c r="BD95" i="1"/>
  <c r="G23" i="11"/>
  <c r="G16" i="11"/>
  <c r="BE55" i="1"/>
  <c r="F43" i="6"/>
  <c r="BE28" i="1"/>
  <c r="BH45" i="3"/>
  <c r="BH41" i="3"/>
  <c r="BG45" i="3"/>
  <c r="BG41" i="3"/>
  <c r="BF45" i="3"/>
  <c r="BF41" i="3"/>
  <c r="BM27" i="2"/>
  <c r="BL30" i="2"/>
  <c r="I36" i="13"/>
  <c r="BM28" i="2"/>
  <c r="BL47" i="2"/>
  <c r="I37" i="13"/>
  <c r="BL19" i="3"/>
  <c r="BM24" i="2"/>
  <c r="I35" i="13"/>
  <c r="BL18" i="3"/>
  <c r="BM23" i="2"/>
  <c r="I34" i="13"/>
  <c r="BL17" i="3"/>
  <c r="BM22" i="2"/>
  <c r="BM17" i="3" s="1"/>
  <c r="BM11" i="2"/>
  <c r="BL16" i="3"/>
  <c r="I26" i="13"/>
  <c r="I49" i="13"/>
  <c r="J49" i="13"/>
  <c r="J25" i="13"/>
  <c r="BL25" i="2"/>
  <c r="I33" i="13"/>
  <c r="I39" i="13" s="1"/>
  <c r="BL32" i="2" l="1"/>
  <c r="J12" i="6"/>
  <c r="J17" i="6" s="1"/>
  <c r="I13" i="6"/>
  <c r="I19" i="6" s="1"/>
  <c r="I11" i="6"/>
  <c r="I18" i="6" s="1"/>
  <c r="H18" i="6"/>
  <c r="H20" i="6" s="1"/>
  <c r="BE59" i="1"/>
  <c r="BE95" i="1"/>
  <c r="F42" i="6"/>
  <c r="BD62" i="1"/>
  <c r="BD8" i="3"/>
  <c r="BD20" i="3" s="1"/>
  <c r="BD39" i="2"/>
  <c r="BD33" i="1"/>
  <c r="BD63" i="1" s="1"/>
  <c r="BJ98" i="1"/>
  <c r="BD94" i="1"/>
  <c r="BJ96" i="1"/>
  <c r="BD60" i="1"/>
  <c r="BE29" i="1"/>
  <c r="BH14" i="2"/>
  <c r="BG18" i="2"/>
  <c r="BG50" i="2"/>
  <c r="BI59" i="1"/>
  <c r="BI29" i="1"/>
  <c r="BI31" i="1" s="1"/>
  <c r="BI95" i="1"/>
  <c r="BI94" i="1" s="1"/>
  <c r="H23" i="11"/>
  <c r="H16" i="11"/>
  <c r="H21" i="11"/>
  <c r="H15" i="11"/>
  <c r="BJ55" i="1"/>
  <c r="G43" i="6"/>
  <c r="BJ28" i="1"/>
  <c r="H11" i="13"/>
  <c r="I9" i="11" s="1"/>
  <c r="I7" i="11"/>
  <c r="BK54" i="1"/>
  <c r="BK24" i="1"/>
  <c r="BM46" i="1"/>
  <c r="J36" i="6" s="1"/>
  <c r="J6" i="13"/>
  <c r="K6" i="11" s="1"/>
  <c r="K14" i="11" s="1"/>
  <c r="BM22" i="3"/>
  <c r="BM16" i="1"/>
  <c r="BM17" i="1" s="1"/>
  <c r="BM22" i="1"/>
  <c r="BM53" i="1" s="1"/>
  <c r="BM21" i="1"/>
  <c r="BM52" i="1" s="1"/>
  <c r="BM20" i="1"/>
  <c r="BM19" i="1"/>
  <c r="BM50" i="1" s="1"/>
  <c r="BM18" i="1"/>
  <c r="BM27" i="1"/>
  <c r="BM58" i="1" s="1"/>
  <c r="BM26" i="1"/>
  <c r="BM57" i="1" s="1"/>
  <c r="BM25" i="1"/>
  <c r="R18" i="12"/>
  <c r="J14" i="10" s="1"/>
  <c r="BM9" i="3"/>
  <c r="BL48" i="1"/>
  <c r="I38" i="6"/>
  <c r="F8" i="10"/>
  <c r="BL93" i="1"/>
  <c r="BL56" i="1"/>
  <c r="I13" i="13"/>
  <c r="BL49" i="1"/>
  <c r="I10" i="13"/>
  <c r="BL23" i="1"/>
  <c r="BL51" i="1"/>
  <c r="I39" i="6"/>
  <c r="BL47" i="1"/>
  <c r="I7" i="13"/>
  <c r="I8" i="13" s="1"/>
  <c r="BL27" i="3"/>
  <c r="I48" i="13" s="1"/>
  <c r="F9" i="10"/>
  <c r="J14" i="11"/>
  <c r="BM47" i="2"/>
  <c r="J37" i="13"/>
  <c r="BM30" i="2"/>
  <c r="J36" i="13"/>
  <c r="BM18" i="3"/>
  <c r="J34" i="13"/>
  <c r="BM19" i="3"/>
  <c r="J35" i="13"/>
  <c r="BM16" i="3"/>
  <c r="J26" i="13"/>
  <c r="BM25" i="2"/>
  <c r="J33" i="13"/>
  <c r="J39" i="13" s="1"/>
  <c r="BM32" i="2" l="1"/>
  <c r="I20" i="6"/>
  <c r="J13" i="6"/>
  <c r="J19" i="6" s="1"/>
  <c r="J11" i="6"/>
  <c r="I11" i="13"/>
  <c r="J9" i="11" s="1"/>
  <c r="J7" i="11"/>
  <c r="BL54" i="1"/>
  <c r="BL24" i="1"/>
  <c r="BM48" i="1"/>
  <c r="J38" i="6"/>
  <c r="G8" i="10"/>
  <c r="BM93" i="1"/>
  <c r="BM56" i="1"/>
  <c r="J13" i="13"/>
  <c r="BM49" i="1"/>
  <c r="J10" i="13"/>
  <c r="BM23" i="1"/>
  <c r="BM51" i="1"/>
  <c r="J39" i="6"/>
  <c r="BM47" i="1"/>
  <c r="J7" i="13"/>
  <c r="J8" i="13" s="1"/>
  <c r="BM27" i="3"/>
  <c r="J48" i="13" s="1"/>
  <c r="G9" i="10"/>
  <c r="BK55" i="1"/>
  <c r="H43" i="6"/>
  <c r="BK28" i="1"/>
  <c r="I21" i="11"/>
  <c r="I15" i="11"/>
  <c r="I23" i="11"/>
  <c r="I16" i="11"/>
  <c r="BJ59" i="1"/>
  <c r="BJ95" i="1"/>
  <c r="G42" i="6"/>
  <c r="BI62" i="1"/>
  <c r="BI8" i="3"/>
  <c r="BI20" i="3" s="1"/>
  <c r="BI33" i="1"/>
  <c r="BI63" i="1" s="1"/>
  <c r="BI60" i="1"/>
  <c r="BJ29" i="1"/>
  <c r="BI14" i="2"/>
  <c r="BH18" i="2"/>
  <c r="BH50" i="2"/>
  <c r="BE60" i="1"/>
  <c r="F14" i="13"/>
  <c r="F16" i="13" s="1"/>
  <c r="BE31" i="1"/>
  <c r="BD40" i="2"/>
  <c r="BE39" i="2"/>
  <c r="BD45" i="3"/>
  <c r="BD41" i="3"/>
  <c r="BD42" i="3" s="1"/>
  <c r="BF40" i="3" s="1"/>
  <c r="BF42" i="3" s="1"/>
  <c r="BE94" i="1"/>
  <c r="C5" i="10"/>
  <c r="C7" i="10" s="1"/>
  <c r="F51" i="6"/>
  <c r="G30" i="11" s="1"/>
  <c r="F41" i="6"/>
  <c r="F26" i="6"/>
  <c r="J18" i="6" l="1"/>
  <c r="J20" i="6" s="1"/>
  <c r="G8" i="11"/>
  <c r="G22" i="11" s="1"/>
  <c r="F65" i="6"/>
  <c r="F56" i="6"/>
  <c r="F40" i="6"/>
  <c r="F27" i="6"/>
  <c r="F28" i="6"/>
  <c r="F37" i="6"/>
  <c r="BG40" i="3"/>
  <c r="BG42" i="3" s="1"/>
  <c r="BK40" i="3"/>
  <c r="BF39" i="2"/>
  <c r="BE40" i="2"/>
  <c r="BD8" i="2"/>
  <c r="BD42" i="2"/>
  <c r="F32" i="6"/>
  <c r="F16" i="6"/>
  <c r="BD49" i="2"/>
  <c r="F47" i="6" s="1"/>
  <c r="G26" i="11" s="1"/>
  <c r="F31" i="6"/>
  <c r="BE62" i="1"/>
  <c r="BE8" i="3"/>
  <c r="BE20" i="3" s="1"/>
  <c r="BE32" i="1"/>
  <c r="F53" i="6"/>
  <c r="G32" i="11" s="1"/>
  <c r="F52" i="6"/>
  <c r="G31" i="11" s="1"/>
  <c r="F44" i="6"/>
  <c r="F45" i="6"/>
  <c r="G25" i="11" s="1"/>
  <c r="BE33" i="1"/>
  <c r="F19" i="13"/>
  <c r="G11" i="11" s="1"/>
  <c r="G18" i="11" s="1"/>
  <c r="G10" i="11"/>
  <c r="BJ14" i="2"/>
  <c r="BI18" i="2"/>
  <c r="BI50" i="2"/>
  <c r="G14" i="6" s="1"/>
  <c r="BJ60" i="1"/>
  <c r="G14" i="13"/>
  <c r="G16" i="13" s="1"/>
  <c r="BJ31" i="1"/>
  <c r="BI45" i="3"/>
  <c r="BI41" i="3"/>
  <c r="G26" i="6"/>
  <c r="BK96" i="1"/>
  <c r="BJ94" i="1"/>
  <c r="G51" i="6"/>
  <c r="H30" i="11" s="1"/>
  <c r="D5" i="10"/>
  <c r="D7" i="10" s="1"/>
  <c r="G41" i="6"/>
  <c r="BK59" i="1"/>
  <c r="H42" i="6"/>
  <c r="BK95" i="1"/>
  <c r="BK29" i="1"/>
  <c r="BK31" i="1" s="1"/>
  <c r="J11" i="13"/>
  <c r="K9" i="11" s="1"/>
  <c r="K16" i="11" s="1"/>
  <c r="K7" i="11"/>
  <c r="BM54" i="1"/>
  <c r="BM24" i="1"/>
  <c r="BL55" i="1"/>
  <c r="I43" i="6"/>
  <c r="BL28" i="1"/>
  <c r="J21" i="11"/>
  <c r="J15" i="11"/>
  <c r="J23" i="11"/>
  <c r="J16" i="11"/>
  <c r="BL59" i="1" l="1"/>
  <c r="BL29" i="1"/>
  <c r="BL31" i="1" s="1"/>
  <c r="I42" i="6"/>
  <c r="BL95" i="1"/>
  <c r="BM55" i="1"/>
  <c r="J43" i="6"/>
  <c r="BM28" i="1"/>
  <c r="K21" i="11"/>
  <c r="K15" i="11"/>
  <c r="K23" i="11"/>
  <c r="BK62" i="1"/>
  <c r="H44" i="6"/>
  <c r="BL98" i="1"/>
  <c r="BK8" i="3"/>
  <c r="BK20" i="3" s="1"/>
  <c r="BK33" i="1"/>
  <c r="BK32" i="1"/>
  <c r="BK60" i="1"/>
  <c r="H14" i="13"/>
  <c r="H16" i="13" s="1"/>
  <c r="H26" i="6"/>
  <c r="E5" i="10"/>
  <c r="E7" i="10" s="1"/>
  <c r="BK94" i="1"/>
  <c r="H41" i="6"/>
  <c r="BL96" i="1"/>
  <c r="H51" i="6"/>
  <c r="I30" i="11" s="1"/>
  <c r="H8" i="11"/>
  <c r="H22" i="11" s="1"/>
  <c r="G56" i="6"/>
  <c r="G40" i="6"/>
  <c r="G37" i="6"/>
  <c r="G27" i="6"/>
  <c r="G28" i="6"/>
  <c r="BJ62" i="1"/>
  <c r="BK98" i="1"/>
  <c r="G53" i="6"/>
  <c r="H32" i="11" s="1"/>
  <c r="BJ32" i="1"/>
  <c r="BJ8" i="3"/>
  <c r="BJ20" i="3" s="1"/>
  <c r="G52" i="6"/>
  <c r="H31" i="11" s="1"/>
  <c r="G44" i="6"/>
  <c r="BJ33" i="1"/>
  <c r="BJ63" i="1" s="1"/>
  <c r="G19" i="13"/>
  <c r="H11" i="11" s="1"/>
  <c r="H18" i="11" s="1"/>
  <c r="H10" i="11"/>
  <c r="G27" i="13"/>
  <c r="BK14" i="2"/>
  <c r="BJ50" i="2"/>
  <c r="BJ18" i="2"/>
  <c r="G24" i="11"/>
  <c r="G17" i="11"/>
  <c r="BE63" i="1"/>
  <c r="F63" i="6"/>
  <c r="BE45" i="3"/>
  <c r="BE48" i="3"/>
  <c r="BE49" i="3"/>
  <c r="BE46" i="3"/>
  <c r="G37" i="11" s="1"/>
  <c r="F47" i="13"/>
  <c r="F53" i="13" s="1"/>
  <c r="F54" i="13" s="1"/>
  <c r="G52" i="13" s="1"/>
  <c r="BE41" i="3"/>
  <c r="BE42" i="3" s="1"/>
  <c r="BJ40" i="3" s="1"/>
  <c r="F41" i="13"/>
  <c r="F42" i="13" s="1"/>
  <c r="BE42" i="2"/>
  <c r="F67" i="6"/>
  <c r="F54" i="6"/>
  <c r="G33" i="11" s="1"/>
  <c r="BE49" i="2"/>
  <c r="F55" i="6" s="1"/>
  <c r="BG39" i="2"/>
  <c r="BF40" i="2"/>
  <c r="BH40" i="3"/>
  <c r="BH42" i="3" s="1"/>
  <c r="BL40" i="3"/>
  <c r="BE8" i="2"/>
  <c r="F24" i="13" s="1"/>
  <c r="F31" i="13" s="1"/>
  <c r="BI40" i="3" l="1"/>
  <c r="BI42" i="3" s="1"/>
  <c r="BM40" i="3"/>
  <c r="BF8" i="2"/>
  <c r="BF42" i="2"/>
  <c r="BF49" i="2"/>
  <c r="BH39" i="2"/>
  <c r="BG40" i="2"/>
  <c r="F66" i="6"/>
  <c r="F29" i="6"/>
  <c r="F25" i="6"/>
  <c r="F30" i="6"/>
  <c r="BK18" i="2"/>
  <c r="H27" i="13"/>
  <c r="BK50" i="2"/>
  <c r="H14" i="6" s="1"/>
  <c r="BL14" i="2"/>
  <c r="H24" i="11"/>
  <c r="H17" i="11"/>
  <c r="BJ45" i="3"/>
  <c r="BJ48" i="3"/>
  <c r="BJ41" i="3"/>
  <c r="BJ42" i="3" s="1"/>
  <c r="BJ49" i="3"/>
  <c r="G47" i="13"/>
  <c r="G53" i="13" s="1"/>
  <c r="G54" i="13" s="1"/>
  <c r="H52" i="13" s="1"/>
  <c r="BJ46" i="3"/>
  <c r="H37" i="11" s="1"/>
  <c r="H53" i="6"/>
  <c r="I32" i="11" s="1"/>
  <c r="H52" i="6"/>
  <c r="I31" i="11" s="1"/>
  <c r="H27" i="6"/>
  <c r="H28" i="6"/>
  <c r="I8" i="11"/>
  <c r="I22" i="11" s="1"/>
  <c r="H40" i="6"/>
  <c r="H37" i="6"/>
  <c r="H56" i="6"/>
  <c r="H19" i="13"/>
  <c r="I11" i="11" s="1"/>
  <c r="I18" i="11" s="1"/>
  <c r="I10" i="11"/>
  <c r="BK63" i="1"/>
  <c r="BK41" i="3"/>
  <c r="BK42" i="3" s="1"/>
  <c r="H47" i="13"/>
  <c r="H53" i="13" s="1"/>
  <c r="BK49" i="3"/>
  <c r="BK48" i="3"/>
  <c r="BK46" i="3"/>
  <c r="I37" i="11" s="1"/>
  <c r="BK45" i="3"/>
  <c r="BM59" i="1"/>
  <c r="BM29" i="1"/>
  <c r="BM31" i="1" s="1"/>
  <c r="J42" i="6"/>
  <c r="BM95" i="1"/>
  <c r="BL62" i="1"/>
  <c r="I53" i="6"/>
  <c r="J32" i="11" s="1"/>
  <c r="I52" i="6"/>
  <c r="J31" i="11" s="1"/>
  <c r="I44" i="6"/>
  <c r="BM98" i="1"/>
  <c r="BL8" i="3"/>
  <c r="BL20" i="3" s="1"/>
  <c r="BL33" i="1"/>
  <c r="BL32" i="1"/>
  <c r="BL63" i="1" s="1"/>
  <c r="I26" i="6"/>
  <c r="I51" i="6"/>
  <c r="J30" i="11" s="1"/>
  <c r="I41" i="6"/>
  <c r="BM96" i="1"/>
  <c r="F5" i="10"/>
  <c r="F7" i="10" s="1"/>
  <c r="BL94" i="1"/>
  <c r="BL60" i="1"/>
  <c r="I14" i="13"/>
  <c r="I16" i="13" s="1"/>
  <c r="BE46" i="2"/>
  <c r="BE12" i="2"/>
  <c r="F6" i="6" s="1"/>
  <c r="F8" i="6"/>
  <c r="BD46" i="2"/>
  <c r="BD12" i="2"/>
  <c r="I19" i="13" l="1"/>
  <c r="J11" i="11" s="1"/>
  <c r="J18" i="11" s="1"/>
  <c r="J10" i="11"/>
  <c r="I27" i="6"/>
  <c r="I56" i="6"/>
  <c r="I28" i="6"/>
  <c r="J8" i="11"/>
  <c r="J22" i="11" s="1"/>
  <c r="I40" i="6"/>
  <c r="I37" i="6"/>
  <c r="BL41" i="3"/>
  <c r="BL42" i="3" s="1"/>
  <c r="I47" i="13"/>
  <c r="I53" i="13" s="1"/>
  <c r="BL49" i="3"/>
  <c r="BL48" i="3"/>
  <c r="BL46" i="3"/>
  <c r="J37" i="11" s="1"/>
  <c r="BL45" i="3"/>
  <c r="BM62" i="1"/>
  <c r="J53" i="6"/>
  <c r="K32" i="11" s="1"/>
  <c r="J52" i="6"/>
  <c r="K31" i="11" s="1"/>
  <c r="J44" i="6"/>
  <c r="BM8" i="3"/>
  <c r="BM20" i="3" s="1"/>
  <c r="BM33" i="1"/>
  <c r="BM32" i="1"/>
  <c r="BM63" i="1" s="1"/>
  <c r="J26" i="6"/>
  <c r="J51" i="6"/>
  <c r="K30" i="11" s="1"/>
  <c r="J41" i="6"/>
  <c r="G5" i="10"/>
  <c r="G7" i="10" s="1"/>
  <c r="BM94" i="1"/>
  <c r="BM60" i="1"/>
  <c r="J14" i="13"/>
  <c r="J16" i="13" s="1"/>
  <c r="H29" i="6"/>
  <c r="H25" i="6"/>
  <c r="I24" i="11"/>
  <c r="I17" i="11"/>
  <c r="H54" i="13"/>
  <c r="I52" i="13" s="1"/>
  <c r="G29" i="6"/>
  <c r="G25" i="6"/>
  <c r="BL18" i="2"/>
  <c r="I27" i="13"/>
  <c r="BL50" i="2"/>
  <c r="I14" i="6" s="1"/>
  <c r="BM14" i="2"/>
  <c r="BG8" i="2"/>
  <c r="BG42" i="2"/>
  <c r="BG49" i="2"/>
  <c r="BI39" i="2"/>
  <c r="BH40" i="2"/>
  <c r="BD51" i="2"/>
  <c r="BD20" i="2"/>
  <c r="F10" i="6"/>
  <c r="BD48" i="2"/>
  <c r="BE51" i="2"/>
  <c r="BE52" i="2" s="1"/>
  <c r="BE20" i="2"/>
  <c r="F9" i="6" s="1"/>
  <c r="F7" i="6"/>
  <c r="F24" i="6"/>
  <c r="BE48" i="2"/>
  <c r="BF46" i="2"/>
  <c r="BF12" i="2"/>
  <c r="I54" i="13" l="1"/>
  <c r="J52" i="13" s="1"/>
  <c r="BH8" i="2"/>
  <c r="BH42" i="2"/>
  <c r="BH49" i="2"/>
  <c r="BI40" i="2"/>
  <c r="BJ39" i="2"/>
  <c r="BM50" i="2"/>
  <c r="J14" i="6" s="1"/>
  <c r="BM18" i="2"/>
  <c r="J27" i="13"/>
  <c r="J19" i="13"/>
  <c r="K11" i="11" s="1"/>
  <c r="K18" i="11" s="1"/>
  <c r="K10" i="11"/>
  <c r="J27" i="6"/>
  <c r="J28" i="6"/>
  <c r="K8" i="11"/>
  <c r="K22" i="11" s="1"/>
  <c r="J40" i="6"/>
  <c r="J37" i="6"/>
  <c r="J56" i="6"/>
  <c r="J47" i="13"/>
  <c r="J53" i="13" s="1"/>
  <c r="BM49" i="3"/>
  <c r="BM48" i="3"/>
  <c r="BM46" i="3"/>
  <c r="K37" i="11" s="1"/>
  <c r="BM45" i="3"/>
  <c r="BM41" i="3"/>
  <c r="BM42" i="3" s="1"/>
  <c r="I29" i="6"/>
  <c r="I25" i="6"/>
  <c r="J24" i="11"/>
  <c r="J17" i="11"/>
  <c r="BG46" i="2"/>
  <c r="BG12" i="2"/>
  <c r="BF20" i="2"/>
  <c r="BF43" i="2" s="1"/>
  <c r="BF51" i="2"/>
  <c r="BF48" i="2"/>
  <c r="BE43" i="2"/>
  <c r="F58" i="6"/>
  <c r="F57" i="6"/>
  <c r="C10" i="10"/>
  <c r="C11" i="10" s="1"/>
  <c r="C15" i="10" s="1"/>
  <c r="BE47" i="3"/>
  <c r="F46" i="6"/>
  <c r="F15" i="6"/>
  <c r="BD43" i="2"/>
  <c r="J54" i="13" l="1"/>
  <c r="J29" i="6"/>
  <c r="J25" i="6"/>
  <c r="K24" i="11"/>
  <c r="K17" i="11"/>
  <c r="BJ40" i="2"/>
  <c r="BK39" i="2"/>
  <c r="BI8" i="2"/>
  <c r="BI42" i="2"/>
  <c r="BI49" i="2"/>
  <c r="G47" i="6" s="1"/>
  <c r="H26" i="11" s="1"/>
  <c r="G45" i="6"/>
  <c r="H25" i="11" s="1"/>
  <c r="G32" i="6"/>
  <c r="G16" i="6"/>
  <c r="G31" i="6"/>
  <c r="BG48" i="2"/>
  <c r="BG20" i="2"/>
  <c r="BG51" i="2"/>
  <c r="BH46" i="2"/>
  <c r="BH12" i="2"/>
  <c r="BK40" i="2" l="1"/>
  <c r="H31" i="6" s="1"/>
  <c r="BL39" i="2"/>
  <c r="G54" i="6"/>
  <c r="H33" i="11" s="1"/>
  <c r="BJ42" i="2"/>
  <c r="BJ49" i="2"/>
  <c r="G41" i="13"/>
  <c r="G42" i="13" s="1"/>
  <c r="G30" i="6"/>
  <c r="BH20" i="2"/>
  <c r="BH43" i="2" s="1"/>
  <c r="BH51" i="2"/>
  <c r="BI46" i="2"/>
  <c r="BJ8" i="2"/>
  <c r="BJ12" i="2" s="1"/>
  <c r="BI12" i="2"/>
  <c r="BH48" i="2"/>
  <c r="BG43" i="2"/>
  <c r="H32" i="6" l="1"/>
  <c r="H45" i="6"/>
  <c r="I25" i="11" s="1"/>
  <c r="H16" i="6"/>
  <c r="G55" i="6"/>
  <c r="BM39" i="2"/>
  <c r="BM40" i="2" s="1"/>
  <c r="BL40" i="2"/>
  <c r="I16" i="6" s="1"/>
  <c r="H30" i="6"/>
  <c r="H54" i="6"/>
  <c r="I33" i="11" s="1"/>
  <c r="BK42" i="2"/>
  <c r="H41" i="13"/>
  <c r="H42" i="13" s="1"/>
  <c r="BK49" i="2"/>
  <c r="BK8" i="2"/>
  <c r="BI48" i="2"/>
  <c r="G10" i="6"/>
  <c r="BI20" i="2"/>
  <c r="BI51" i="2"/>
  <c r="BJ46" i="2"/>
  <c r="G8" i="6"/>
  <c r="G24" i="13"/>
  <c r="G31" i="13" s="1"/>
  <c r="I32" i="6" l="1"/>
  <c r="I45" i="6"/>
  <c r="J25" i="11" s="1"/>
  <c r="I31" i="6"/>
  <c r="J16" i="6"/>
  <c r="J32" i="6"/>
  <c r="J31" i="6"/>
  <c r="G24" i="6"/>
  <c r="H8" i="6"/>
  <c r="BK46" i="2"/>
  <c r="BK12" i="2"/>
  <c r="H24" i="13"/>
  <c r="H31" i="13" s="1"/>
  <c r="H55" i="6"/>
  <c r="H47" i="6"/>
  <c r="I26" i="11" s="1"/>
  <c r="I54" i="6"/>
  <c r="J33" i="11" s="1"/>
  <c r="I30" i="6"/>
  <c r="I41" i="13"/>
  <c r="I42" i="13" s="1"/>
  <c r="BL49" i="2"/>
  <c r="BL8" i="2"/>
  <c r="J45" i="6"/>
  <c r="K25" i="11" s="1"/>
  <c r="BL42" i="2"/>
  <c r="J54" i="6"/>
  <c r="K33" i="11" s="1"/>
  <c r="BM42" i="2"/>
  <c r="J41" i="13"/>
  <c r="J42" i="13" s="1"/>
  <c r="BM49" i="2"/>
  <c r="J55" i="6" s="1"/>
  <c r="BM8" i="2"/>
  <c r="J30" i="6"/>
  <c r="BJ20" i="2"/>
  <c r="G9" i="6" s="1"/>
  <c r="G6" i="6"/>
  <c r="G7" i="6"/>
  <c r="BJ51" i="2"/>
  <c r="BJ52" i="2" s="1"/>
  <c r="BJ48" i="2"/>
  <c r="BI43" i="2"/>
  <c r="G46" i="6"/>
  <c r="G15" i="6"/>
  <c r="H10" i="6" l="1"/>
  <c r="J8" i="6"/>
  <c r="BM46" i="2"/>
  <c r="BM12" i="2"/>
  <c r="J24" i="13"/>
  <c r="J31" i="13" s="1"/>
  <c r="I8" i="6"/>
  <c r="BL46" i="2"/>
  <c r="BL12" i="2"/>
  <c r="I24" i="13"/>
  <c r="I31" i="13" s="1"/>
  <c r="I55" i="6"/>
  <c r="J47" i="6"/>
  <c r="K26" i="11" s="1"/>
  <c r="I47" i="6"/>
  <c r="J26" i="11" s="1"/>
  <c r="H7" i="6"/>
  <c r="H6" i="6"/>
  <c r="BK51" i="2"/>
  <c r="BK52" i="2" s="1"/>
  <c r="BK47" i="3" s="1"/>
  <c r="BK20" i="2"/>
  <c r="H9" i="6" s="1"/>
  <c r="BK48" i="2"/>
  <c r="H24" i="6"/>
  <c r="D10" i="10"/>
  <c r="BJ47" i="3"/>
  <c r="BJ43" i="2"/>
  <c r="G58" i="6"/>
  <c r="G57" i="6"/>
  <c r="H15" i="6" l="1"/>
  <c r="J10" i="6"/>
  <c r="I10" i="6"/>
  <c r="H58" i="6"/>
  <c r="H57" i="6"/>
  <c r="BK43" i="2"/>
  <c r="H46" i="6"/>
  <c r="I7" i="6"/>
  <c r="I6" i="6"/>
  <c r="BL51" i="2"/>
  <c r="BL52" i="2" s="1"/>
  <c r="BL47" i="3" s="1"/>
  <c r="BL20" i="2"/>
  <c r="I9" i="6" s="1"/>
  <c r="BL48" i="2"/>
  <c r="I24" i="6"/>
  <c r="J7" i="6"/>
  <c r="J6" i="6"/>
  <c r="BM51" i="2"/>
  <c r="BM52" i="2" s="1"/>
  <c r="BM47" i="3" s="1"/>
  <c r="BM20" i="2"/>
  <c r="J9" i="6" s="1"/>
  <c r="BM48" i="2"/>
  <c r="J24" i="6"/>
  <c r="E10" i="10"/>
  <c r="D11" i="10"/>
  <c r="D15" i="10" s="1"/>
  <c r="J15" i="6" l="1"/>
  <c r="I15" i="6"/>
  <c r="BM43" i="2"/>
  <c r="J58" i="6"/>
  <c r="J57" i="6"/>
  <c r="I58" i="6"/>
  <c r="I57" i="6"/>
  <c r="BL43" i="2"/>
  <c r="J46" i="6"/>
  <c r="I46" i="6"/>
  <c r="F10" i="10"/>
  <c r="E11" i="10"/>
  <c r="E15" i="10" s="1"/>
  <c r="G10" i="10" l="1"/>
  <c r="G11" i="10" s="1"/>
  <c r="F11" i="10"/>
  <c r="F15" i="10" s="1"/>
  <c r="G12" i="10" l="1"/>
  <c r="G15" i="10" s="1"/>
  <c r="C17" i="10" s="1"/>
  <c r="C20" i="10" l="1"/>
  <c r="C22" i="10" s="1"/>
  <c r="C25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MIGUEL BERTI</author>
  </authors>
  <commentList>
    <comment ref="A49" authorId="0" shapeId="0" xr:uid="{DAF5B191-85D1-4C8C-97AF-0F02F5664E27}">
      <text>
        <r>
          <rPr>
            <sz val="11"/>
            <color theme="1"/>
            <rFont val="Aptos Narrow"/>
            <family val="2"/>
            <scheme val="minor"/>
          </rPr>
          <t>Felipe MIGUEL BERTI:
CFO + (IE*(1-t)-Capex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MIGUEL BERTI</author>
  </authors>
  <commentList>
    <comment ref="M7" authorId="0" shapeId="0" xr:uid="{3E39CC1E-BE44-46E8-AD74-9A51AD3C832F}">
      <text>
        <r>
          <rPr>
            <sz val="11"/>
            <color theme="1"/>
            <rFont val="Aptos Narrow"/>
            <family val="2"/>
            <scheme val="minor"/>
          </rPr>
          <t>Felipe MIGUEL BERTI:
External font: Finbox and Yahoo Finance</t>
        </r>
      </text>
    </comment>
    <comment ref="M8" authorId="0" shapeId="0" xr:uid="{D8AA194C-8E46-456A-AC32-483310A1CF36}">
      <text>
        <r>
          <rPr>
            <sz val="11"/>
            <color theme="1"/>
            <rFont val="Aptos Narrow"/>
            <family val="2"/>
            <scheme val="minor"/>
          </rPr>
          <t>Felipe MIGUEL BERTI:
NASDAQ Historic Average Growth: 1971:2023</t>
        </r>
      </text>
    </comment>
    <comment ref="C13" authorId="0" shapeId="0" xr:uid="{F4C0D142-ED79-4480-B026-6C999B6D3D73}">
      <text>
        <r>
          <rPr>
            <sz val="11"/>
            <color theme="1"/>
            <rFont val="Aptos Narrow"/>
            <family val="2"/>
            <scheme val="minor"/>
          </rPr>
          <t>Felipe MIGUEL BERTI:
Calculating for Set-24</t>
        </r>
      </text>
    </comment>
    <comment ref="J14" authorId="0" shapeId="0" xr:uid="{32545D40-B09C-440A-9320-8142A29E20B9}">
      <text>
        <r>
          <rPr>
            <sz val="11"/>
            <color theme="1"/>
            <rFont val="Aptos Narrow"/>
            <family val="2"/>
            <scheme val="minor"/>
          </rPr>
          <t>Felipe MIGUEL BERTI:
Average Revenue Growth</t>
        </r>
      </text>
    </comment>
  </commentList>
</comments>
</file>

<file path=xl/sharedStrings.xml><?xml version="1.0" encoding="utf-8"?>
<sst xmlns="http://schemas.openxmlformats.org/spreadsheetml/2006/main" count="932" uniqueCount="297">
  <si>
    <t> </t>
  </si>
  <si>
    <t>Financial Analysis and Presentation</t>
  </si>
  <si>
    <t>Amazon.com Inc.</t>
  </si>
  <si>
    <t>NASDAQ:AMZN</t>
  </si>
  <si>
    <t>Team 12:</t>
  </si>
  <si>
    <t>Alessandro FRULLANI</t>
  </si>
  <si>
    <t>Felipe MIGUEL BERTI</t>
  </si>
  <si>
    <t>Giada SIMBARI</t>
  </si>
  <si>
    <t>Ivan SERDAROV</t>
  </si>
  <si>
    <t>Maria Jose Castañeda</t>
  </si>
  <si>
    <t xml:space="preserve">Amazon.com Inc. (AMZN) </t>
  </si>
  <si>
    <t>Forecast</t>
  </si>
  <si>
    <t>Income Statement</t>
  </si>
  <si>
    <t>2024E</t>
  </si>
  <si>
    <t>2025E</t>
  </si>
  <si>
    <t>2026E</t>
  </si>
  <si>
    <t>2027E</t>
  </si>
  <si>
    <t>2028E</t>
  </si>
  <si>
    <t>Revenue</t>
  </si>
  <si>
    <t xml:space="preserve"> </t>
  </si>
  <si>
    <t>Gross Profit</t>
  </si>
  <si>
    <t>EBITDA</t>
  </si>
  <si>
    <t>Operating Income</t>
  </si>
  <si>
    <t>Net Income</t>
  </si>
  <si>
    <t>EPS</t>
  </si>
  <si>
    <t>Growth (% YoY)</t>
  </si>
  <si>
    <t>Profitability (%)</t>
  </si>
  <si>
    <t>Gross Margin</t>
  </si>
  <si>
    <t>EBITDA Margin</t>
  </si>
  <si>
    <t>Operating Margin</t>
  </si>
  <si>
    <t>Net Profit Margin</t>
  </si>
  <si>
    <t>Return on Equity</t>
  </si>
  <si>
    <t>ROIC</t>
  </si>
  <si>
    <t>Leverage</t>
  </si>
  <si>
    <t>Degree of Operational Leverage</t>
  </si>
  <si>
    <t>Degree of Financial Leverage</t>
  </si>
  <si>
    <t>Degree of Combined Leverage</t>
  </si>
  <si>
    <t>Debt -to-Equity</t>
  </si>
  <si>
    <t>Cash Flow</t>
  </si>
  <si>
    <t>Dividends per Share</t>
  </si>
  <si>
    <t>-</t>
  </si>
  <si>
    <t>Free Cash Flow to the Firm</t>
  </si>
  <si>
    <t>Assumptions</t>
  </si>
  <si>
    <t>Estimates</t>
  </si>
  <si>
    <t>USA GDP Growth</t>
  </si>
  <si>
    <t>Unemployment Rate (USA)</t>
  </si>
  <si>
    <t>PCE Inflation (USA)</t>
  </si>
  <si>
    <t>Fed Funds Rate</t>
  </si>
  <si>
    <t>Revenue Growth</t>
  </si>
  <si>
    <t>Online Stores</t>
  </si>
  <si>
    <t>Physical Stores</t>
  </si>
  <si>
    <t>Third-Party Seller Services</t>
  </si>
  <si>
    <t>Subscription Services</t>
  </si>
  <si>
    <t>Advertising Services</t>
  </si>
  <si>
    <t>AWS</t>
  </si>
  <si>
    <t xml:space="preserve">Other </t>
  </si>
  <si>
    <t>Total Revenue</t>
  </si>
  <si>
    <t>Net Income Margin</t>
  </si>
  <si>
    <t>% of Revenue</t>
  </si>
  <si>
    <t>Total Cost of Goods Sold</t>
  </si>
  <si>
    <t>Fulfillment</t>
  </si>
  <si>
    <t>Technology and Content</t>
  </si>
  <si>
    <t>Marketing</t>
  </si>
  <si>
    <t>General &amp; Administrative</t>
  </si>
  <si>
    <t>Other Operating Expenses (Income)</t>
  </si>
  <si>
    <t>Interest Income</t>
  </si>
  <si>
    <t>Interest Expense</t>
  </si>
  <si>
    <t>Other Income, Net</t>
  </si>
  <si>
    <t>Effective Tax Rate</t>
  </si>
  <si>
    <t>Depreciation</t>
  </si>
  <si>
    <t xml:space="preserve">Purchases of PP&amp;E </t>
  </si>
  <si>
    <t>Cost of Goods Sold</t>
  </si>
  <si>
    <t>Selling, General, and Admin. Expenses</t>
  </si>
  <si>
    <t>Net Interest Expense</t>
  </si>
  <si>
    <t>Income Tax Expense</t>
  </si>
  <si>
    <t>After-tax items</t>
  </si>
  <si>
    <t>Weighted Avg Diluted Shares Outstanding</t>
  </si>
  <si>
    <t>Diluted Earnings Per Share (GAAP)</t>
  </si>
  <si>
    <t>Balance Sheet</t>
  </si>
  <si>
    <t>Cash &amp; Equivalents</t>
  </si>
  <si>
    <t>Inventories</t>
  </si>
  <si>
    <t>Accounts Receivable, Net, &amp; Other</t>
  </si>
  <si>
    <t>PP&amp;E</t>
  </si>
  <si>
    <t>Operating Leases</t>
  </si>
  <si>
    <t>Goodwill</t>
  </si>
  <si>
    <t>Other Assets</t>
  </si>
  <si>
    <t>Total Assets</t>
  </si>
  <si>
    <t>Accounts Payable</t>
  </si>
  <si>
    <t>Accrued Expenses &amp; Other</t>
  </si>
  <si>
    <t>Unearned Revenue</t>
  </si>
  <si>
    <t>Long-Term Lease Liabilities</t>
  </si>
  <si>
    <t>Long-Term Debt</t>
  </si>
  <si>
    <t>Other Long-Term Liabilities</t>
  </si>
  <si>
    <t>Total Liabilities</t>
  </si>
  <si>
    <t>Shareholder's Equity</t>
  </si>
  <si>
    <t>Total Equity</t>
  </si>
  <si>
    <t>Statement of Cash Flows</t>
  </si>
  <si>
    <t xml:space="preserve">Cash Flow from Operations (CFO) </t>
  </si>
  <si>
    <t xml:space="preserve">Cash Flow from Investing </t>
  </si>
  <si>
    <t xml:space="preserve">Cash Flow from Financing </t>
  </si>
  <si>
    <t xml:space="preserve">Foreign Exchange Impact </t>
  </si>
  <si>
    <t xml:space="preserve"> Cash Balance, Beginning of Period </t>
  </si>
  <si>
    <t xml:space="preserve"> Change in Cash </t>
  </si>
  <si>
    <t xml:space="preserve"> Cash Balance, Ending of Period </t>
  </si>
  <si>
    <t>In millions except per share data</t>
  </si>
  <si>
    <t>Other</t>
  </si>
  <si>
    <t>Gross Profit (GAAP)</t>
  </si>
  <si>
    <t>Total Operating Expenses</t>
  </si>
  <si>
    <t>Operating Profit (GAAP)</t>
  </si>
  <si>
    <t>Pre Tax Income</t>
  </si>
  <si>
    <t>Income Tax (Provision)/Benefit</t>
  </si>
  <si>
    <t>Equity Income (Net of Tax)</t>
  </si>
  <si>
    <t>EPS Basic</t>
  </si>
  <si>
    <t>EPS (GAAP)</t>
  </si>
  <si>
    <t>Weighted-average shares used:</t>
  </si>
  <si>
    <t>Basic Share Count</t>
  </si>
  <si>
    <t>Diluted Share Count</t>
  </si>
  <si>
    <t>Growth</t>
  </si>
  <si>
    <t>Online Stores (yr/yr Growth)</t>
  </si>
  <si>
    <t>Physical Stores (yr/yr Growth)</t>
  </si>
  <si>
    <t>Third-Party Seller Services (yr/yr Growth)</t>
  </si>
  <si>
    <t>Subscription Services (yr/yr Growth)</t>
  </si>
  <si>
    <t>Advertising Services (yr/yr Growth)</t>
  </si>
  <si>
    <t>AWS (yr/yr Growth)</t>
  </si>
  <si>
    <t>Other (yr/yr Growth)</t>
  </si>
  <si>
    <t>Gross Profit (GAAP) (%)</t>
  </si>
  <si>
    <t>Fulfillment (%)</t>
  </si>
  <si>
    <t>Technology and Content (%)</t>
  </si>
  <si>
    <t>Marketing (%)</t>
  </si>
  <si>
    <t>General &amp; Administrative (%)</t>
  </si>
  <si>
    <t>Other Operating Expenses (Income) (%)</t>
  </si>
  <si>
    <t>Interest Income (%)</t>
  </si>
  <si>
    <t>Interest Expense (%)</t>
  </si>
  <si>
    <t>Other Income, Net (%)</t>
  </si>
  <si>
    <t>Equity Income (Net of Tax) (%)</t>
  </si>
  <si>
    <t>Effective Tax Rate (GAAP)</t>
  </si>
  <si>
    <t>EBIT</t>
  </si>
  <si>
    <t>EBIT t-1</t>
  </si>
  <si>
    <t>Revenue t-1</t>
  </si>
  <si>
    <t>Net Income t-1</t>
  </si>
  <si>
    <t>Realized x Budget</t>
  </si>
  <si>
    <t>Total Revenue %</t>
  </si>
  <si>
    <t>Net Income %</t>
  </si>
  <si>
    <t>Marketable Securities</t>
  </si>
  <si>
    <t>Total Current Assets</t>
  </si>
  <si>
    <t>Other Assets, Non-Current</t>
  </si>
  <si>
    <t>Total Non-Current Assets</t>
  </si>
  <si>
    <t>Total Current Liabilities</t>
  </si>
  <si>
    <t>Total Non-Current Liabilities</t>
  </si>
  <si>
    <t>Preferred Stock</t>
  </si>
  <si>
    <t>Common Stock</t>
  </si>
  <si>
    <t>Treasury Stock</t>
  </si>
  <si>
    <t>Additional Paid-In Capital</t>
  </si>
  <si>
    <t>Accumulated Other Comprehensive Income (Loss)</t>
  </si>
  <si>
    <t>Retained Earnings</t>
  </si>
  <si>
    <t>Total Stockholders' Equity</t>
  </si>
  <si>
    <t>Total Liabilities &amp; Stockholders' Equity</t>
  </si>
  <si>
    <t>CHECK</t>
  </si>
  <si>
    <t>Key Metrics</t>
  </si>
  <si>
    <t>Cash</t>
  </si>
  <si>
    <t>Debt</t>
  </si>
  <si>
    <t>Net Cash / (Debt)</t>
  </si>
  <si>
    <t>Invested Capital</t>
  </si>
  <si>
    <t>Net PP&amp;E</t>
  </si>
  <si>
    <t>Working Capital</t>
  </si>
  <si>
    <t>Working Capital Change</t>
  </si>
  <si>
    <t>{"Ratios":{"F|^NASDAQ:AMZNRevenue % GrowthFY12/31/2021USDt":{"r":[[0.21695366571345676]],"c":null,"a":["Ratios!H2"]},"F|^NASDAQ:AMZN0.216953665713457FY12/31/2022USDt":{"id":4,"description":null,"headerValues":[],"financialValues":[],"customValues":[],"error":"PBXLP_FIELD"},"F|^NASDAQ:AMZN#FIELDNOTFOUNDFY12/31/2023USDt":{"id":5,"description":null,"headerValues":[],"financialValues":[],"customValues":[],"error":"PBXLP_FIELD"},"F|^NASDAQ:AMZNRevenue % GrowthFY12/31/2023USDt":{"r":[[0.1182957412988368]],"c":null,"a":["Ratios!J2"]},"F|^NASDAQ:AMZNRevenue % GrowthFY12/31/2022USDt":{"r":[[0.09399517263985091]],"c":null,"a":["Ratios!I2"]},"F|^NASDAQ:AMZNDebt to EquityFY12/31/2023USDt":{"r":[[0.6717572755417957]],"c":null,"a":["Ratios!J7"]},"F|^NASDAQ:AMZNNet Income from Continuing Operations % GrowthFY12/31/2023USDt":{"id":34,"description":null,"headerValues":[],"financialValues":[],"customValues":[],"error":null},"F|^NASDAQ:AMZNAssets TurnoverFY12/31/2023USDt":{"r":[[1.1878682994151022]],"c":null,"a":["Ratios!J8"]},"F|^NASDAQ:AMZNBook Value to Net IncomeFY12/31/2023USDt":{"r":[[5.613929334428923]],"c":null,"a":["Ratios!J5"]},"F|^NASDAQ:AMZNNet Income Available to Common Stockholders % GrowthFY12/31/2023USDt":{"id":31,"description":null,"headerValues":[],"financialValues":[],"customValues":[],"error":null},"F|^NASDAQ:AMZNQuick RatioFY12/31/2023USDt":{"r":[[0.8430483212767634]],"c":null,"a":["Ratios!J6"]},"F|^NASDAQ:AMZNDebt to EquityFY12/31/2022USDt":{"r":[[0.9594297569893798]],"c":null,"a":["Ratios!I7"]},"F|^NASDAQ:AMZNNet Income from Continuing Operations % GrowthFY12/31/2022USDt":{"id":35,"description":null,"headerValues":[],"financialValues":[],"customValues":[],"error":null},"F|^NASDAQ:AMZNAssets TurnoverFY12/31/2022USDt":{"r":[[1.1997282082236853]],"c":null,"a":["Ratios!I8"]},"F|^NASDAQ:AMZNBook Value to Net IncomeFY12/31/2022USDt":{"id":29,"description":null,"headerValues":[],"financialValues":[],"customValues":[],"error":null},"F|^NASDAQ:AMZNNet Income Available to Common Stockholders % GrowthFY12/31/2022USDt":{"id":32,"description":null,"headerValues":[],"financialValues":[],"customValues":[],"error":null},"F|^NASDAQ:AMZNQuick RatioFY12/31/2022USDt":{"r":[[0.7232372114574016]],"c":null,"a":["Ratios!I6"]},"F|^NASDAQ:AMZNDebt to EquityFY12/31/2021USDt":{"r":[[0.8419472675322797]],"c":null,"a":["Ratios!H7"]},"F|^NASDAQ:AMZNNet Income from Continuing Operations % GrowthFY12/31/2021USDt":{"id":36,"description":null,"headerValues":[],"financialValues":[],"customValues":[],"error":null},"F|^NASDAQ:AMZNAssets TurnoverFY12/31/2021USDt":{"r":[[1.2996128452609228]],"c":null,"a":["Ratios!H8"]},"F|^NASDAQ:AMZNBook Value to Net IncomeFY12/31/2021USDt":{"r":[[3.418870639012109]],"c":null,"a":["Ratios!H5"]},"F|^NASDAQ:AMZNNet Income Available to Common Stockholders % GrowthFY12/31/2021USDt":{"r":[[0.5641085743753222]],"c":null,"a":["Ratios!H4"]},"F|^NASDAQ:AMZNQuick RatioFY12/31/2021USDt":{"r":[[0.9063303951752352]],"c":null,"a":["Ratios!H6"]},"F|^NASDAQ:AMZNNormalized Return on Invested Capital (ROIC)FY12/31/2023USDt":{"id":10,"description":null,"headerValues":[],"financialValues":[],"customValues":[],"error":"PBXLP_FIELD"},"F|^NASDAQ:AMZNNormalized Return on Invested Capital (ROIC)FY12/31/2022USDt":{"id":11,"description":null,"headerValues":[],"financialValues":[],"customValues":[],"error":"PBXLP_FIELD"},"F|^NASDAQ:AMZNNormalized Return on Invested Capital (ROIC)FY12/31/2021USDt":{"id":12,"description":null,"headerValues":[],"financialValues":[],"customValues":[],"error":"PBXLP_FIELD"},"F|^NASDAQ:AMZNNormalized Return on Assets (ROA)FY12/31/2023USDt":{"id":13,"description":null,"headerValues":[],"financialValues":[],"customValues":[],"error":"PBXLP_FIELD"},"F|^NASDAQ:AMZNNormalized Return on Assets (ROA)FY12/31/2022USDt":{"id":14,"description":null,"headerValues":[],"financialValues":[],"customValues":[],"error":"PBXLP_FIELD"},"F|^NASDAQ:AMZNNormalized Return on Assets (ROA)FY12/31/2021USDt":{"id":15,"description":null,"headerValues":[],"financialValues":[],"customValues":[],"error":"PBXLP_FIELD"},"F|^NASDAQ:AMZNNormalized Return on Equity (ROE)FY12/31/2023USDt":{"id":16,"description":null,"headerValues":[],"financialValues":[],"customValues":[],"error":"PBXLP_FIELD"},"F|^NASDAQ:AMZNNormalized Return on Equity (ROE)FY12/31/2022USDt":{"id":17,"description":null,"headerValues":[],"financialValues":[],"customValues":[],"error":"PBXLP_FIELD"},"F|^NASDAQ:AMZNNormalized Return on Equity (ROE)FY12/31/2021USDt":{"id":18,"description":null,"headerValues":[],"financialValues":[],"customValues":[],"error":"PBXLP_FIELD"},"F|^NASDAQ:AMZNStock PriceFY12/31/2021USDt":{"r":[[166.717]],"c":null,"a":["Ratios!H12"]},"F|^NASDAQ:AMZNEV to EBITDAFY12/31/2022USDt":{"r":[[18.519077187823548]],"c":null,"a":["Ratios!I17"]},"F|^NASDAQ:AMZNPrice to Tangible Book ValueFY12/31/2022USDt":{"r":[[7.301608407701946]],"c":null,"a":["Ratios!I22"]},"F|^NASDAQ:AMZNPrice to BookFY12/31/2022USDt":{"r":[[6.2305493530391525]],"c":null,"a":["Ratios!I20"]},"F|^NASDAQ:AMZNPrice to Cash FlowFY12/31/2022USDt":{"r":[[14.000799269239554]],"c":null,"a":["Ratios!I21"]},"F|^NASDAQ:AMZNPrice to EarningsFY12/31/2022USDt":{"r":[[76.39836289222374]],"c":null,"a":["Ratios!I18"]},"F|^NASDAQ:AMZNEnterprise Value (EV)FY12/31/2022USDt":{"r":[[926527950784]],"c":null,"a":["Ratios!I14"]},"F|^NASDAQ:AMZNEV to RevenueFY12/31/2022USDt":{"r":[[1.8449712376048157]],"c":null,"a":["Ratios!I15"]},"F|^NASDAQ:AMZNForward PE RatioFY12/31/2022USDt":{"r":[[47.19101123595505]],"c":null,"a":["Ratios!I19"]},"F|^NASDAQ:AMZNStock PriceFY12/31/2022USDt":{"r":[[84]],"c":null,"a":["Ratios!I12"]},"F|^NASDAQ:AMZNEV to EBIT FY12/31/2022USDt":{"r":[[80.89827562944207]],"c":null,"a":["Ratios!I16"]},"F|^NASDAQ:AMZNMarket CapFY12/31/2022USDt":{"r":[[856938950784]],"c":null,"a":["Ratios!I13"]},"F|^NASDAQ:AMZNEV to EBITDAFY12/31/2023USDt":{"r":[[22.957125591920857]],"c":null,"a":["Ratios!J17"]},"F|^NASDAQ:AMZNPrice to Tangible Book ValueFY12/31/2023USDt":{"r":[[9.795911973237468]],"c":null,"a":["Ratios!J22"]},"F|^NASDAQ:AMZNPrice to BookFY12/31/2023USDt":{"r":[[8.57798800915982]],"c":null,"a":["Ratios!J20"]},"F|^NASDAQ:AMZNPrice to Cash FlowFY12/31/2023USDt":{"r":[[18.327341541532245]],"c":null,"a":["Ratios!J21"]},"F|^NASDAQ:AMZNPrice to EarningsFY12/31/2023USDt":{"r":[[79.54973821989529]],"c":null,"a":["Ratios!J18"]},"F|^NASDAQ:AMZNEnterprise Value (EV)FY12/31/2023USDt":{"r":[[1642972607237]],"c":null,"a":["Ratios!J14"]},"F|^NASDAQ:AMZNEV to RevenueFY12/31/2023USDt":{"r":[[2.965504644597385]],"c":null,"a":["Ratios!J15"]},"F|^NASDAQ:AMZNForward PE RatioFY12/31/2023USDt":{"r":[[42.016469770347385]],"c":null,"a":["Ratios!J19"]},"F|^NASDAQ:AMZNStock PriceFY12/31/2023USDt":{"r":[[151.94]],"c":null,"a":["Ratios!J12"]},"F|^NASDAQ:AMZNEV to EBIT FY12/31/2023USDt":{"r":[[69.67948629021588]],"c":null,"a":["Ratios!J16"]},"F|^NASDAQ:AMZNMarket CapFY12/31/2023USDt":{"r":[[1570152607237]],"c":null,"a":["Ratios!J13"]},"F|^NASDAQ:AMZNEV to EBITDAFY12/31/2021USDt":{"r":[[26.797882078580855]],"c":null,"a":["Ratios!H17"]},"F|^NASDAQ:AMZNPrice to Tangible Book ValueFY12/31/2021USDt":{"r":[[16.066588543894166]],"c":null,"a":["Ratios!H22"]},"F|^NASDAQ:AMZNPrice to BookFY12/31/2021USDt":{"r":[[14.021684582462429]],"c":null,"a":["Ratios!H20"]},"F|^NASDAQ:AMZNPrice to Cash FlowFY12/31/2021USDt":{"r":[[25.349865704772476]],"c":null,"a":["Ratios!H21"]},"F|^NASDAQ:AMZNPrice to EarningsFY12/31/2021USDt":{"r":[[65.21298650498728]],"c":null,"a":["Ratios!H18"]},"F|^NASDAQ:AMZNEnterprise Value (EV)FY12/31/2021USDt":{"r":[[1725917595271]],"c":null,"a":["Ratios!H14"]},"F|^NASDAQ:AMZNEV to RevenueFY12/31/2021USDt":{"r":[[3.7686670275479566]],"c":null,"a":["Ratios!H15"]},"F|^NASDAQ:AMZNForward PE RatioFY12/31/2021USDt":{"r":[[3.232829164242777]],"c":null,"a":["Ratios!H19"]},"F|^NASDAQ:AMZNEV to EBIT FY12/31/2021USDt":{"r":[[53.44556390768897]],"c":null,"a":["Ratios!H16"]},"F|^NASDAQ:AMZNMarket CapFY12/31/2021USDt":{"r":[[1691002595271]],"c":null,"a":["Ratios!H13"]},"F|^NASDAQ:AMZNDebt to EquityFY09/30/2024USDt":{"r":[[0.6717572755417957]],"c":null,"a":["Ratios!K5"]},"F|^NASDAQ:AMZNPrice to Tangible Book ValueFY09/30/2024USDt":{"r":[[9.795911973237468]],"c":null,"a":["Ratios!K22"]},"F|^NASDAQ:AMZNEnterprise Value (EV)FY09/30/2024USDt":{"r":[[1642972607237]],"c":null,"a":["Ratios!K14"]},"F|^NASDAQ:AMZNEV to RevenueFY09/30/2024USDt":{"r":[[2.965504644597385]],"c":null,"a":["Ratios!K15"]},"F|^NASDAQ:AMZNForward PE RatioFY09/30/2024USDt":{"r":[[42.016469770347385]],"c":null,"a":["Ratios!K19"]},"F|^NASDAQ:AMZNBook Value to Net IncomeFY09/30/2024USDt":{"r":[[5.613929334428923]],"c":null,"a":["Ratios!K3"]},"F|^NASDAQ:AMZNStock PriceFY09/30/2024USDt":{"r":[[151.94]],"c":null,"a":["Ratios!K12"]},"F|^NASDAQ:AMZNMarket CapFY09/30/2024USDt":{"r":[[1570152607237]],"c":null,"a":["Ratios!K13"]},"F|^NASDAQ:AMZNEV to EBITDAFY09/30/2024USDt":{"r":[[22.957125591920857]],"c":null,"a":["Ratios!K17"]},"F|^NASDAQ:AMZNPrice to Cash FlowFY09/30/2024USDt":{"r":[[18.327341541532245]],"c":null,"a":["Ratios!K21"]},"F|^NASDAQ:AMZNPrice to BookFY09/30/2024USDt":{"r":[[8.57798800915982]],"c":null,"a":["Ratios!K20"]},"F|^NASDAQ:AMZNPrice to EarningsFY09/30/2024USDt":{"r":[[79.54973821989529]],"c":null,"a":["Ratios!K18"]},"F|^NASDAQ:AMZNAssets TurnoverFY09/30/2024USDt":{"r":[[1.1878682994151022]],"c":null,"a":["Ratios!K6"]},"F|^NASDAQ:AMZNQuick RatioFY09/30/2024USDt":{"r":[[0.8430483212767634]],"c":null,"a":["Ratios!K4"]},"F|^NASDAQ:AMZNEV to EBIT FY09/30/2024USDt":{"r":[[69.67948629021588]],"c":null,"a":["Ratios!K16"]},"F|^NASDAQ:AMZNRevenue % GrowthFY09/30/2024USDt":{"r":[[0.1182957412988368]],"c":null,"a":["Ratios!K2"]},"F|^NASDAQ:AMZNNormalized Return on Invested Capital (ROIC)FY09/30/2024USDt":{"id":132,"description":null,"headerValues":[],"financialValues":[],"customValues":[],"error":"PBXLP_FIELD"},"F|^NASDAQ:AMZNNormalized Return on Assets (ROA)FY09/30/2024USDt":{"id":133,"description":null,"headerValues":[],"financialValues":[],"customValues":[],"error":"PBXLP_FIELD"},"F|^NASDAQ:AMZNNormalized Return on Equity (ROE)FY09/30/2024USDt":{"id":134,"description":null,"headerValues":[],"financialValues":[],"customValues":[],"error":"PBXLP_FIELD"},"F|^NASDAQ:AMZNRevenue % GrowthFY09/30/2024USD":{"r":[[0.1182957412988368]],"c":null,"a":["Ratios!K2"]},"F|^NASDAQ:AMZNRevenue % GrowthFY09/30/2024USDr":{"r":[[0.1182957412988368]],"c":null,"a":["Ratios!K2"]},"F|^NASDAQ:AMZNRevenue % GrowthFQ09/30/2024USDr":{"r":[[0.10115862869559389]],"c":null,"a":["Ratios!K2"]},"F|^NASDAQ:AMZNRevenue % GrowthFQ09/30/2024USDt":{"r":[[0.11038348371225104]],"c":null,"a":["Ratios!K2"]},"F|^NASDAQ:AMZNBook Value to Net IncomeFQ09/30/2024USDt":{"id":165,"description":null,"headerValues":[],"financialValues":[],"customValues":[],"error":null},"F|^NASDAQ:AMZNPrice to Tangible Book ValueFQ09/30/2024USDt":{"r":[[9.15212812780941]],"c":null,"a":["Ratios!K22"]},"F|^NASDAQ:AMZNForward PE RatioFQ09/30/2024USDt":{"r":[[31.688775510204085]],"c":null,"a":["Ratios!K19"]},"F|^NASDAQ:AMZNEV to RevenueFQ09/30/2024USDt":{"r":[[3.3086339291467963]],"c":null,"a":["Ratios!K15"]},"F|^NASDAQ:AMZNStock PriceFQ09/30/2024USDt":{"r":[[186.33]],"c":null,"a":["Ratios!K12"]},"F|^NASDAQ:AMZNEnterprise Value (EV)FQ09/30/2024USDt":{"r":[[1999519976937]],"c":null,"a":["Ratios!K14"]},"F|^NASDAQ:AMZNDebt to EquityFQ09/30/2024USDt":{"id":163,"description":null,"headerValues":[],"financialValues":[],"customValues":[],"error":null},"F|^NASDAQ:AMZNQuick RatioFQ09/30/2024USDt":{"id":164,"description":null,"headerValues":[],"financialValues":[],"customValues":[],"error":null},"F|^NASDAQ:AMZNEV to EBIT FQ09/30/2024USDt":{"r":[[37.723233222092254]],"c":null,"a":["Ratios!K16"]},"F|^NASDAQ:AMZNMarket CapFQ09/30/2024USDt":{"r":[[1955638976937]],"c":null,"a":["Ratios!K13"]},"F|^NASDAQ:AMZNAssets TurnoverFQ09/30/2024USDt":{"id":162,"description":null,"headerValues":[],"financialValues":[],"customValues":[],"error":null},"F|^NASDAQ:AMZNEV to EBITDAFQ09/30/2024USDt":{"r":[[19.4736942376848]],"c":null,"a":["Ratios!K17"]},"F|^NASDAQ:AMZNPrice to BookFQ09/30/2024USDt":{"r":[[8.266553181051146]],"c":null,"a":["Ratios!K20"]},"F|^NASDAQ:AMZNPrice to Cash FlowFQ09/30/2024USDt":{"r":[[17.258035481062254]],"c":null,"a":["Ratios!K21"]},"F|^NASDAQ:AMZNPrice to EarningsFQ09/30/2024USDt":{"r":[[44.47016706443914]],"c":null,"a":["Ratios!K18"]},"F|^NASDAQ:AMZNMultiplesFQ09/30/2024USDt":{"id":158,"description":null,"headerValues":[],"financialValues":[],"customValues":[],"error":"PBXLP_FIELD"},"F|^NASDAQ:AMZNNormalized Return on Invested Capital (ROIC)FQ09/30/2024USDt":{"id":159,"description":null,"headerValues":[],"financialValues":[],"customValues":[],"error":"PBXLP_FIELD"},"F|^NASDAQ:AMZNNormalized Return on Assets (ROA)FQ09/30/2024USDt":{"id":160,"description":null,"headerValues":[],"financialValues":[],"customValues":[],"error":"PBXLP_FIELD"},"F|^NASDAQ:AMZNNormalized Return on Equity (ROE)FQ09/30/2024USDt":{"id":161,"description":null,"headerValues":[],"financialValues":[],"customValues":[],"error":"PBXLP_FIELD"},"F|^NASDAQ:AMZNNormalizedROEFY12/31/2021USDt":{"r":[[0.27754587530972336]],"c":null,"a":["Ratios!H7"]},"F|^NASDAQ:AMZNNormalizedROEFY12/31/2023USDt":{"r":[[0.2871295190796761]],"c":null,"a":["Ratios!J7"]},"F|^NASDAQ:AMZNNormalizedROEFY12/31/2022USDt":{"r":[[0.18452319625134608]],"c":null,"a":["Ratios!I7"]},"F|^NASDAQ:AMZNNormalizedROEFQ09/30/2024USDt":{"id":167,"description":null,"headerValues":[],"financialValues":[],"customValues":[],"error":null},"F|^NASDAQ:AMZNNormalizedROAFY12/31/2021USDt":{"r":[[0.08757420521560523]],"c":null,"a":["Ratios!H8"]},"F|^NASDAQ:AMZNNormalizedROAFY12/31/2022USDt":{"r":[[0.05919507712360084]],"c":null,"a":["Ratios!I8"]},"F|^NASDAQ:AMZNNormalizedROAFY12/31/2023USDt":{"r":[[0.10135338051378334]],"c":null,"a":["Ratios!J8"]},"F|^NASDAQ:AMZNNormalizedROAFQ09/30/2024USDt":{"id":171,"description":null,"headerValues":[],"financialValues":[],"customValues":[],"error":null},"F|^NASDAQ:AMZNNormalizedROICFY12/31/2023USDt":{"r":[[0.15911951361010523]],"c":null,"a":["Ratios!J9"]},"F|^NASDAQ:AMZNNormalizedROICFY12/31/2022USDt":{"r":[[0.10096422529103502]],"c":null,"a":["Ratios!I9"]},"F|^NASDAQ:AMZNNormalizedROICFY12/31/2021USDt":{"r":[[0.15256817982603557]],"c":null,"a":["Ratios!H9"]},"F|^NASDAQ:AMZNNormalizedROICFQ09/30/2024USDt":{"id":179,"description":null,"headerValues":[],"financialValues":[],"customValues":[],"error":null},"F|^NASDAQ:AMZNInterest and Dividend IncomeFY12/31/2022USDt":{"r":[[989000000]],"c":null,"a":["Ratios!I35"]},"F|^NASDAQ:AMZNCommon Equity Book ValueFY12/31/2022USDt":{"r":[[146043000000]],"c":null,"a":["Ratios!I28"]},"F|^NASDAQ:AMZNTotal Unusual ItemsFY12/31/2022USDt":{"r":[[35547000000]],"c":null,"a":["Ratios!I42"]},"F|^NASDAQ:AMZNNormalized Basic EPSFY12/31/2022USDt":{"r":[[2.4861222887427616]],"c":null,"a":["Ratios!I36"]},"F|^NASDAQ:AMZNNormalized IncomeFY12/31/2022USDt":{"r":[[25360130000]],"c":null,"a":["Ratios!I40"]},"F|^NASDAQ:AMZNNet Tangible AssetsFY12/31/2022USDt":{"r":[[436290000000]],"c":null,"a":["Ratios!I29"]},"F|^NASDAQ:AMZNInvested CapitalFY12/31/2022USDt":{"r":[[286161000000]],"c":null,"a":["Ratios!I31"]},"F|^NASDAQ:AMZNTangible Book ValueFY12/31/2022USDt":{"r":[[119658000000]],"c":null,"a":["Ratios!I30"]},"F|^NASDAQ:AMZNTax Effect of Unusual ItemsFY12/31/2022USDt":{"r":[[7464870000]],"c":null,"a":["Ratios!I41"]},"F|^NASDAQ:AMZNRepayment of DebtFY12/31/2022USDt":{"r":[[-47001000000]],"c":null,"a":["Ratios!I48"]},"F|^NASDAQ:AMZNTotal Unusual Items Excluding GoodwillFY12/31/2022USDt":{"r":[[35547000000]],"c":null,"a":["Ratios!I43"]},"F|^NASDAQ:AMZNFree Cash FlowFY12/31/2022USDt":{"r":[[3993000000]],"c":null,"a":["Ratios!I46"]},"F|^NASDAQ:AMZNRecommended Normalized Basic EPSFY12/31/2022USDt":{"r":[[2.4861222887427616]],"c":null,"a":["Ratios!I37"]},"F|^NASDAQ:AMZNEnterprise ValueFY12/31/2022USDt":{"r":[[926527950784]],"c":null,"a":["Ratios!I32"]},"F|^NASDAQ:AMZNTotal DebtFY12/31/2022USDt":{"r":[[140118000000]],"c":null,"a":["Ratios!I25"]},"F|^NASDAQ:AMZNCapital Lease ObligationsFY12/31/2022USDt":{"id":744,"description":null,"headerValues":[],"financialValues":[],"customValues":[],"error":null},"F|^NASDAQ:AMZNIssuance of DebtFY12/31/2022USDt":{"r":[[62719000000]],"c":null,"a":["Ratios!I47"]},"F|^NASDAQ:AMZNNet DebtFY12/31/2022USDt":{"r":[[70092000000]],"c":null,"a":["Ratios!I26"]},"F|^NASDAQ:AMZNRecommended Normalized Diluted EPSFY12/31/2022USDt":{"r":[[2.4861222887427616]],"c":null,"a":["Ratios!I39"]},"F|^NASDAQ:AMZNNormalized Diluted EPSFY12/31/2022USDt":{"r":[[2.4861222887427616]],"c":null,"a":["Ratios!I38"]},"F|^NASDAQ:AMZNInterest and Dividend IncomeFY12/31/2023USDt":{"r":[[2949000000]],"c":null,"a":["Ratios!J35"]},"F|^NASDAQ:AMZNCommon Equity Book ValueFY12/31/2023USDt":{"r":[[201875000000]],"c":null,"a":["Ratios!J28"]},"F|^NASDAQ:AMZNTotal Unusual ItemsFY12/31/2023USDt":{"r":[[22973000000]],"c":null,"a":["Ratios!J42"]},"F|^NASDAQ:AMZNNormalized Basic EPSFY12/31/2023USDt":{"r":[[4.756852964963235]],"c":null,"a":["Ratios!J36"]},"F|^NASDAQ:AMZNNormalized IncomeFY12/31/2023USDt":{"r":[[49042812950.98118]],"c":null,"a":["Ratios!J40"]},"F|^NASDAQ:AMZNNet Tangible AssetsFY12/31/2023USDt":{"r":[[497378000000]],"c":null,"a":["Ratios!J29"]},"F|^NASDAQ:AMZNInvested CapitalFY12/31/2023USDt":{"r":[[337486000000]],"c":null,"a":["Ratios!J31"]},"F|^NASDAQ:AMZNTangible Book ValueFY12/31/2023USDt":{"r":[[171399000000]],"c":null,"a":["Ratios!J30"]},"F|^NASDAQ:AMZNTax Effect of Unusual ItemsFY12/31/2023USDt":{"r":[[4355187049.018825]],"c":null,"a":["Ratios!J41"]},"F|^NASDAQ:AMZNRepayment of DebtFY12/31/2023USDt":{"r":[[-34008000000]],"c":null,"a":["Ratios!J48"]},"F|^NASDAQ:AMZNTotal Unusual Items Excluding GoodwillFY12/31/2023USDt":{"r":[[22973000000]],"c":null,"a":["Ratios!J43"]},"F|^NASDAQ:AMZNFree Cash FlowFY12/31/2023USDt":{"r":[[43758000000]],"c":null,"a":["Ratios!J46"]},"F|^NASDAQ:AMZNRecommended Normalized Basic EPSFY12/31/2023USDt":{"r":[[4.756852964963235]],"c":null,"a":["Ratios!J37"]},"F|^NASDAQ:AMZNEnterprise ValueFY12/31/2023USDt":{"r":[[1642972607237]],"c":null,"a":["Ratios!J32"]},"F|^NASDAQ:AMZNTotal DebtFY12/31/2023USDt":{"r":[[135611000000]],"c":null,"a":["Ratios!J25"]},"F|^NASDAQ:AMZNCapital Lease ObligationsFY12/31/2023USDt":{"id":743,"description":null,"headerValues":[],"financialValues":[],"customValues":[],"error":null},"F|^NASDAQ:AMZNIssuance of DebtFY12/31/2023USDt":{"r":[[18129000000]],"c":null,"a":["Ratios!J47"]},"F|^NASDAQ:AMZNNet DebtFY12/31/2023USDt":{"r":[[48831000000]],"c":null,"a":["Ratios!J26"]},"F|^NASDAQ:AMZNRecommended Normalized Diluted EPSFY12/31/2023USDt":{"r":[[4.674477025446166]],"c":null,"a":["Ratios!J39"]},"F|^NASDAQ:AMZNNormalized Diluted EPSFY12/31/2023USDt":{"r":[[4.674477025446166]],"c":null,"a":["Ratios!J38"]},"F|^NASDAQ:AMZNInterest and Dividend IncomeFY12/31/2021USDt":{"r":[[448000000]],"c":null,"a":["Ratios!H35"]},"F|^NASDAQ:AMZNCommon Equity Book ValueFY12/31/2021USDt":{"r":[[138245000000]],"c":null,"a":["Ratios!H28"]},"F|^NASDAQ:AMZNTotal Unusual ItemsFY12/31/2021USDt":{"r":[[-1950000000]],"c":null,"a":["Ratios!H42"]},"F|^NASDAQ:AMZNNormalized Basic EPSFY12/31/2021USDt":{"r":[[3.131460004757267]],"c":null,"a":["Ratios!H36"]},"F|^NASDAQ:AMZNNormalized IncomeFY12/31/2021USDt":{"r":[[31658880868.129276]],"c":null,"a":["Ratios!H40"]},"F|^NASDAQ:AMZNNet Tangible AssetsFY12/31/2021USDt":{"r":[[400071000000]],"c":null,"a":["Ratios!H29"]},"F|^NASDAQ:AMZNInvested CapitalFY12/31/2021USDt":{"r":[[254640000000]],"c":null,"a":["Ratios!H31"]},"F|^NASDAQ:AMZNTangible Book ValueFY12/31/2021USDt":{"r":[[117767000000]],"c":null,"a":["Ratios!H30"]},"F|^NASDAQ:AMZNTax Effect of Unusual ItemsFY12/31/2021USDt":{"r":[[-244880868.12927577]],"c":null,"a":["Ratios!H41"]},"F|^NASDAQ:AMZNRepayment of DebtFY12/31/2021USDt":{"r":[[-20668000000]],"c":null,"a":["Ratios!H48"]},"F|^NASDAQ:AMZNTotal Unusual Items Excluding GoodwillFY12/31/2021USDt":{"r":[[-1950000000]],"c":null,"a":["Ratios!H43"]},"F|^NASDAQ:AMZNFree Cash FlowFY12/31/2021USDt":{"r":[[4885000000]],"c":null,"a":["Ratios!H46"]},"F|^NASDAQ:AMZNRecommended Normalized Basic EPSFY12/31/2021USDt":{"r":[[3.131460004757267]],"c":null,"a":["Ratios!H37"]},"F|^NASDAQ:AMZNEnterprise ValueFY12/31/2021USDt":{"r":[[1725917595271]],"c":null,"a":["Ratios!H32"]},"F|^NASDAQ:AMZNTotal DebtFY12/31/2021USDt":{"r":[[116395000000]],"c":null,"a":["Ratios!H25"]},"F|^NASDAQ:AMZNCapital Lease ObligationsFY12/31/2021USDt":{"id":745,"description":null,"headerValues":[],"financialValues":[],"customValues":[],"error":null},"F|^NASDAQ:AMZNIssuance of DebtFY12/31/2021USDt":{"r":[[26959000000]],"c":null,"a":["Ratios!H47"]},"F|^NASDAQ:AMZNNet DebtFY12/31/2021USDt":{"r":[[20346000000]],"c":null,"a":["Ratios!H26"]},"F|^NASDAQ:AMZNRecommended Normalized Diluted EPSFY12/31/2021USDt":{"r":[[3.074390138707195]],"c":null,"a":["Ratios!H39"]},"F|^NASDAQ:AMZNNormalized Diluted EPSFY12/31/2021USDt":{"r":[[3.074390138707195]],"c":null,"a":["Ratios!H38"]},"F|^NASDAQ:AMZNTotal Unusual ItemsFQ09/30/2024USDt":{"r":[[5368000000]],"c":null,"a":["Ratios!K42"]},"F|^NASDAQ:AMZNInterest and Dividend IncomeFQ09/30/2024USDt":{"r":[[1256000000]],"c":null,"a":["Ratios!K35"]},"F|^NASDAQ:AMZNCommon Equity Book ValueFQ09/30/2024USDt":{"id":738,"description":null,"headerValues":[],"financialValues":[],"customValues":[],"error":null},"F|^NASDAQ:AMZNTotal DebtFQ09/30/2024USDt":{"r":[[0]],"c":null,"a":["Ratios!K25"]},"F|^NASDAQ:AMZNNormalized IncomeFQ09/30/2024USDt":{"r":[[19890666075.28968]],"c":null,"a":["Ratios!K40"]},"F|^NASDAQ:AMZNNet Tangible AssetsFQ09/30/2024USDt":{"id":734,"description":null,"headerValues":[],"financialValues":[],"customValues":[],"error":null},"F|^NASDAQ:AMZNFree Cash FlowFQ09/30/2024USDt":{"r":[[10025000000]],"c":null,"a":["Ratios!K46"]},"F|^NASDAQ:AMZNRecommended Normalized Basic EPSFQ09/30/2024USDt":{"r":[[1.8944982454327857]],"c":null,"a":["Ratios!K37"]},"F|^NASDAQ:AMZNEnterprise ValueFQ09/30/2024USDt":{"r":[[1999519976937]],"c":null,"a":["Ratios!K32"]},"F|^NASDAQ:AMZNTotal Unusual Items Excluding GoodwillFQ09/30/2024USDt":{"r":[[5368000000]],"c":null,"a":["Ratios!K43"]},"F|^NASDAQ:AMZNNet DebtFQ09/30/2024USDt":{"r":[[0]],"c":null,"a":["Ratios!K26"]},"F|^NASDAQ:AMZNRecommended Normalized Diluted EPSFQ09/30/2024USDt":{"r":[[1.8550271146054664]],"c":null,"a":["Ratios!K39"]},"F|^NASDAQ:AMZNNormalized Diluted EPSFQ09/30/2024USDt":{"r":[[1.8550271146054664]],"c":null,"a":["Ratios!K38"]},"F|^NASDAQ:AMZNIssuance of DebtFQ09/30/2024USDt":{"r":[[1725000000]],"c":null,"a":["Ratios!K47"]},"F|^NASDAQ:AMZNCapital Lease ObligationsFQ09/30/2024USDt":{"id":742,"description":null,"headerValues":[],"financialValues":[],"customValues":[],"error":null},"F|^NASDAQ:AMZNRepayment of DebtFQ09/30/2024USDt":{"r":[[-4405000000]],"c":null,"a":["Ratios!K48"]},"F|^NASDAQ:AMZNNormalized Basic EPSFQ09/30/2024USDt":{"r":[[1.8944982454327857]],"c":null,"a":["Ratios!K36"]},"F|^NASDAQ:AMZNInvested CapitalFQ09/30/2024USDt":{"r":[[0]],"c":null,"a":["Ratios!K31"]},"F|^NASDAQ:AMZNTax Effect of Unusual ItemsFQ09/30/2024USDt":{"r":[[805333924.7103176]],"c":null,"a":["Ratios!K41"]},"F|^NASDAQ:AMZNTangible Book ValueFQ09/30/2024USDt":{"id":730,"description":null,"headerValues":[],"financialValues":[],"customValues":[],"error":null},"F|^NASDAQ:AMZNCash Flow MetricsFQ09/30/2024USDt":{"id":678,"description":null,"headerValues":[],"financialValues":[],"customValues":[],"error":"PBXLP_FIELD"},"F|^NASDAQ:AMZNCash Flow MetricsFY12/31/2023USDt":{"id":679,"description":null,"headerValues":[],"financialValues":[],"customValues":[],"error":"PBXLP_FIELD"},"F|^NASDAQ:AMZNCash Flow MetricsFY12/31/2022USDt":{"id":680,"description":null,"headerValues":[],"financialValues":[],"customValues":[],"error":"PBXLP_FIELD"},"F|^NASDAQ:AMZNCash Flow MetricsFY12/31/2021USDt":{"id":681,"description":null,"headerValues":[],"financialValues":[],"customValues":[],"error":"PBXLP_FIELD"},"F|^NASDAQ:AMZNProfitability MetricsFQ09/30/2024USDt":{"id":718,"description":null,"headerValues":[],"financialValues":[],"customValues":[],"error":"PBXLP_FIELD"},"F|^NASDAQ:AMZNProfitability MetricsFY12/31/2023USDt":{"id":719,"description":null,"headerValues":[],"financialValues":[],"customValues":[],"error":"PBXLP_FIELD"},"F|^NASDAQ:AMZNProfitability MetricsFY12/31/2022USDt":{"id":720,"description":null,"headerValues":[],"financialValues":[],"customValues":[],"error":"PBXLP_FIELD"},"F|^NASDAQ:AMZNProfitability MetricsFY12/31/2021USDt":{"id":721,"description":null,"headerValues":[],"financialValues":[],"customValues":[],"error":"PBXLP_FIELD"},"F|^NASDAQ:AMZNROEFY12/31/2022USDt":{"r":[[-0.019805582234640122]],"c":null,"a":["Ratios!H7"]},"F|^NASDAQ:AMZNROEFY12/31/2021USDt":{"r":[[0.2924942490040958]],"c":null,"a":["Ratios!G7"]},"F|^NASDAQ:AMZNROEFY12/31/2023USDt":{"r":[[0.17812835545813382]],"c":null,"a":["Ratios!I7"]},"F|^NASDAQ:AMZNROAFY12/31/2021USDt":{"r":[[0.09229087392520025]],"c":null,"a":["Ratios!G8"]},"F|^NASDAQ:AMZNROAFY12/31/2022USDt":{"r":[[-0.006353634619792622]],"c":null,"a":["Ratios!H8"]},"F|^NASDAQ:AMZNROAFY12/31/2023USDt":{"r":[[0.06287723759267289]],"c":null,"a":["Ratios!I8"]},"F|^NASDAQ:AMZNROICFY12/31/2023USDt":{"r":[[0.0989456646073852]],"c":null,"a":["Ratios!I9"]},"F|^NASDAQ:AMZNROICFY12/31/2022USDt":{"r":[[-0.006235188668873606]],"c":null,"a":["Ratios!H9"]},"F|^NASDAQ:AMZNROICFY12/31/2021USDt":{"r":[[0.16048766556392552]],"c":null,"a":["Ratios!G9"]},"F|^NASDAQ:AMZNROICFQ09/30/2024USDt":{"id":1505,"description":null,"headerValues":[],"financialValues":[],"customValues":[],"error":null},"F|^NASDAQ:AMZNROAFQ09/30/2024USDt":{"id":1506,"description":null,"headerValues":[],"financialValues":[],"customValues":[],"error":null},"F|^NASDAQ:AMZNROEFQ09/30/2024USDt":{"id":1507,"description":null,"headerValues":[],"financialValues":[],"customValues":[],"error":null}}}</t>
  </si>
  <si>
    <t xml:space="preserve"> Net Income </t>
  </si>
  <si>
    <t xml:space="preserve"> Depreciation &amp; Amortization</t>
  </si>
  <si>
    <t xml:space="preserve"> Stock-Based Compensation </t>
  </si>
  <si>
    <t xml:space="preserve"> Other Operating Expenses / (Income) </t>
  </si>
  <si>
    <t xml:space="preserve"> Other Expense / (Income) </t>
  </si>
  <si>
    <t xml:space="preserve"> Deferred Income Taxes </t>
  </si>
  <si>
    <t>Changes in Operating Assets and Liabilities</t>
  </si>
  <si>
    <t xml:space="preserve"> Inventories </t>
  </si>
  <si>
    <t xml:space="preserve"> Accounts Receivable </t>
  </si>
  <si>
    <t xml:space="preserve"> Accounts Payable </t>
  </si>
  <si>
    <t xml:space="preserve"> Accrued Expenses &amp; Other Liabilities </t>
  </si>
  <si>
    <t xml:space="preserve"> Unearned Revenue </t>
  </si>
  <si>
    <t xml:space="preserve">               -</t>
  </si>
  <si>
    <t xml:space="preserve"> Cash Flow from Operations (CFO) </t>
  </si>
  <si>
    <t xml:space="preserve"> Purchases of PP&amp;E </t>
  </si>
  <si>
    <t xml:space="preserve"> Proceeds from PP&amp;E Sales and Incentives </t>
  </si>
  <si>
    <t xml:space="preserve">                -</t>
  </si>
  <si>
    <t xml:space="preserve"> Acquisitions, Net of Cash Acquired, &amp; Other </t>
  </si>
  <si>
    <t xml:space="preserve"> Sales and Maturities of Marketable Securities </t>
  </si>
  <si>
    <t xml:space="preserve"> Purchases of Marketable Securities </t>
  </si>
  <si>
    <t xml:space="preserve"> Cash Flow from Investing </t>
  </si>
  <si>
    <t xml:space="preserve"> Proceeds from Short-Term Debt, and Other </t>
  </si>
  <si>
    <t xml:space="preserve"> Repayments of Short-Term Debt, and Other </t>
  </si>
  <si>
    <t xml:space="preserve"> Proceeds from Long Term Debt </t>
  </si>
  <si>
    <t xml:space="preserve"> Repayments of Long-Term Debt </t>
  </si>
  <si>
    <t xml:space="preserve"> Principal Repayments of Finance Leases </t>
  </si>
  <si>
    <t xml:space="preserve"> Principal Repayments of Financing Obligations </t>
  </si>
  <si>
    <t xml:space="preserve"> Other Cash Flows from Financing </t>
  </si>
  <si>
    <t xml:space="preserve"> Cash Flow from Financing </t>
  </si>
  <si>
    <t xml:space="preserve"> Foreign Exchange Impact </t>
  </si>
  <si>
    <t xml:space="preserve"> Key Metrics </t>
  </si>
  <si>
    <t>Free Cash Flow to Equity</t>
  </si>
  <si>
    <t>Free Cash Flow (Method Amazon)</t>
  </si>
  <si>
    <t>Free Cash Flow to Firm (Method - Morningstar)</t>
  </si>
  <si>
    <t>Free Cash Flow to Firm (Method - PitchBook)</t>
  </si>
  <si>
    <t>Free Cash Flow to Firm (Formula)</t>
  </si>
  <si>
    <t xml:space="preserve">Liquidity Ratios </t>
  </si>
  <si>
    <t>Current Ratio</t>
  </si>
  <si>
    <t>Quick Ratio</t>
  </si>
  <si>
    <t>Cash Ratio</t>
  </si>
  <si>
    <t>Cash to Assets</t>
  </si>
  <si>
    <t>Cash Turnover</t>
  </si>
  <si>
    <t>Inventory Turnover</t>
  </si>
  <si>
    <t>Receivable Turnover</t>
  </si>
  <si>
    <t>Payable Turnover</t>
  </si>
  <si>
    <t>Fixed Asset Turnover</t>
  </si>
  <si>
    <t>Total Asset Turnover</t>
  </si>
  <si>
    <t>Equity Turnover</t>
  </si>
  <si>
    <t>Days In Sales</t>
  </si>
  <si>
    <t>Days In Inventory</t>
  </si>
  <si>
    <t>Days In Payment</t>
  </si>
  <si>
    <t>Cash Conversion Cycle</t>
  </si>
  <si>
    <t>Financial Health</t>
  </si>
  <si>
    <t>Cash Flow to Debt</t>
  </si>
  <si>
    <t>Free Cash Flow to Debt</t>
  </si>
  <si>
    <t>Interest Coverage</t>
  </si>
  <si>
    <t>EBITDA Interest Coverage</t>
  </si>
  <si>
    <t>Capital Expenditure to EBITDA</t>
  </si>
  <si>
    <t>Free Cash Flow to Net Income</t>
  </si>
  <si>
    <t>Book Value to EBITDA</t>
  </si>
  <si>
    <t>Book Value to Revenue</t>
  </si>
  <si>
    <t>Profitability Ratios</t>
  </si>
  <si>
    <t>EBITDA Growth</t>
  </si>
  <si>
    <t>Gross Proit Margin</t>
  </si>
  <si>
    <t>Selling, General and Admin Expense Margin</t>
  </si>
  <si>
    <t>EBIT Margin</t>
  </si>
  <si>
    <t>EBT Margin</t>
  </si>
  <si>
    <t>Operating Profit Margin</t>
  </si>
  <si>
    <t>Return On Equity (ROE)</t>
  </si>
  <si>
    <t>Return On Asset (ROA)</t>
  </si>
  <si>
    <t>Return On Invested Capital (ROIC)</t>
  </si>
  <si>
    <t>Leverage Ratios</t>
  </si>
  <si>
    <t>Debt-to-Equity Ratio</t>
  </si>
  <si>
    <t>Debt-to Capital Ratio</t>
  </si>
  <si>
    <t>Debt-to-EBTIDA Ratio</t>
  </si>
  <si>
    <t>Debt-to-Assets</t>
  </si>
  <si>
    <t>Asset-to-Equity Ratio</t>
  </si>
  <si>
    <t>Price Multiples</t>
  </si>
  <si>
    <t>Stock Price</t>
  </si>
  <si>
    <t>Market Cap</t>
  </si>
  <si>
    <t>Price to Earnings</t>
  </si>
  <si>
    <t>Price to Revenues</t>
  </si>
  <si>
    <t>Prices to EBITDA</t>
  </si>
  <si>
    <t>Price to Free Cash Flow</t>
  </si>
  <si>
    <t>Price to Book Value</t>
  </si>
  <si>
    <t>Net Sales Min</t>
  </si>
  <si>
    <t>Net Sales Max</t>
  </si>
  <si>
    <t>Operating Income Min</t>
  </si>
  <si>
    <t>Operating Income Max</t>
  </si>
  <si>
    <t>Realized</t>
  </si>
  <si>
    <t>Net Sales</t>
  </si>
  <si>
    <t>Difference</t>
  </si>
  <si>
    <t>Net Sales %</t>
  </si>
  <si>
    <t>Operating Income%</t>
  </si>
  <si>
    <t>Cost of Capital</t>
  </si>
  <si>
    <t>Equity</t>
  </si>
  <si>
    <t>Cost of Equity</t>
  </si>
  <si>
    <t>Cost of Equity (CAPM)</t>
  </si>
  <si>
    <t>Interest rate</t>
  </si>
  <si>
    <t>Debt Amount</t>
  </si>
  <si>
    <t>Interest rate × Debt amount</t>
  </si>
  <si>
    <t>Tax Rate</t>
  </si>
  <si>
    <t>Cost of Debt</t>
  </si>
  <si>
    <t>Risk-Free</t>
  </si>
  <si>
    <t>EBIT * (1 - Tax Rate)</t>
  </si>
  <si>
    <t>Beta (AMZ)</t>
  </si>
  <si>
    <t>Equity Share</t>
  </si>
  <si>
    <t>Expected Return of the Market</t>
  </si>
  <si>
    <t>Debt Share</t>
  </si>
  <si>
    <t>Chg. Working Capital</t>
  </si>
  <si>
    <t>Free Cash Flow to Firm</t>
  </si>
  <si>
    <t>Terminal Value</t>
  </si>
  <si>
    <t>WACC</t>
  </si>
  <si>
    <t>Number of Shares Outstanding</t>
  </si>
  <si>
    <t>Last Share Price</t>
  </si>
  <si>
    <t>Cumulative WACC</t>
  </si>
  <si>
    <t>Growth Rate</t>
  </si>
  <si>
    <t>Equity Fair Value</t>
  </si>
  <si>
    <t>Total</t>
  </si>
  <si>
    <t>PV of FCFF</t>
  </si>
  <si>
    <t>Debt Fair Value</t>
  </si>
  <si>
    <t>Value of Firm</t>
  </si>
  <si>
    <t>Debt Avg Cost</t>
  </si>
  <si>
    <t xml:space="preserve"> +Value of Cash</t>
  </si>
  <si>
    <t xml:space="preserve"> - Value of Debt</t>
  </si>
  <si>
    <t>Value of Equity</t>
  </si>
  <si>
    <t>Shares Outstanding</t>
  </si>
  <si>
    <t>Value of Equity per Share</t>
  </si>
  <si>
    <t>AMZN Closing Price</t>
  </si>
  <si>
    <t>Over (Under) 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</si>
</sst>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\-yy;@"/>
    <numFmt numFmtId="165" formatCode="0.0%"/>
    <numFmt numFmtId="166" formatCode="_([$$-409]* #,##0.00_);_([$$-409]* \(#,##0.00\);_([$$-409]* &quot;-&quot;??_);_(@_)"/>
    <numFmt numFmtId="167" formatCode="_(&quot;$&quot;* #,##0_);_(&quot;$&quot;* \(#,##0\);_(&quot;$&quot;* &quot;-&quot;??_);_(@_)"/>
  </numFmts>
  <fonts count="47" x14ac:knownFonts="1">
    <font>
      <sz val="11"/>
      <color theme="1"/>
      <name val="Aptos Narrow"/>
      <family val="2"/>
      <scheme val="minor"/>
    </font>
    <font>
      <b/>
      <sz val="11"/>
      <color rgb="FF0000FF"/>
      <name val="Arial Narrow"/>
      <family val="2"/>
    </font>
    <font>
      <b/>
      <sz val="11"/>
      <color rgb="FF000000"/>
      <name val="Arial Narrow"/>
      <family val="2"/>
    </font>
    <font>
      <i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rgb="FFFFFFFF"/>
      <name val="Arial Narrow"/>
      <family val="2"/>
    </font>
    <font>
      <b/>
      <sz val="11"/>
      <name val="Arial Narrow"/>
      <family val="2"/>
    </font>
    <font>
      <sz val="11"/>
      <color rgb="FFC00000"/>
      <name val="Arial Narrow"/>
      <family val="2"/>
    </font>
    <font>
      <sz val="11"/>
      <color rgb="FFFFFFFF"/>
      <name val="Arial Narrow"/>
      <family val="2"/>
    </font>
    <font>
      <sz val="11"/>
      <color rgb="FF808080"/>
      <name val="Arial Narrow"/>
      <family val="2"/>
    </font>
    <font>
      <b/>
      <sz val="11"/>
      <color rgb="FF808080"/>
      <name val="Arial Narrow"/>
      <family val="2"/>
    </font>
    <font>
      <b/>
      <sz val="11"/>
      <color rgb="FF00B0F0"/>
      <name val="Arial Narrow"/>
      <family val="2"/>
    </font>
    <font>
      <b/>
      <sz val="11"/>
      <color rgb="FFC00000"/>
      <name val="Arial Narrow"/>
      <family val="2"/>
    </font>
    <font>
      <sz val="11"/>
      <color rgb="FF000000"/>
      <name val="Aptos Narrow"/>
      <family val="2"/>
    </font>
    <font>
      <b/>
      <sz val="24"/>
      <color rgb="FF0C769E"/>
      <name val="Aptos Narrow"/>
      <family val="2"/>
    </font>
    <font>
      <sz val="11"/>
      <name val="Aptos Narrow"/>
      <family val="2"/>
    </font>
    <font>
      <sz val="12"/>
      <color rgb="FF000000"/>
      <name val="Aptos Narrow"/>
      <family val="2"/>
    </font>
    <font>
      <b/>
      <sz val="11"/>
      <color rgb="FF000000"/>
      <name val="Aptos Narrow"/>
      <family val="2"/>
    </font>
    <font>
      <u/>
      <sz val="11"/>
      <color rgb="FF000000"/>
      <name val="Arial Narrow"/>
      <family val="2"/>
    </font>
    <font>
      <i/>
      <sz val="11"/>
      <color rgb="FF0070C0"/>
      <name val="Arial Narrow"/>
      <family val="2"/>
    </font>
    <font>
      <sz val="11"/>
      <color rgb="FFFF00FF"/>
      <name val="Arial Narrow"/>
      <family val="2"/>
    </font>
    <font>
      <b/>
      <sz val="11"/>
      <color rgb="FFFF0000"/>
      <name val="Arial Narrow"/>
      <family val="2"/>
    </font>
    <font>
      <b/>
      <sz val="11"/>
      <color theme="1"/>
      <name val="Aptos Narrow"/>
      <family val="2"/>
      <scheme val="minor"/>
    </font>
    <font>
      <b/>
      <sz val="11"/>
      <color rgb="FF002060"/>
      <name val="Arial Narrow"/>
      <family val="2"/>
    </font>
    <font>
      <b/>
      <sz val="11"/>
      <color rgb="FF29B1F0"/>
      <name val="Arial Narrow"/>
      <family val="2"/>
    </font>
    <font>
      <i/>
      <sz val="10"/>
      <color rgb="FF000000"/>
      <name val="Arial Narrow"/>
      <family val="2"/>
    </font>
    <font>
      <b/>
      <sz val="11"/>
      <name val="Arial Narrow"/>
      <family val="2"/>
    </font>
    <font>
      <b/>
      <sz val="11"/>
      <color rgb="FF000000"/>
      <name val="Arial Narrow"/>
      <family val="2"/>
    </font>
    <font>
      <sz val="11"/>
      <color theme="0"/>
      <name val="Arial Narrow"/>
      <family val="2"/>
    </font>
    <font>
      <sz val="11"/>
      <color theme="0"/>
      <name val="Arial Narrow"/>
      <family val="2"/>
    </font>
    <font>
      <sz val="11"/>
      <name val="Aptos Narrow"/>
      <family val="2"/>
      <scheme val="minor"/>
    </font>
    <font>
      <sz val="11"/>
      <color rgb="FF808080"/>
      <name val="Arial Narrow"/>
      <family val="2"/>
    </font>
    <font>
      <b/>
      <sz val="11"/>
      <color rgb="FF0070C0"/>
      <name val="Arial Narrow"/>
      <family val="2"/>
    </font>
    <font>
      <sz val="11"/>
      <color rgb="FF29B1F0"/>
      <name val="Arial Narrow"/>
      <family val="2"/>
    </font>
    <font>
      <sz val="11"/>
      <color rgb="FF29B1F0"/>
      <name val="Arial Narrow"/>
      <family val="2"/>
    </font>
    <font>
      <sz val="11"/>
      <color rgb="FF00B0F0"/>
      <name val="Arial Narrow"/>
      <family val="2"/>
    </font>
    <font>
      <b/>
      <sz val="11"/>
      <color theme="4" tint="0.39997558519241921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70C0"/>
      <name val="Arial Narrow"/>
      <family val="2"/>
    </font>
    <font>
      <sz val="11"/>
      <color theme="1" tint="0.499984740745262"/>
      <name val="Arial Narrow"/>
      <family val="2"/>
    </font>
    <font>
      <b/>
      <sz val="11"/>
      <color theme="1" tint="0.499984740745262"/>
      <name val="Arial Narrow"/>
      <family val="2"/>
    </font>
    <font>
      <sz val="11"/>
      <color theme="1" tint="0.499984740745262"/>
      <name val="Aptos Narrow"/>
      <family val="2"/>
      <scheme val="minor"/>
    </font>
    <font>
      <sz val="11"/>
      <color rgb="FF29B1F0"/>
      <name val="Aptos Narrow"/>
      <family val="2"/>
      <scheme val="minor"/>
    </font>
    <font>
      <sz val="11"/>
      <color theme="1"/>
      <name val="Arial Narrow"/>
      <family val="2"/>
    </font>
    <font>
      <b/>
      <sz val="24"/>
      <color rgb="FF0C769E"/>
      <name val="Arial Narrow"/>
      <family val="2"/>
    </font>
    <font>
      <sz val="11"/>
      <name val="Arial Narrow"/>
      <family val="2"/>
    </font>
    <font>
      <b/>
      <sz val="12"/>
      <color rgb="FF000000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B9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29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2" fillId="2" borderId="0" xfId="0" applyFont="1" applyFill="1"/>
    <xf numFmtId="0" fontId="4" fillId="0" borderId="1" xfId="0" applyFont="1" applyBorder="1"/>
    <xf numFmtId="0" fontId="4" fillId="0" borderId="2" xfId="0" applyFont="1" applyBorder="1"/>
    <xf numFmtId="0" fontId="2" fillId="3" borderId="0" xfId="0" applyFont="1" applyFill="1"/>
    <xf numFmtId="0" fontId="5" fillId="2" borderId="2" xfId="0" applyFont="1" applyFill="1" applyBorder="1"/>
    <xf numFmtId="0" fontId="5" fillId="2" borderId="0" xfId="0" applyFont="1" applyFill="1"/>
    <xf numFmtId="0" fontId="2" fillId="0" borderId="2" xfId="0" applyFont="1" applyBorder="1"/>
    <xf numFmtId="0" fontId="6" fillId="0" borderId="0" xfId="0" applyFont="1"/>
    <xf numFmtId="0" fontId="5" fillId="2" borderId="4" xfId="0" applyFont="1" applyFill="1" applyBorder="1"/>
    <xf numFmtId="0" fontId="2" fillId="3" borderId="1" xfId="0" applyFont="1" applyFill="1" applyBorder="1"/>
    <xf numFmtId="0" fontId="7" fillId="0" borderId="0" xfId="0" applyFont="1"/>
    <xf numFmtId="0" fontId="4" fillId="0" borderId="5" xfId="0" applyFont="1" applyBorder="1"/>
    <xf numFmtId="3" fontId="6" fillId="0" borderId="2" xfId="0" applyNumberFormat="1" applyFont="1" applyBorder="1"/>
    <xf numFmtId="0" fontId="6" fillId="0" borderId="1" xfId="0" applyFont="1" applyBorder="1"/>
    <xf numFmtId="3" fontId="6" fillId="0" borderId="1" xfId="0" applyNumberFormat="1" applyFont="1" applyBorder="1"/>
    <xf numFmtId="3" fontId="6" fillId="0" borderId="0" xfId="0" applyNumberFormat="1" applyFont="1"/>
    <xf numFmtId="3" fontId="2" fillId="0" borderId="0" xfId="0" applyNumberFormat="1" applyFont="1"/>
    <xf numFmtId="10" fontId="6" fillId="0" borderId="0" xfId="0" applyNumberFormat="1" applyFont="1"/>
    <xf numFmtId="10" fontId="6" fillId="0" borderId="1" xfId="0" applyNumberFormat="1" applyFont="1" applyBorder="1"/>
    <xf numFmtId="0" fontId="8" fillId="2" borderId="4" xfId="0" applyFont="1" applyFill="1" applyBorder="1"/>
    <xf numFmtId="10" fontId="6" fillId="3" borderId="0" xfId="0" applyNumberFormat="1" applyFont="1" applyFill="1"/>
    <xf numFmtId="0" fontId="5" fillId="2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9" fillId="0" borderId="0" xfId="0" applyFont="1"/>
    <xf numFmtId="3" fontId="9" fillId="0" borderId="0" xfId="0" applyNumberFormat="1" applyFont="1"/>
    <xf numFmtId="3" fontId="9" fillId="0" borderId="1" xfId="0" applyNumberFormat="1" applyFont="1" applyBorder="1"/>
    <xf numFmtId="3" fontId="9" fillId="0" borderId="2" xfId="0" applyNumberFormat="1" applyFont="1" applyBorder="1"/>
    <xf numFmtId="0" fontId="6" fillId="0" borderId="5" xfId="0" applyFont="1" applyBorder="1"/>
    <xf numFmtId="0" fontId="9" fillId="0" borderId="5" xfId="0" applyFont="1" applyBorder="1"/>
    <xf numFmtId="3" fontId="6" fillId="0" borderId="5" xfId="0" applyNumberFormat="1" applyFont="1" applyBorder="1"/>
    <xf numFmtId="0" fontId="2" fillId="3" borderId="0" xfId="0" applyFont="1" applyFill="1" applyAlignment="1">
      <alignment horizontal="left"/>
    </xf>
    <xf numFmtId="3" fontId="9" fillId="0" borderId="5" xfId="0" applyNumberFormat="1" applyFont="1" applyBorder="1"/>
    <xf numFmtId="2" fontId="6" fillId="0" borderId="0" xfId="0" applyNumberFormat="1" applyFont="1"/>
    <xf numFmtId="2" fontId="9" fillId="0" borderId="0" xfId="0" applyNumberFormat="1" applyFont="1"/>
    <xf numFmtId="10" fontId="6" fillId="0" borderId="5" xfId="0" applyNumberFormat="1" applyFont="1" applyBorder="1"/>
    <xf numFmtId="10" fontId="9" fillId="0" borderId="0" xfId="0" applyNumberFormat="1" applyFont="1"/>
    <xf numFmtId="10" fontId="9" fillId="0" borderId="1" xfId="0" applyNumberFormat="1" applyFont="1" applyBorder="1"/>
    <xf numFmtId="10" fontId="0" fillId="0" borderId="0" xfId="0" applyNumberFormat="1"/>
    <xf numFmtId="165" fontId="6" fillId="0" borderId="0" xfId="0" applyNumberFormat="1" applyFont="1"/>
    <xf numFmtId="165" fontId="9" fillId="0" borderId="0" xfId="0" applyNumberFormat="1" applyFont="1"/>
    <xf numFmtId="165" fontId="6" fillId="0" borderId="5" xfId="0" applyNumberFormat="1" applyFont="1" applyBorder="1"/>
    <xf numFmtId="165" fontId="9" fillId="0" borderId="5" xfId="0" applyNumberFormat="1" applyFont="1" applyBorder="1"/>
    <xf numFmtId="10" fontId="6" fillId="0" borderId="2" xfId="0" applyNumberFormat="1" applyFont="1" applyBorder="1"/>
    <xf numFmtId="10" fontId="10" fillId="3" borderId="0" xfId="0" applyNumberFormat="1" applyFont="1" applyFill="1"/>
    <xf numFmtId="10" fontId="2" fillId="0" borderId="0" xfId="0" applyNumberFormat="1" applyFont="1"/>
    <xf numFmtId="165" fontId="6" fillId="0" borderId="1" xfId="0" applyNumberFormat="1" applyFont="1" applyBorder="1"/>
    <xf numFmtId="165" fontId="9" fillId="0" borderId="1" xfId="0" applyNumberFormat="1" applyFont="1" applyBorder="1"/>
    <xf numFmtId="165" fontId="6" fillId="0" borderId="2" xfId="0" applyNumberFormat="1" applyFont="1" applyBorder="1"/>
    <xf numFmtId="165" fontId="9" fillId="0" borderId="2" xfId="0" applyNumberFormat="1" applyFont="1" applyBorder="1"/>
    <xf numFmtId="165" fontId="6" fillId="3" borderId="0" xfId="0" applyNumberFormat="1" applyFont="1" applyFill="1"/>
    <xf numFmtId="165" fontId="10" fillId="3" borderId="0" xfId="0" applyNumberFormat="1" applyFont="1" applyFill="1"/>
    <xf numFmtId="165" fontId="2" fillId="0" borderId="0" xfId="0" applyNumberFormat="1" applyFont="1"/>
    <xf numFmtId="0" fontId="4" fillId="0" borderId="6" xfId="0" applyFont="1" applyBorder="1"/>
    <xf numFmtId="10" fontId="1" fillId="0" borderId="6" xfId="0" applyNumberFormat="1" applyFont="1" applyBorder="1"/>
    <xf numFmtId="10" fontId="1" fillId="0" borderId="5" xfId="0" applyNumberFormat="1" applyFont="1" applyBorder="1"/>
    <xf numFmtId="10" fontId="6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10" fontId="6" fillId="0" borderId="5" xfId="0" applyNumberFormat="1" applyFont="1" applyBorder="1" applyAlignment="1">
      <alignment horizontal="right"/>
    </xf>
    <xf numFmtId="10" fontId="2" fillId="0" borderId="0" xfId="0" applyNumberFormat="1" applyFont="1" applyAlignment="1">
      <alignment horizontal="right"/>
    </xf>
    <xf numFmtId="3" fontId="11" fillId="0" borderId="0" xfId="0" applyNumberFormat="1" applyFont="1"/>
    <xf numFmtId="0" fontId="6" fillId="5" borderId="4" xfId="0" applyFont="1" applyFill="1" applyBorder="1"/>
    <xf numFmtId="0" fontId="4" fillId="0" borderId="7" xfId="0" applyFont="1" applyBorder="1"/>
    <xf numFmtId="0" fontId="7" fillId="6" borderId="3" xfId="0" applyFont="1" applyFill="1" applyBorder="1"/>
    <xf numFmtId="0" fontId="7" fillId="6" borderId="0" xfId="0" applyFont="1" applyFill="1"/>
    <xf numFmtId="0" fontId="8" fillId="2" borderId="2" xfId="0" applyFont="1" applyFill="1" applyBorder="1"/>
    <xf numFmtId="3" fontId="6" fillId="0" borderId="7" xfId="0" applyNumberFormat="1" applyFont="1" applyBorder="1"/>
    <xf numFmtId="0" fontId="12" fillId="6" borderId="0" xfId="0" applyFont="1" applyFill="1"/>
    <xf numFmtId="3" fontId="9" fillId="0" borderId="7" xfId="0" applyNumberFormat="1" applyFont="1" applyBorder="1"/>
    <xf numFmtId="3" fontId="12" fillId="6" borderId="0" xfId="0" applyNumberFormat="1" applyFont="1" applyFill="1"/>
    <xf numFmtId="3" fontId="6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3" fontId="6" fillId="0" borderId="1" xfId="0" applyNumberFormat="1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0" xfId="0" applyFont="1" applyAlignment="1">
      <alignment horizontal="right"/>
    </xf>
    <xf numFmtId="164" fontId="5" fillId="4" borderId="0" xfId="0" applyNumberFormat="1" applyFont="1" applyFill="1" applyAlignment="1">
      <alignment horizontal="right" vertical="center"/>
    </xf>
    <xf numFmtId="3" fontId="9" fillId="0" borderId="7" xfId="0" applyNumberFormat="1" applyFont="1" applyBorder="1" applyAlignment="1">
      <alignment horizontal="right"/>
    </xf>
    <xf numFmtId="0" fontId="7" fillId="6" borderId="0" xfId="0" applyFont="1" applyFill="1" applyAlignment="1">
      <alignment horizontal="right"/>
    </xf>
    <xf numFmtId="0" fontId="8" fillId="2" borderId="2" xfId="0" applyFont="1" applyFill="1" applyBorder="1" applyAlignment="1">
      <alignment horizontal="right"/>
    </xf>
    <xf numFmtId="0" fontId="13" fillId="3" borderId="8" xfId="0" applyFont="1" applyFill="1" applyBorder="1"/>
    <xf numFmtId="0" fontId="13" fillId="3" borderId="10" xfId="0" applyFont="1" applyFill="1" applyBorder="1"/>
    <xf numFmtId="0" fontId="13" fillId="3" borderId="11" xfId="0" applyFont="1" applyFill="1" applyBorder="1"/>
    <xf numFmtId="0" fontId="13" fillId="3" borderId="12" xfId="0" applyFont="1" applyFill="1" applyBorder="1"/>
    <xf numFmtId="0" fontId="14" fillId="3" borderId="11" xfId="0" applyFont="1" applyFill="1" applyBorder="1"/>
    <xf numFmtId="15" fontId="15" fillId="3" borderId="11" xfId="0" applyNumberFormat="1" applyFont="1" applyFill="1" applyBorder="1" applyAlignment="1">
      <alignment wrapText="1"/>
    </xf>
    <xf numFmtId="0" fontId="16" fillId="3" borderId="11" xfId="0" applyFont="1" applyFill="1" applyBorder="1"/>
    <xf numFmtId="0" fontId="17" fillId="3" borderId="11" xfId="0" applyFont="1" applyFill="1" applyBorder="1"/>
    <xf numFmtId="0" fontId="13" fillId="3" borderId="13" xfId="0" applyFont="1" applyFill="1" applyBorder="1"/>
    <xf numFmtId="0" fontId="13" fillId="3" borderId="14" xfId="0" applyFont="1" applyFill="1" applyBorder="1"/>
    <xf numFmtId="0" fontId="18" fillId="0" borderId="0" xfId="0" applyFont="1"/>
    <xf numFmtId="0" fontId="19" fillId="0" borderId="0" xfId="0" applyFont="1"/>
    <xf numFmtId="0" fontId="8" fillId="2" borderId="0" xfId="0" applyFont="1" applyFill="1"/>
    <xf numFmtId="4" fontId="9" fillId="0" borderId="0" xfId="0" applyNumberFormat="1" applyFont="1"/>
    <xf numFmtId="3" fontId="20" fillId="0" borderId="0" xfId="0" applyNumberFormat="1" applyFont="1"/>
    <xf numFmtId="0" fontId="2" fillId="0" borderId="1" xfId="0" applyFont="1" applyBorder="1"/>
    <xf numFmtId="3" fontId="2" fillId="0" borderId="1" xfId="0" applyNumberFormat="1" applyFont="1" applyBorder="1"/>
    <xf numFmtId="0" fontId="9" fillId="0" borderId="1" xfId="0" applyFont="1" applyBorder="1"/>
    <xf numFmtId="0" fontId="5" fillId="2" borderId="0" xfId="0" applyFont="1" applyFill="1" applyAlignment="1">
      <alignment horizontal="left" vertical="center"/>
    </xf>
    <xf numFmtId="3" fontId="0" fillId="0" borderId="0" xfId="0" applyNumberFormat="1"/>
    <xf numFmtId="4" fontId="2" fillId="0" borderId="0" xfId="0" applyNumberFormat="1" applyFont="1"/>
    <xf numFmtId="4" fontId="6" fillId="0" borderId="0" xfId="0" applyNumberFormat="1" applyFont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0" borderId="0" xfId="0" applyFont="1" applyAlignment="1">
      <alignment horizontal="left" indent="1"/>
    </xf>
    <xf numFmtId="0" fontId="21" fillId="0" borderId="0" xfId="0" applyFont="1"/>
    <xf numFmtId="10" fontId="4" fillId="3" borderId="0" xfId="0" applyNumberFormat="1" applyFont="1" applyFill="1"/>
    <xf numFmtId="10" fontId="4" fillId="8" borderId="0" xfId="0" applyNumberFormat="1" applyFont="1" applyFill="1"/>
    <xf numFmtId="0" fontId="2" fillId="0" borderId="15" xfId="0" applyFont="1" applyBorder="1"/>
    <xf numFmtId="10" fontId="6" fillId="8" borderId="15" xfId="0" applyNumberFormat="1" applyFont="1" applyFill="1" applyBorder="1"/>
    <xf numFmtId="167" fontId="6" fillId="8" borderId="15" xfId="0" applyNumberFormat="1" applyFont="1" applyFill="1" applyBorder="1"/>
    <xf numFmtId="0" fontId="0" fillId="0" borderId="5" xfId="0" applyBorder="1"/>
    <xf numFmtId="0" fontId="4" fillId="9" borderId="5" xfId="0" applyFont="1" applyFill="1" applyBorder="1"/>
    <xf numFmtId="10" fontId="2" fillId="10" borderId="0" xfId="0" applyNumberFormat="1" applyFont="1" applyFill="1" applyAlignment="1">
      <alignment horizontal="center"/>
    </xf>
    <xf numFmtId="165" fontId="11" fillId="0" borderId="0" xfId="0" applyNumberFormat="1" applyFont="1" applyAlignment="1">
      <alignment horizontal="center"/>
    </xf>
    <xf numFmtId="0" fontId="17" fillId="0" borderId="0" xfId="0" applyFont="1"/>
    <xf numFmtId="0" fontId="0" fillId="0" borderId="0" xfId="0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3" fillId="8" borderId="15" xfId="0" applyFont="1" applyFill="1" applyBorder="1"/>
    <xf numFmtId="0" fontId="2" fillId="8" borderId="15" xfId="0" applyFont="1" applyFill="1" applyBorder="1" applyAlignment="1">
      <alignment horizontal="center" vertical="center"/>
    </xf>
    <xf numFmtId="3" fontId="4" fillId="8" borderId="0" xfId="0" applyNumberFormat="1" applyFont="1" applyFill="1" applyAlignment="1">
      <alignment horizontal="center" vertical="center"/>
    </xf>
    <xf numFmtId="0" fontId="2" fillId="8" borderId="0" xfId="0" applyFont="1" applyFill="1"/>
    <xf numFmtId="3" fontId="2" fillId="8" borderId="0" xfId="0" applyNumberFormat="1" applyFont="1" applyFill="1" applyAlignment="1">
      <alignment horizontal="center" vertical="center"/>
    </xf>
    <xf numFmtId="0" fontId="4" fillId="8" borderId="15" xfId="0" applyFont="1" applyFill="1" applyBorder="1"/>
    <xf numFmtId="3" fontId="4" fillId="8" borderId="15" xfId="0" applyNumberFormat="1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8" borderId="16" xfId="0" applyFont="1" applyFill="1" applyBorder="1"/>
    <xf numFmtId="0" fontId="4" fillId="8" borderId="16" xfId="0" applyFont="1" applyFill="1" applyBorder="1" applyAlignment="1">
      <alignment horizontal="center" vertical="center"/>
    </xf>
    <xf numFmtId="0" fontId="23" fillId="8" borderId="0" xfId="0" applyFont="1" applyFill="1"/>
    <xf numFmtId="0" fontId="21" fillId="8" borderId="0" xfId="0" applyFont="1" applyFill="1"/>
    <xf numFmtId="10" fontId="4" fillId="8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/>
    </xf>
    <xf numFmtId="0" fontId="23" fillId="0" borderId="0" xfId="0" applyFont="1"/>
    <xf numFmtId="3" fontId="24" fillId="0" borderId="0" xfId="0" applyNumberFormat="1" applyFont="1"/>
    <xf numFmtId="0" fontId="2" fillId="3" borderId="6" xfId="0" applyFont="1" applyFill="1" applyBorder="1"/>
    <xf numFmtId="0" fontId="6" fillId="0" borderId="6" xfId="0" applyFont="1" applyBorder="1"/>
    <xf numFmtId="165" fontId="6" fillId="3" borderId="5" xfId="0" applyNumberFormat="1" applyFont="1" applyFill="1" applyBorder="1"/>
    <xf numFmtId="165" fontId="10" fillId="3" borderId="5" xfId="0" applyNumberFormat="1" applyFont="1" applyFill="1" applyBorder="1"/>
    <xf numFmtId="0" fontId="2" fillId="11" borderId="1" xfId="0" applyFont="1" applyFill="1" applyBorder="1"/>
    <xf numFmtId="165" fontId="6" fillId="11" borderId="1" xfId="0" applyNumberFormat="1" applyFont="1" applyFill="1" applyBorder="1" applyAlignment="1">
      <alignment horizontal="center"/>
    </xf>
    <xf numFmtId="0" fontId="25" fillId="0" borderId="0" xfId="0" applyFont="1"/>
    <xf numFmtId="2" fontId="2" fillId="8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2" fillId="8" borderId="15" xfId="0" applyNumberFormat="1" applyFont="1" applyFill="1" applyBorder="1" applyAlignment="1">
      <alignment horizontal="center" vertical="center"/>
    </xf>
    <xf numFmtId="2" fontId="4" fillId="8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3" fontId="27" fillId="0" borderId="0" xfId="0" applyNumberFormat="1" applyFont="1"/>
    <xf numFmtId="0" fontId="28" fillId="2" borderId="0" xfId="0" applyFont="1" applyFill="1"/>
    <xf numFmtId="0" fontId="29" fillId="2" borderId="0" xfId="0" applyFont="1" applyFill="1"/>
    <xf numFmtId="0" fontId="27" fillId="3" borderId="0" xfId="0" applyFont="1" applyFill="1" applyAlignment="1">
      <alignment horizontal="left"/>
    </xf>
    <xf numFmtId="3" fontId="30" fillId="0" borderId="0" xfId="0" applyNumberFormat="1" applyFont="1"/>
    <xf numFmtId="3" fontId="31" fillId="0" borderId="0" xfId="0" applyNumberFormat="1" applyFont="1"/>
    <xf numFmtId="3" fontId="26" fillId="0" borderId="0" xfId="0" applyNumberFormat="1" applyFont="1"/>
    <xf numFmtId="0" fontId="2" fillId="7" borderId="0" xfId="0" applyFont="1" applyFill="1" applyAlignment="1">
      <alignment horizontal="left"/>
    </xf>
    <xf numFmtId="0" fontId="2" fillId="7" borderId="0" xfId="0" applyFont="1" applyFill="1"/>
    <xf numFmtId="3" fontId="1" fillId="7" borderId="1" xfId="0" applyNumberFormat="1" applyFont="1" applyFill="1" applyBorder="1"/>
    <xf numFmtId="3" fontId="6" fillId="7" borderId="1" xfId="0" applyNumberFormat="1" applyFont="1" applyFill="1" applyBorder="1"/>
    <xf numFmtId="3" fontId="9" fillId="7" borderId="1" xfId="0" applyNumberFormat="1" applyFont="1" applyFill="1" applyBorder="1"/>
    <xf numFmtId="0" fontId="0" fillId="7" borderId="0" xfId="0" applyFill="1"/>
    <xf numFmtId="10" fontId="0" fillId="7" borderId="0" xfId="0" applyNumberFormat="1" applyFill="1"/>
    <xf numFmtId="0" fontId="2" fillId="7" borderId="1" xfId="0" applyFont="1" applyFill="1" applyBorder="1"/>
    <xf numFmtId="0" fontId="6" fillId="7" borderId="1" xfId="0" applyFont="1" applyFill="1" applyBorder="1"/>
    <xf numFmtId="165" fontId="6" fillId="7" borderId="1" xfId="0" applyNumberFormat="1" applyFont="1" applyFill="1" applyBorder="1"/>
    <xf numFmtId="165" fontId="9" fillId="7" borderId="1" xfId="0" applyNumberFormat="1" applyFont="1" applyFill="1" applyBorder="1"/>
    <xf numFmtId="0" fontId="4" fillId="12" borderId="1" xfId="0" applyFont="1" applyFill="1" applyBorder="1"/>
    <xf numFmtId="0" fontId="6" fillId="12" borderId="1" xfId="0" applyFont="1" applyFill="1" applyBorder="1"/>
    <xf numFmtId="0" fontId="0" fillId="12" borderId="0" xfId="0" applyFill="1"/>
    <xf numFmtId="165" fontId="6" fillId="12" borderId="0" xfId="0" applyNumberFormat="1" applyFont="1" applyFill="1"/>
    <xf numFmtId="165" fontId="9" fillId="12" borderId="1" xfId="0" applyNumberFormat="1" applyFont="1" applyFill="1" applyBorder="1"/>
    <xf numFmtId="0" fontId="4" fillId="12" borderId="0" xfId="0" applyFont="1" applyFill="1"/>
    <xf numFmtId="10" fontId="6" fillId="12" borderId="0" xfId="0" applyNumberFormat="1" applyFont="1" applyFill="1" applyAlignment="1">
      <alignment horizontal="right"/>
    </xf>
    <xf numFmtId="10" fontId="9" fillId="12" borderId="1" xfId="0" applyNumberFormat="1" applyFont="1" applyFill="1" applyBorder="1" applyAlignment="1">
      <alignment horizontal="right"/>
    </xf>
    <xf numFmtId="0" fontId="2" fillId="12" borderId="0" xfId="0" applyFont="1" applyFill="1" applyAlignment="1">
      <alignment horizontal="left"/>
    </xf>
    <xf numFmtId="0" fontId="2" fillId="12" borderId="0" xfId="0" applyFont="1" applyFill="1"/>
    <xf numFmtId="3" fontId="6" fillId="12" borderId="0" xfId="0" applyNumberFormat="1" applyFont="1" applyFill="1"/>
    <xf numFmtId="3" fontId="9" fillId="12" borderId="1" xfId="0" applyNumberFormat="1" applyFont="1" applyFill="1" applyBorder="1"/>
    <xf numFmtId="3" fontId="22" fillId="0" borderId="0" xfId="0" applyNumberFormat="1" applyFont="1"/>
    <xf numFmtId="10" fontId="22" fillId="0" borderId="0" xfId="0" applyNumberFormat="1" applyFont="1"/>
    <xf numFmtId="165" fontId="4" fillId="8" borderId="0" xfId="0" applyNumberFormat="1" applyFont="1" applyFill="1" applyAlignment="1">
      <alignment horizontal="center" vertical="center"/>
    </xf>
    <xf numFmtId="165" fontId="32" fillId="0" borderId="1" xfId="0" applyNumberFormat="1" applyFont="1" applyBorder="1" applyAlignment="1">
      <alignment horizontal="center"/>
    </xf>
    <xf numFmtId="3" fontId="33" fillId="0" borderId="0" xfId="0" applyNumberFormat="1" applyFont="1"/>
    <xf numFmtId="3" fontId="33" fillId="0" borderId="1" xfId="0" applyNumberFormat="1" applyFont="1" applyBorder="1"/>
    <xf numFmtId="0" fontId="33" fillId="0" borderId="0" xfId="0" applyFont="1"/>
    <xf numFmtId="3" fontId="33" fillId="0" borderId="7" xfId="0" applyNumberFormat="1" applyFont="1" applyBorder="1"/>
    <xf numFmtId="3" fontId="34" fillId="0" borderId="0" xfId="0" applyNumberFormat="1" applyFont="1"/>
    <xf numFmtId="3" fontId="35" fillId="0" borderId="0" xfId="0" applyNumberFormat="1" applyFont="1"/>
    <xf numFmtId="3" fontId="33" fillId="7" borderId="1" xfId="0" applyNumberFormat="1" applyFont="1" applyFill="1" applyBorder="1"/>
    <xf numFmtId="3" fontId="33" fillId="0" borderId="2" xfId="0" applyNumberFormat="1" applyFont="1" applyBorder="1"/>
    <xf numFmtId="0" fontId="33" fillId="0" borderId="5" xfId="0" applyFont="1" applyBorder="1"/>
    <xf numFmtId="3" fontId="33" fillId="12" borderId="1" xfId="0" applyNumberFormat="1" applyFont="1" applyFill="1" applyBorder="1"/>
    <xf numFmtId="4" fontId="33" fillId="0" borderId="0" xfId="0" applyNumberFormat="1" applyFont="1"/>
    <xf numFmtId="2" fontId="33" fillId="0" borderId="0" xfId="0" applyNumberFormat="1" applyFont="1"/>
    <xf numFmtId="1" fontId="33" fillId="0" borderId="0" xfId="0" applyNumberFormat="1" applyFont="1"/>
    <xf numFmtId="3" fontId="33" fillId="0" borderId="5" xfId="0" applyNumberFormat="1" applyFont="1" applyBorder="1"/>
    <xf numFmtId="3" fontId="33" fillId="0" borderId="0" xfId="0" applyNumberFormat="1" applyFont="1" applyAlignment="1">
      <alignment horizontal="right"/>
    </xf>
    <xf numFmtId="3" fontId="33" fillId="0" borderId="1" xfId="0" applyNumberFormat="1" applyFont="1" applyBorder="1" applyAlignment="1">
      <alignment horizontal="right"/>
    </xf>
    <xf numFmtId="165" fontId="35" fillId="0" borderId="0" xfId="0" applyNumberFormat="1" applyFont="1" applyAlignment="1">
      <alignment horizontal="center"/>
    </xf>
    <xf numFmtId="1" fontId="33" fillId="0" borderId="5" xfId="0" applyNumberFormat="1" applyFont="1" applyBorder="1"/>
    <xf numFmtId="3" fontId="2" fillId="7" borderId="1" xfId="0" applyNumberFormat="1" applyFont="1" applyFill="1" applyBorder="1"/>
    <xf numFmtId="165" fontId="38" fillId="0" borderId="1" xfId="0" applyNumberFormat="1" applyFont="1" applyBorder="1" applyAlignment="1">
      <alignment horizontal="center"/>
    </xf>
    <xf numFmtId="3" fontId="2" fillId="7" borderId="0" xfId="0" applyNumberFormat="1" applyFont="1" applyFill="1"/>
    <xf numFmtId="165" fontId="33" fillId="0" borderId="0" xfId="0" applyNumberFormat="1" applyFont="1"/>
    <xf numFmtId="165" fontId="24" fillId="0" borderId="0" xfId="0" applyNumberFormat="1" applyFont="1"/>
    <xf numFmtId="165" fontId="33" fillId="7" borderId="1" xfId="0" applyNumberFormat="1" applyFont="1" applyFill="1" applyBorder="1"/>
    <xf numFmtId="165" fontId="24" fillId="7" borderId="1" xfId="0" applyNumberFormat="1" applyFont="1" applyFill="1" applyBorder="1"/>
    <xf numFmtId="165" fontId="33" fillId="0" borderId="2" xfId="0" applyNumberFormat="1" applyFont="1" applyBorder="1"/>
    <xf numFmtId="165" fontId="24" fillId="0" borderId="2" xfId="0" applyNumberFormat="1" applyFont="1" applyBorder="1"/>
    <xf numFmtId="165" fontId="33" fillId="0" borderId="1" xfId="0" applyNumberFormat="1" applyFont="1" applyBorder="1"/>
    <xf numFmtId="165" fontId="24" fillId="0" borderId="1" xfId="0" applyNumberFormat="1" applyFont="1" applyBorder="1"/>
    <xf numFmtId="165" fontId="33" fillId="0" borderId="5" xfId="0" applyNumberFormat="1" applyFont="1" applyBorder="1"/>
    <xf numFmtId="165" fontId="24" fillId="0" borderId="5" xfId="0" applyNumberFormat="1" applyFont="1" applyBorder="1"/>
    <xf numFmtId="165" fontId="24" fillId="3" borderId="5" xfId="0" applyNumberFormat="1" applyFont="1" applyFill="1" applyBorder="1"/>
    <xf numFmtId="165" fontId="24" fillId="3" borderId="0" xfId="0" applyNumberFormat="1" applyFont="1" applyFill="1"/>
    <xf numFmtId="165" fontId="33" fillId="12" borderId="1" xfId="0" applyNumberFormat="1" applyFont="1" applyFill="1" applyBorder="1"/>
    <xf numFmtId="165" fontId="24" fillId="12" borderId="0" xfId="0" applyNumberFormat="1" applyFont="1" applyFill="1"/>
    <xf numFmtId="3" fontId="39" fillId="8" borderId="0" xfId="0" applyNumberFormat="1" applyFont="1" applyFill="1" applyAlignment="1">
      <alignment horizontal="center" vertical="center"/>
    </xf>
    <xf numFmtId="3" fontId="40" fillId="8" borderId="0" xfId="0" applyNumberFormat="1" applyFont="1" applyFill="1" applyAlignment="1">
      <alignment horizontal="center" vertical="center"/>
    </xf>
    <xf numFmtId="0" fontId="39" fillId="8" borderId="0" xfId="0" applyFont="1" applyFill="1" applyAlignment="1">
      <alignment horizontal="center" vertical="center"/>
    </xf>
    <xf numFmtId="3" fontId="39" fillId="8" borderId="15" xfId="0" applyNumberFormat="1" applyFont="1" applyFill="1" applyBorder="1" applyAlignment="1">
      <alignment horizontal="center" vertical="center"/>
    </xf>
    <xf numFmtId="2" fontId="40" fillId="8" borderId="0" xfId="0" applyNumberFormat="1" applyFont="1" applyFill="1" applyAlignment="1">
      <alignment horizontal="center" vertical="center"/>
    </xf>
    <xf numFmtId="0" fontId="40" fillId="8" borderId="16" xfId="0" applyFont="1" applyFill="1" applyBorder="1" applyAlignment="1">
      <alignment horizontal="center" vertical="center"/>
    </xf>
    <xf numFmtId="0" fontId="39" fillId="8" borderId="16" xfId="0" applyFont="1" applyFill="1" applyBorder="1" applyAlignment="1">
      <alignment horizontal="center" vertical="center"/>
    </xf>
    <xf numFmtId="0" fontId="40" fillId="8" borderId="0" xfId="0" applyFont="1" applyFill="1" applyAlignment="1">
      <alignment horizontal="center" vertical="center"/>
    </xf>
    <xf numFmtId="3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3" fontId="40" fillId="8" borderId="15" xfId="0" applyNumberFormat="1" applyFont="1" applyFill="1" applyBorder="1" applyAlignment="1">
      <alignment horizontal="center" vertical="center"/>
    </xf>
    <xf numFmtId="0" fontId="40" fillId="8" borderId="15" xfId="0" applyFont="1" applyFill="1" applyBorder="1" applyAlignment="1">
      <alignment horizontal="center" vertical="center"/>
    </xf>
    <xf numFmtId="0" fontId="40" fillId="8" borderId="16" xfId="0" applyFont="1" applyFill="1" applyBorder="1"/>
    <xf numFmtId="0" fontId="39" fillId="8" borderId="16" xfId="0" applyFont="1" applyFill="1" applyBorder="1"/>
    <xf numFmtId="2" fontId="39" fillId="8" borderId="0" xfId="0" applyNumberFormat="1" applyFont="1" applyFill="1" applyAlignment="1">
      <alignment horizontal="center" vertical="center"/>
    </xf>
    <xf numFmtId="0" fontId="39" fillId="8" borderId="15" xfId="0" applyFont="1" applyFill="1" applyBorder="1" applyAlignment="1">
      <alignment horizontal="center" vertical="center"/>
    </xf>
    <xf numFmtId="165" fontId="39" fillId="8" borderId="0" xfId="0" applyNumberFormat="1" applyFont="1" applyFill="1" applyAlignment="1">
      <alignment horizontal="center" vertical="center"/>
    </xf>
    <xf numFmtId="10" fontId="39" fillId="8" borderId="0" xfId="0" applyNumberFormat="1" applyFont="1" applyFill="1" applyAlignment="1">
      <alignment horizontal="center" vertical="center"/>
    </xf>
    <xf numFmtId="0" fontId="39" fillId="8" borderId="0" xfId="0" applyFont="1" applyFill="1" applyAlignment="1">
      <alignment horizontal="center"/>
    </xf>
    <xf numFmtId="3" fontId="24" fillId="7" borderId="1" xfId="0" applyNumberFormat="1" applyFont="1" applyFill="1" applyBorder="1"/>
    <xf numFmtId="3" fontId="24" fillId="0" borderId="2" xfId="0" applyNumberFormat="1" applyFont="1" applyBorder="1"/>
    <xf numFmtId="3" fontId="24" fillId="0" borderId="1" xfId="0" applyNumberFormat="1" applyFont="1" applyBorder="1"/>
    <xf numFmtId="0" fontId="24" fillId="0" borderId="5" xfId="0" applyFont="1" applyBorder="1"/>
    <xf numFmtId="3" fontId="24" fillId="0" borderId="5" xfId="0" applyNumberFormat="1" applyFont="1" applyBorder="1"/>
    <xf numFmtId="3" fontId="24" fillId="12" borderId="0" xfId="0" applyNumberFormat="1" applyFont="1" applyFill="1"/>
    <xf numFmtId="4" fontId="24" fillId="0" borderId="0" xfId="0" applyNumberFormat="1" applyFont="1"/>
    <xf numFmtId="2" fontId="24" fillId="0" borderId="0" xfId="0" applyNumberFormat="1" applyFont="1"/>
    <xf numFmtId="0" fontId="24" fillId="0" borderId="0" xfId="0" applyFont="1"/>
    <xf numFmtId="3" fontId="24" fillId="0" borderId="7" xfId="0" applyNumberFormat="1" applyFont="1" applyBorder="1"/>
    <xf numFmtId="3" fontId="24" fillId="0" borderId="0" xfId="0" applyNumberFormat="1" applyFont="1" applyAlignment="1">
      <alignment horizontal="right"/>
    </xf>
    <xf numFmtId="3" fontId="24" fillId="0" borderId="1" xfId="0" applyNumberFormat="1" applyFont="1" applyBorder="1" applyAlignment="1">
      <alignment horizontal="right"/>
    </xf>
    <xf numFmtId="0" fontId="42" fillId="0" borderId="0" xfId="0" applyFont="1"/>
    <xf numFmtId="0" fontId="24" fillId="2" borderId="0" xfId="0" applyFont="1" applyFill="1"/>
    <xf numFmtId="0" fontId="33" fillId="2" borderId="0" xfId="0" applyFont="1" applyFill="1"/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43" fillId="0" borderId="0" xfId="0" applyFont="1"/>
    <xf numFmtId="0" fontId="43" fillId="10" borderId="0" xfId="0" applyFont="1" applyFill="1"/>
    <xf numFmtId="2" fontId="43" fillId="0" borderId="0" xfId="0" applyNumberFormat="1" applyFont="1"/>
    <xf numFmtId="10" fontId="43" fillId="0" borderId="0" xfId="0" applyNumberFormat="1" applyFont="1"/>
    <xf numFmtId="2" fontId="43" fillId="5" borderId="0" xfId="0" applyNumberFormat="1" applyFont="1" applyFill="1"/>
    <xf numFmtId="166" fontId="43" fillId="0" borderId="0" xfId="0" applyNumberFormat="1" applyFont="1"/>
    <xf numFmtId="0" fontId="43" fillId="9" borderId="0" xfId="0" applyFont="1" applyFill="1"/>
    <xf numFmtId="3" fontId="43" fillId="9" borderId="0" xfId="0" applyNumberFormat="1" applyFont="1" applyFill="1"/>
    <xf numFmtId="0" fontId="43" fillId="0" borderId="0" xfId="0" applyFont="1" applyAlignment="1">
      <alignment horizontal="center"/>
    </xf>
    <xf numFmtId="9" fontId="43" fillId="0" borderId="0" xfId="0" applyNumberFormat="1" applyFont="1"/>
    <xf numFmtId="10" fontId="43" fillId="0" borderId="0" xfId="0" applyNumberFormat="1" applyFont="1" applyAlignment="1">
      <alignment horizontal="center"/>
    </xf>
    <xf numFmtId="3" fontId="43" fillId="0" borderId="0" xfId="0" applyNumberFormat="1" applyFont="1" applyAlignment="1">
      <alignment horizontal="center"/>
    </xf>
    <xf numFmtId="1" fontId="43" fillId="0" borderId="0" xfId="0" applyNumberFormat="1" applyFont="1" applyAlignment="1">
      <alignment horizontal="center"/>
    </xf>
    <xf numFmtId="0" fontId="43" fillId="9" borderId="0" xfId="0" applyFont="1" applyFill="1" applyAlignment="1">
      <alignment horizontal="left" indent="1"/>
    </xf>
    <xf numFmtId="0" fontId="43" fillId="0" borderId="0" xfId="0" applyFont="1" applyAlignment="1">
      <alignment horizontal="left" indent="1"/>
    </xf>
    <xf numFmtId="3" fontId="43" fillId="0" borderId="0" xfId="0" applyNumberFormat="1" applyFont="1"/>
    <xf numFmtId="0" fontId="43" fillId="0" borderId="5" xfId="0" applyFont="1" applyBorder="1" applyAlignment="1">
      <alignment horizontal="left" indent="1"/>
    </xf>
    <xf numFmtId="3" fontId="43" fillId="0" borderId="5" xfId="0" applyNumberFormat="1" applyFont="1" applyBorder="1"/>
    <xf numFmtId="3" fontId="43" fillId="9" borderId="5" xfId="0" applyNumberFormat="1" applyFont="1" applyFill="1" applyBorder="1"/>
    <xf numFmtId="10" fontId="43" fillId="0" borderId="5" xfId="0" applyNumberFormat="1" applyFont="1" applyBorder="1"/>
    <xf numFmtId="3" fontId="37" fillId="0" borderId="0" xfId="0" applyNumberFormat="1" applyFont="1" applyAlignment="1">
      <alignment horizontal="center"/>
    </xf>
    <xf numFmtId="0" fontId="4" fillId="3" borderId="9" xfId="0" applyFont="1" applyFill="1" applyBorder="1"/>
    <xf numFmtId="0" fontId="4" fillId="3" borderId="0" xfId="0" applyFont="1" applyFill="1"/>
    <xf numFmtId="0" fontId="44" fillId="3" borderId="0" xfId="0" applyFont="1" applyFill="1"/>
    <xf numFmtId="15" fontId="45" fillId="3" borderId="0" xfId="0" applyNumberFormat="1" applyFont="1" applyFill="1" applyAlignment="1">
      <alignment wrapText="1"/>
    </xf>
    <xf numFmtId="15" fontId="6" fillId="3" borderId="0" xfId="0" applyNumberFormat="1" applyFont="1" applyFill="1" applyAlignment="1">
      <alignment horizontal="left" wrapText="1"/>
    </xf>
    <xf numFmtId="0" fontId="46" fillId="3" borderId="0" xfId="0" applyFont="1" applyFill="1"/>
    <xf numFmtId="0" fontId="4" fillId="3" borderId="7" xfId="0" applyFont="1" applyFill="1" applyBorder="1"/>
    <xf numFmtId="0" fontId="43" fillId="0" borderId="0" xfId="0" applyFont="1" applyAlignment="1">
      <alignment vertical="top" wrapText="1"/>
    </xf>
    <xf numFmtId="0" fontId="4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29B1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3105150</xdr:colOff>
      <xdr:row>10</xdr:row>
      <xdr:rowOff>85725</xdr:rowOff>
    </xdr:from>
    <xdr:to>
      <xdr:col>3</xdr:col>
      <xdr:colOff>352425</xdr:colOff>
      <xdr:row>13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C9A851-6BF6-5E34-BD63-4B1375EFA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2209800"/>
          <a:ext cx="1990725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FFB9D0-FB0B-4340-AEA3-CFB12E93D359}">
  <we:reference id="WA200002663" version="1.8.0.0" store="en-US" storeType="omex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PBF</we:customFunctionIds>
        <we:customFunctionIds>PBM</we:customFunctionIds>
        <we:customFunctionIds>PBD</we:customFunctionIds>
        <we:customFunctionIds>PBA</we:customFunctionIds>
        <we:customFunctionIds>PBS</we:customFunctionIds>
        <we:customFunctionIds>PBEQR</we:customFunctionIds>
        <we:customFunctionIds>PBIMAGE</we:customFunctionIds>
        <we:customFunctionIds>PBFS</we:customFunctionIds>
        <we:customFunctionIds>PBMATCHPBID</we:customFunctionIds>
        <we:customFunctionIds>PBMATCHSYMBOL</we:customFunctionIds>
        <we:customFunctionIds>PBR</we:customFunctionIds>
        <we:customFunctionIds>PBCHARTMARKET</we:customFunctionIds>
      </we:customFunctionIdList>
    </a:ext>
    <a:ext xmlns:a="http://schemas.openxmlformats.org/drawingml/2006/main" uri="{0858819E-0033-43BF-8937-05EC82904868}">
      <we:backgroundApp state="0" runtimeId="SharedAddin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BC0F-F997-4EEE-8AE4-4A2A003E91AC}">
  <dimension ref="B2:D55"/>
  <sheetViews>
    <sheetView showGridLines="0" tabSelected="1" workbookViewId="0">
      <selection activeCell="I12" sqref="I12"/>
    </sheetView>
  </sheetViews>
  <sheetFormatPr defaultRowHeight="16.5" x14ac:dyDescent="0.3"/>
  <cols>
    <col min="1" max="1" width="3.140625" customWidth="1"/>
    <col min="2" max="2" width="5.28515625" customWidth="1"/>
    <col min="3" max="3" width="71.140625" style="261" customWidth="1"/>
  </cols>
  <sheetData>
    <row r="2" spans="2:4" x14ac:dyDescent="0.3">
      <c r="B2" s="86" t="s">
        <v>0</v>
      </c>
      <c r="C2" s="282" t="s">
        <v>0</v>
      </c>
      <c r="D2" s="87" t="s">
        <v>0</v>
      </c>
    </row>
    <row r="3" spans="2:4" x14ac:dyDescent="0.3">
      <c r="B3" s="88" t="s">
        <v>0</v>
      </c>
      <c r="C3" s="283" t="s">
        <v>0</v>
      </c>
      <c r="D3" s="89" t="s">
        <v>0</v>
      </c>
    </row>
    <row r="4" spans="2:4" ht="31.5" x14ac:dyDescent="0.5">
      <c r="B4" s="90"/>
      <c r="C4" s="284" t="s">
        <v>1</v>
      </c>
      <c r="D4" s="89"/>
    </row>
    <row r="5" spans="2:4" x14ac:dyDescent="0.3">
      <c r="B5" s="91"/>
      <c r="C5" s="285"/>
      <c r="D5" s="89"/>
    </row>
    <row r="6" spans="2:4" x14ac:dyDescent="0.3">
      <c r="B6" s="91"/>
      <c r="C6" s="286">
        <f ca="1">TODAY()</f>
        <v>45641</v>
      </c>
      <c r="D6" s="89"/>
    </row>
    <row r="7" spans="2:4" ht="15.75" x14ac:dyDescent="0.25">
      <c r="B7" s="92"/>
      <c r="C7" s="287" t="s">
        <v>2</v>
      </c>
      <c r="D7" s="89"/>
    </row>
    <row r="8" spans="2:4" x14ac:dyDescent="0.3">
      <c r="B8" s="93"/>
      <c r="C8" s="9" t="s">
        <v>3</v>
      </c>
      <c r="D8" s="89"/>
    </row>
    <row r="9" spans="2:4" x14ac:dyDescent="0.3">
      <c r="B9" s="93"/>
      <c r="C9" s="9"/>
      <c r="D9" s="89"/>
    </row>
    <row r="10" spans="2:4" x14ac:dyDescent="0.3">
      <c r="B10" s="93"/>
      <c r="C10" s="9" t="s">
        <v>4</v>
      </c>
      <c r="D10" s="89"/>
    </row>
    <row r="11" spans="2:4" x14ac:dyDescent="0.3">
      <c r="B11" s="93"/>
      <c r="C11" s="9" t="s">
        <v>5</v>
      </c>
      <c r="D11" s="89"/>
    </row>
    <row r="12" spans="2:4" x14ac:dyDescent="0.3">
      <c r="B12" s="93"/>
      <c r="C12" s="9" t="s">
        <v>6</v>
      </c>
      <c r="D12" s="89"/>
    </row>
    <row r="13" spans="2:4" x14ac:dyDescent="0.3">
      <c r="B13" s="93"/>
      <c r="C13" s="9" t="s">
        <v>7</v>
      </c>
      <c r="D13" s="89"/>
    </row>
    <row r="14" spans="2:4" x14ac:dyDescent="0.3">
      <c r="B14" s="93"/>
      <c r="C14" s="9" t="s">
        <v>8</v>
      </c>
      <c r="D14" s="89"/>
    </row>
    <row r="15" spans="2:4" x14ac:dyDescent="0.3">
      <c r="B15" s="88"/>
      <c r="C15" s="9" t="s">
        <v>9</v>
      </c>
      <c r="D15" s="89"/>
    </row>
    <row r="16" spans="2:4" x14ac:dyDescent="0.3">
      <c r="B16" s="94"/>
      <c r="C16" s="288"/>
      <c r="D16" s="95"/>
    </row>
    <row r="19" spans="3:3" x14ac:dyDescent="0.25">
      <c r="C19" s="289"/>
    </row>
    <row r="20" spans="3:3" x14ac:dyDescent="0.25">
      <c r="C20" s="290"/>
    </row>
    <row r="21" spans="3:3" x14ac:dyDescent="0.25">
      <c r="C21" s="290"/>
    </row>
    <row r="22" spans="3:3" x14ac:dyDescent="0.25">
      <c r="C22" s="290"/>
    </row>
    <row r="23" spans="3:3" x14ac:dyDescent="0.25">
      <c r="C23" s="290"/>
    </row>
    <row r="24" spans="3:3" x14ac:dyDescent="0.25">
      <c r="C24" s="290"/>
    </row>
    <row r="25" spans="3:3" x14ac:dyDescent="0.25">
      <c r="C25" s="290"/>
    </row>
    <row r="26" spans="3:3" x14ac:dyDescent="0.25">
      <c r="C26" s="290"/>
    </row>
    <row r="27" spans="3:3" x14ac:dyDescent="0.25">
      <c r="C27" s="290"/>
    </row>
    <row r="28" spans="3:3" x14ac:dyDescent="0.25">
      <c r="C28" s="290"/>
    </row>
    <row r="29" spans="3:3" x14ac:dyDescent="0.25">
      <c r="C29" s="290"/>
    </row>
    <row r="30" spans="3:3" x14ac:dyDescent="0.25">
      <c r="C30" s="290"/>
    </row>
    <row r="31" spans="3:3" x14ac:dyDescent="0.25">
      <c r="C31" s="290"/>
    </row>
    <row r="32" spans="3:3" x14ac:dyDescent="0.25">
      <c r="C32" s="290"/>
    </row>
    <row r="33" spans="3:3" x14ac:dyDescent="0.25">
      <c r="C33" s="290"/>
    </row>
    <row r="34" spans="3:3" x14ac:dyDescent="0.25">
      <c r="C34" s="290"/>
    </row>
    <row r="35" spans="3:3" x14ac:dyDescent="0.25">
      <c r="C35" s="290"/>
    </row>
    <row r="36" spans="3:3" x14ac:dyDescent="0.25">
      <c r="C36" s="290"/>
    </row>
    <row r="37" spans="3:3" x14ac:dyDescent="0.25">
      <c r="C37" s="290"/>
    </row>
    <row r="38" spans="3:3" x14ac:dyDescent="0.25">
      <c r="C38" s="290"/>
    </row>
    <row r="39" spans="3:3" x14ac:dyDescent="0.25">
      <c r="C39" s="290"/>
    </row>
    <row r="40" spans="3:3" x14ac:dyDescent="0.25">
      <c r="C40" s="290"/>
    </row>
    <row r="41" spans="3:3" x14ac:dyDescent="0.25">
      <c r="C41" s="290"/>
    </row>
    <row r="42" spans="3:3" x14ac:dyDescent="0.25">
      <c r="C42" s="290"/>
    </row>
    <row r="43" spans="3:3" x14ac:dyDescent="0.25">
      <c r="C43" s="290"/>
    </row>
    <row r="44" spans="3:3" x14ac:dyDescent="0.25">
      <c r="C44" s="290"/>
    </row>
    <row r="45" spans="3:3" x14ac:dyDescent="0.25">
      <c r="C45" s="290"/>
    </row>
    <row r="46" spans="3:3" x14ac:dyDescent="0.25">
      <c r="C46" s="290"/>
    </row>
    <row r="47" spans="3:3" x14ac:dyDescent="0.25">
      <c r="C47" s="290"/>
    </row>
    <row r="48" spans="3:3" x14ac:dyDescent="0.25">
      <c r="C48" s="290"/>
    </row>
    <row r="49" spans="3:3" x14ac:dyDescent="0.25">
      <c r="C49" s="290"/>
    </row>
    <row r="50" spans="3:3" x14ac:dyDescent="0.25">
      <c r="C50" s="290"/>
    </row>
    <row r="51" spans="3:3" x14ac:dyDescent="0.25">
      <c r="C51" s="290"/>
    </row>
    <row r="52" spans="3:3" x14ac:dyDescent="0.25">
      <c r="C52" s="290"/>
    </row>
    <row r="53" spans="3:3" x14ac:dyDescent="0.25">
      <c r="C53" s="290"/>
    </row>
    <row r="54" spans="3:3" x14ac:dyDescent="0.25">
      <c r="C54" s="290"/>
    </row>
    <row r="55" spans="3:3" x14ac:dyDescent="0.25">
      <c r="C55" s="29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C524-2468-42F4-BB97-531A4648E0CB}">
  <dimension ref="A1:K37"/>
  <sheetViews>
    <sheetView showGridLines="0" workbookViewId="0">
      <selection activeCell="F8" sqref="F8"/>
    </sheetView>
  </sheetViews>
  <sheetFormatPr defaultRowHeight="15" x14ac:dyDescent="0.25"/>
  <cols>
    <col min="1" max="1" width="6.140625" customWidth="1"/>
    <col min="2" max="2" width="25.28515625" customWidth="1"/>
    <col min="3" max="3" width="1.85546875" customWidth="1"/>
    <col min="4" max="11" width="9.140625" style="123"/>
  </cols>
  <sheetData>
    <row r="1" spans="1:11" x14ac:dyDescent="0.25">
      <c r="B1" s="122" t="s">
        <v>10</v>
      </c>
    </row>
    <row r="2" spans="1:11" x14ac:dyDescent="0.25">
      <c r="B2" s="122"/>
    </row>
    <row r="3" spans="1:11" ht="16.5" x14ac:dyDescent="0.3">
      <c r="B3" s="134" t="s">
        <v>0</v>
      </c>
      <c r="C3" s="134" t="s">
        <v>0</v>
      </c>
      <c r="D3" s="134" t="s">
        <v>0</v>
      </c>
      <c r="E3" s="134" t="s">
        <v>0</v>
      </c>
      <c r="F3" s="134" t="s">
        <v>0</v>
      </c>
      <c r="G3" s="236" t="s">
        <v>11</v>
      </c>
      <c r="H3" s="237" t="s">
        <v>0</v>
      </c>
      <c r="I3" s="236" t="s">
        <v>0</v>
      </c>
      <c r="J3" s="236" t="s">
        <v>0</v>
      </c>
      <c r="K3" s="236" t="s">
        <v>0</v>
      </c>
    </row>
    <row r="4" spans="1:11" ht="16.5" x14ac:dyDescent="0.3">
      <c r="B4" s="136" t="s">
        <v>12</v>
      </c>
      <c r="C4" s="137"/>
      <c r="D4" s="133">
        <v>2021</v>
      </c>
      <c r="E4" s="133">
        <v>2022</v>
      </c>
      <c r="F4" s="133">
        <v>2023</v>
      </c>
      <c r="G4" s="231" t="s">
        <v>13</v>
      </c>
      <c r="H4" s="231" t="s">
        <v>14</v>
      </c>
      <c r="I4" s="231" t="s">
        <v>15</v>
      </c>
      <c r="J4" s="231" t="s">
        <v>16</v>
      </c>
      <c r="K4" s="231" t="s">
        <v>17</v>
      </c>
    </row>
    <row r="5" spans="1:11" ht="16.5" x14ac:dyDescent="0.3">
      <c r="B5" s="108" t="s">
        <v>0</v>
      </c>
      <c r="C5" s="108"/>
      <c r="D5" s="124" t="s">
        <v>0</v>
      </c>
      <c r="E5" s="124" t="s">
        <v>0</v>
      </c>
      <c r="F5" s="124" t="s">
        <v>0</v>
      </c>
      <c r="G5" s="226" t="s">
        <v>0</v>
      </c>
      <c r="H5" s="226" t="s">
        <v>0</v>
      </c>
      <c r="I5" s="226" t="s">
        <v>0</v>
      </c>
      <c r="J5" s="226" t="s">
        <v>0</v>
      </c>
      <c r="K5" s="226" t="s">
        <v>0</v>
      </c>
    </row>
    <row r="6" spans="1:11" ht="16.5" x14ac:dyDescent="0.3">
      <c r="B6" s="108" t="s">
        <v>18</v>
      </c>
      <c r="C6" s="108"/>
      <c r="D6" s="127">
        <f>Model!C6</f>
        <v>469822</v>
      </c>
      <c r="E6" s="127">
        <f>Model!D6</f>
        <v>513983</v>
      </c>
      <c r="F6" s="127">
        <f>Model!E6</f>
        <v>574785</v>
      </c>
      <c r="G6" s="224">
        <f>Model!F6</f>
        <v>638043.36872679216</v>
      </c>
      <c r="H6" s="224">
        <f>Model!G6</f>
        <v>701356.64277872129</v>
      </c>
      <c r="I6" s="224">
        <f>Model!H6</f>
        <v>766881.77609459031</v>
      </c>
      <c r="J6" s="224">
        <f>Model!I6</f>
        <v>839695.29613399704</v>
      </c>
      <c r="K6" s="224">
        <f>Model!J6</f>
        <v>920707.79522990016</v>
      </c>
    </row>
    <row r="7" spans="1:11" ht="16.5" x14ac:dyDescent="0.3">
      <c r="A7" t="s">
        <v>19</v>
      </c>
      <c r="B7" s="108" t="s">
        <v>20</v>
      </c>
      <c r="C7" s="108"/>
      <c r="D7" s="127">
        <f>Model!C8</f>
        <v>197478</v>
      </c>
      <c r="E7" s="127">
        <f>Model!D8</f>
        <v>225152</v>
      </c>
      <c r="F7" s="127">
        <f>Model!E8</f>
        <v>270046</v>
      </c>
      <c r="G7" s="224">
        <f>Model!F8</f>
        <v>311073.89330159238</v>
      </c>
      <c r="H7" s="224">
        <f>Model!G8</f>
        <v>336651.18853378616</v>
      </c>
      <c r="I7" s="224">
        <f>Model!H8</f>
        <v>375772.07028634922</v>
      </c>
      <c r="J7" s="224">
        <f>Model!I8</f>
        <v>419847.64806699852</v>
      </c>
      <c r="K7" s="224">
        <f>Model!J8</f>
        <v>469560.97556724912</v>
      </c>
    </row>
    <row r="8" spans="1:11" ht="16.5" x14ac:dyDescent="0.3">
      <c r="B8" s="108" t="s">
        <v>21</v>
      </c>
      <c r="C8" s="108"/>
      <c r="D8" s="127">
        <f>IS!AP94</f>
        <v>73945</v>
      </c>
      <c r="E8" s="127">
        <f>IS!AU94</f>
        <v>37363</v>
      </c>
      <c r="F8" s="127">
        <f>IS!AZ94</f>
        <v>86453</v>
      </c>
      <c r="G8" s="224">
        <f>IS!BE94</f>
        <v>115373.53839052009</v>
      </c>
      <c r="H8" s="224">
        <f>IS!BJ94</f>
        <v>133193.95037818793</v>
      </c>
      <c r="I8" s="224">
        <f>IS!BK94</f>
        <v>157977.64587548556</v>
      </c>
      <c r="J8" s="224">
        <f>IS!BL94</f>
        <v>172977.2310036034</v>
      </c>
      <c r="K8" s="224">
        <f>IS!BM94</f>
        <v>194269.34479350899</v>
      </c>
    </row>
    <row r="9" spans="1:11" ht="16.5" x14ac:dyDescent="0.3">
      <c r="B9" s="108" t="s">
        <v>22</v>
      </c>
      <c r="C9" s="108"/>
      <c r="D9" s="127">
        <f>Model!C11</f>
        <v>24879</v>
      </c>
      <c r="E9" s="127">
        <f>Model!D11</f>
        <v>12248</v>
      </c>
      <c r="F9" s="127">
        <f>Model!E11</f>
        <v>36852</v>
      </c>
      <c r="G9" s="224">
        <f>Model!F11</f>
        <v>65238.255029045395</v>
      </c>
      <c r="H9" s="224">
        <f>Model!G11</f>
        <v>73642.447491765604</v>
      </c>
      <c r="I9" s="224">
        <f>Model!H11</f>
        <v>79755.70471383736</v>
      </c>
      <c r="J9" s="224">
        <f>Model!I11</f>
        <v>83129.834317265719</v>
      </c>
      <c r="K9" s="224">
        <f>Model!J11</f>
        <v>91150.071727760194</v>
      </c>
    </row>
    <row r="10" spans="1:11" ht="16.5" x14ac:dyDescent="0.3">
      <c r="B10" s="108" t="s">
        <v>23</v>
      </c>
      <c r="C10" s="108"/>
      <c r="D10" s="127">
        <f>Model!C16</f>
        <v>33364</v>
      </c>
      <c r="E10" s="127">
        <f>Model!D16</f>
        <v>-2722</v>
      </c>
      <c r="F10" s="127">
        <f>Model!E16</f>
        <v>30425</v>
      </c>
      <c r="G10" s="224">
        <f>Model!F16</f>
        <v>52898.854479063397</v>
      </c>
      <c r="H10" s="224">
        <f>Model!G16</f>
        <v>56515.318275109239</v>
      </c>
      <c r="I10" s="224">
        <f>Model!H16</f>
        <v>61189.496914587333</v>
      </c>
      <c r="J10" s="224">
        <f>Model!I16</f>
        <v>63682.491258802351</v>
      </c>
      <c r="K10" s="224">
        <f>Model!J16</f>
        <v>69826.479190235696</v>
      </c>
    </row>
    <row r="11" spans="1:11" ht="16.5" x14ac:dyDescent="0.3">
      <c r="B11" s="108" t="s">
        <v>24</v>
      </c>
      <c r="C11" s="108"/>
      <c r="D11" s="152">
        <f>Model!C19</f>
        <v>3.2404817404817403</v>
      </c>
      <c r="E11" s="152">
        <f>Model!D19</f>
        <v>-0.2671508489547551</v>
      </c>
      <c r="F11" s="152">
        <f>Model!E19</f>
        <v>2.8998284407167367</v>
      </c>
      <c r="G11" s="238">
        <f>Model!F19</f>
        <v>4.9354003199275436</v>
      </c>
      <c r="H11" s="238">
        <f>Model!G19</f>
        <v>5.2159961490640736</v>
      </c>
      <c r="I11" s="238">
        <f>Model!H19</f>
        <v>5.5855314390312492</v>
      </c>
      <c r="J11" s="238">
        <f>Model!I19</f>
        <v>5.7501120775442303</v>
      </c>
      <c r="K11" s="238">
        <f>Model!J19</f>
        <v>6.2372915757244929</v>
      </c>
    </row>
    <row r="12" spans="1:11" ht="16.5" x14ac:dyDescent="0.3">
      <c r="B12" s="108" t="s">
        <v>0</v>
      </c>
      <c r="C12" s="134"/>
      <c r="D12" s="124"/>
      <c r="E12" s="124"/>
      <c r="F12" s="124"/>
      <c r="G12" s="226"/>
      <c r="H12" s="226"/>
      <c r="I12" s="226"/>
      <c r="J12" s="226"/>
      <c r="K12" s="226"/>
    </row>
    <row r="13" spans="1:11" ht="16.5" x14ac:dyDescent="0.3">
      <c r="B13" s="125" t="s">
        <v>25</v>
      </c>
      <c r="C13" s="137"/>
      <c r="D13" s="132"/>
      <c r="E13" s="132"/>
      <c r="F13" s="132"/>
      <c r="G13" s="239"/>
      <c r="H13" s="239"/>
      <c r="I13" s="239"/>
      <c r="J13" s="239"/>
      <c r="K13" s="239"/>
    </row>
    <row r="14" spans="1:11" ht="16.5" x14ac:dyDescent="0.3">
      <c r="B14" s="108" t="s">
        <v>18</v>
      </c>
      <c r="C14" s="108"/>
      <c r="D14" s="187">
        <f>IS!AP46</f>
        <v>0.21695366571345676</v>
      </c>
      <c r="E14" s="187">
        <f>E6/ABS(D6)-1</f>
        <v>9.399517263985091E-2</v>
      </c>
      <c r="F14" s="187">
        <f t="shared" ref="F14:K14" si="0">F6/ABS(E6)-1</f>
        <v>0.1182957412988368</v>
      </c>
      <c r="G14" s="240">
        <f t="shared" si="0"/>
        <v>0.11005570557128697</v>
      </c>
      <c r="H14" s="240">
        <f t="shared" si="0"/>
        <v>9.9230361375387321E-2</v>
      </c>
      <c r="I14" s="240">
        <f t="shared" si="0"/>
        <v>9.3426267492475068E-2</v>
      </c>
      <c r="J14" s="240">
        <f t="shared" si="0"/>
        <v>9.4947516434952473E-2</v>
      </c>
      <c r="K14" s="240">
        <f t="shared" si="0"/>
        <v>9.6478448157193641E-2</v>
      </c>
    </row>
    <row r="15" spans="1:11" ht="16.5" x14ac:dyDescent="0.3">
      <c r="B15" s="108" t="s">
        <v>20</v>
      </c>
      <c r="C15" s="108"/>
      <c r="D15" s="187">
        <f>IS!AP48</f>
        <v>0.2927590879632358</v>
      </c>
      <c r="E15" s="187">
        <f t="shared" ref="E15:K15" si="1">E7/ABS(D7)-1</f>
        <v>0.14013712919920196</v>
      </c>
      <c r="F15" s="187">
        <f t="shared" si="1"/>
        <v>0.19939418703808975</v>
      </c>
      <c r="G15" s="240">
        <f t="shared" si="1"/>
        <v>0.15192927612922391</v>
      </c>
      <c r="H15" s="240">
        <f t="shared" si="1"/>
        <v>8.2222570851987475E-2</v>
      </c>
      <c r="I15" s="240">
        <f t="shared" si="1"/>
        <v>0.1162059813985683</v>
      </c>
      <c r="J15" s="240">
        <f t="shared" si="1"/>
        <v>0.11729338411729873</v>
      </c>
      <c r="K15" s="240">
        <f t="shared" si="1"/>
        <v>0.11840801712033744</v>
      </c>
    </row>
    <row r="16" spans="1:11" ht="16.5" x14ac:dyDescent="0.3">
      <c r="B16" s="108" t="s">
        <v>22</v>
      </c>
      <c r="C16" s="108"/>
      <c r="D16" s="187">
        <f>IS!AP55</f>
        <v>8.6466657932660729E-2</v>
      </c>
      <c r="E16" s="187">
        <f t="shared" ref="E16:J16" si="2">E9/ABS(D9)-1</f>
        <v>-0.50769725471281002</v>
      </c>
      <c r="F16" s="187">
        <f t="shared" si="2"/>
        <v>2.0088177661659046</v>
      </c>
      <c r="G16" s="240">
        <f t="shared" si="2"/>
        <v>0.77027719062860611</v>
      </c>
      <c r="H16" s="240">
        <f t="shared" si="2"/>
        <v>0.12882307258185399</v>
      </c>
      <c r="I16" s="240">
        <f t="shared" si="2"/>
        <v>8.301268399254802E-2</v>
      </c>
      <c r="J16" s="240">
        <f t="shared" si="2"/>
        <v>4.2305808914042009E-2</v>
      </c>
      <c r="K16" s="240">
        <f>K9/ABS(J9)-1</f>
        <v>9.6478448157194308E-2</v>
      </c>
    </row>
    <row r="17" spans="1:11" ht="16.5" x14ac:dyDescent="0.3">
      <c r="B17" s="108" t="s">
        <v>23</v>
      </c>
      <c r="C17" s="108"/>
      <c r="D17" s="187">
        <f>IS!AP62</f>
        <v>0.56410857437532225</v>
      </c>
      <c r="E17" s="187">
        <f t="shared" ref="E17:K17" si="3">E10/ABS(D10)-1</f>
        <v>-1.0815849418534949</v>
      </c>
      <c r="F17" s="187">
        <f t="shared" si="3"/>
        <v>10.177443056576047</v>
      </c>
      <c r="G17" s="240">
        <f t="shared" si="3"/>
        <v>0.73866407490758901</v>
      </c>
      <c r="H17" s="240">
        <f t="shared" si="3"/>
        <v>6.8365635355623455E-2</v>
      </c>
      <c r="I17" s="240">
        <f t="shared" si="3"/>
        <v>8.2706402124903544E-2</v>
      </c>
      <c r="J17" s="240">
        <f t="shared" si="3"/>
        <v>4.0742193839163665E-2</v>
      </c>
      <c r="K17" s="240">
        <f t="shared" si="3"/>
        <v>9.6478448157194308E-2</v>
      </c>
    </row>
    <row r="18" spans="1:11" ht="16.5" x14ac:dyDescent="0.3">
      <c r="B18" s="108" t="s">
        <v>24</v>
      </c>
      <c r="C18" s="108"/>
      <c r="D18" s="187">
        <f>IS!AP63</f>
        <v>0.55023923444976108</v>
      </c>
      <c r="E18" s="187">
        <f t="shared" ref="E18:K18" si="4">E11/ABS(D11)-1</f>
        <v>-1.0824417078539192</v>
      </c>
      <c r="F18" s="187">
        <f t="shared" si="4"/>
        <v>9.854648046459527</v>
      </c>
      <c r="G18" s="240">
        <f t="shared" si="4"/>
        <v>0.70196286464025581</v>
      </c>
      <c r="H18" s="240">
        <f t="shared" si="4"/>
        <v>5.685371215047641E-2</v>
      </c>
      <c r="I18" s="240">
        <f t="shared" si="4"/>
        <v>7.0846541946447239E-2</v>
      </c>
      <c r="J18" s="240">
        <f t="shared" si="4"/>
        <v>2.9465528984924383E-2</v>
      </c>
      <c r="K18" s="240">
        <f t="shared" si="4"/>
        <v>8.4725217806246311E-2</v>
      </c>
    </row>
    <row r="19" spans="1:11" ht="16.5" x14ac:dyDescent="0.3">
      <c r="B19" s="108" t="s">
        <v>0</v>
      </c>
      <c r="C19" s="134"/>
      <c r="D19" s="124"/>
      <c r="E19" s="124"/>
      <c r="F19" s="124"/>
      <c r="G19" s="226"/>
      <c r="H19" s="226"/>
      <c r="I19" s="226"/>
      <c r="J19" s="226"/>
      <c r="K19" s="226"/>
    </row>
    <row r="20" spans="1:11" ht="16.5" x14ac:dyDescent="0.3">
      <c r="B20" s="125" t="s">
        <v>26</v>
      </c>
      <c r="C20" s="137"/>
      <c r="D20" s="132"/>
      <c r="E20" s="132"/>
      <c r="F20" s="132"/>
      <c r="G20" s="239"/>
      <c r="H20" s="239"/>
      <c r="I20" s="239"/>
      <c r="J20" s="239"/>
      <c r="K20" s="239"/>
    </row>
    <row r="21" spans="1:11" ht="16.5" x14ac:dyDescent="0.3">
      <c r="B21" s="108" t="s">
        <v>27</v>
      </c>
      <c r="C21" s="108"/>
      <c r="D21" s="187">
        <f>D7/D6</f>
        <v>0.42032514441639601</v>
      </c>
      <c r="E21" s="187">
        <f t="shared" ref="E21:K21" si="5">E7/E6</f>
        <v>0.43805339865326287</v>
      </c>
      <c r="F21" s="187">
        <f t="shared" si="5"/>
        <v>0.46982088955000567</v>
      </c>
      <c r="G21" s="240">
        <f t="shared" si="5"/>
        <v>0.48754349398276259</v>
      </c>
      <c r="H21" s="240">
        <f t="shared" si="5"/>
        <v>0.47999999999999993</v>
      </c>
      <c r="I21" s="240">
        <f t="shared" si="5"/>
        <v>0.48999999999999994</v>
      </c>
      <c r="J21" s="240">
        <f t="shared" si="5"/>
        <v>0.5</v>
      </c>
      <c r="K21" s="240">
        <f t="shared" si="5"/>
        <v>0.51</v>
      </c>
    </row>
    <row r="22" spans="1:11" ht="16.5" x14ac:dyDescent="0.3">
      <c r="B22" s="108" t="s">
        <v>28</v>
      </c>
      <c r="C22" s="108"/>
      <c r="D22" s="187">
        <f t="shared" ref="D22:K22" si="6">D8/D6</f>
        <v>0.15738939428123844</v>
      </c>
      <c r="E22" s="187">
        <f t="shared" si="6"/>
        <v>7.2693065723963626E-2</v>
      </c>
      <c r="F22" s="187">
        <f t="shared" si="6"/>
        <v>0.15040928347121096</v>
      </c>
      <c r="G22" s="240">
        <f t="shared" si="6"/>
        <v>0.18082397536823647</v>
      </c>
      <c r="H22" s="240">
        <f t="shared" si="6"/>
        <v>0.18990901668869023</v>
      </c>
      <c r="I22" s="240">
        <f t="shared" si="6"/>
        <v>0.20599999999999993</v>
      </c>
      <c r="J22" s="240">
        <f t="shared" si="6"/>
        <v>0.20600000000000002</v>
      </c>
      <c r="K22" s="240">
        <f t="shared" si="6"/>
        <v>0.21100000000000008</v>
      </c>
    </row>
    <row r="23" spans="1:11" ht="16.5" x14ac:dyDescent="0.3">
      <c r="B23" s="108" t="s">
        <v>29</v>
      </c>
      <c r="C23" s="108"/>
      <c r="D23" s="187">
        <f t="shared" ref="D23:K23" si="7">D9/D6</f>
        <v>5.2954097509269465E-2</v>
      </c>
      <c r="E23" s="187">
        <f t="shared" si="7"/>
        <v>2.3829581912242232E-2</v>
      </c>
      <c r="F23" s="187">
        <f t="shared" si="7"/>
        <v>6.4114407996033296E-2</v>
      </c>
      <c r="G23" s="240">
        <f t="shared" si="7"/>
        <v>0.10224736785404971</v>
      </c>
      <c r="H23" s="240">
        <f t="shared" si="7"/>
        <v>0.10499999999999982</v>
      </c>
      <c r="I23" s="240">
        <f t="shared" si="7"/>
        <v>0.10399999999999995</v>
      </c>
      <c r="J23" s="240">
        <f t="shared" si="7"/>
        <v>9.9000000000000019E-2</v>
      </c>
      <c r="K23" s="240">
        <f t="shared" si="7"/>
        <v>9.9000000000000088E-2</v>
      </c>
    </row>
    <row r="24" spans="1:11" ht="16.5" x14ac:dyDescent="0.3">
      <c r="A24" t="s">
        <v>19</v>
      </c>
      <c r="B24" s="108" t="s">
        <v>30</v>
      </c>
      <c r="C24" s="108"/>
      <c r="D24" s="187">
        <f>D10/D6</f>
        <v>7.1014128755145567E-2</v>
      </c>
      <c r="E24" s="187">
        <f t="shared" ref="E24:K24" si="8">E10/E6</f>
        <v>-5.2958950004183018E-3</v>
      </c>
      <c r="F24" s="187">
        <f t="shared" si="8"/>
        <v>5.2932835755978319E-2</v>
      </c>
      <c r="G24" s="240">
        <f t="shared" si="8"/>
        <v>8.2907929259765561E-2</v>
      </c>
      <c r="H24" s="240">
        <f t="shared" si="8"/>
        <v>8.0579999999999832E-2</v>
      </c>
      <c r="I24" s="240">
        <f t="shared" si="8"/>
        <v>7.9789999999999958E-2</v>
      </c>
      <c r="J24" s="240">
        <f t="shared" si="8"/>
        <v>7.5840000000000019E-2</v>
      </c>
      <c r="K24" s="240">
        <f t="shared" si="8"/>
        <v>7.5840000000000074E-2</v>
      </c>
    </row>
    <row r="25" spans="1:11" ht="16.5" x14ac:dyDescent="0.3">
      <c r="B25" s="108" t="s">
        <v>31</v>
      </c>
      <c r="C25" s="108"/>
      <c r="D25" s="138">
        <f>Ratios!C45</f>
        <v>0.29249424900409582</v>
      </c>
      <c r="E25" s="138">
        <f>Ratios!D45</f>
        <v>-1.9805582234640122E-2</v>
      </c>
      <c r="F25" s="138">
        <f>Ratios!E45</f>
        <v>0.17812835545813385</v>
      </c>
      <c r="G25" s="241">
        <f>Ratios!F45</f>
        <v>0.22307236853165499</v>
      </c>
      <c r="H25" s="241">
        <f>Ratios!G45</f>
        <v>0.18918223671368642</v>
      </c>
      <c r="I25" s="241">
        <f>Ratios!H45</f>
        <v>0.17042760922365741</v>
      </c>
      <c r="J25" s="241">
        <f>Ratios!I45</f>
        <v>0.1510375990299907</v>
      </c>
      <c r="K25" s="241">
        <f>Ratios!J45</f>
        <v>0.142898813392631</v>
      </c>
    </row>
    <row r="26" spans="1:11" ht="16.5" x14ac:dyDescent="0.3">
      <c r="B26" s="108" t="s">
        <v>32</v>
      </c>
      <c r="C26" s="108"/>
      <c r="D26" s="138">
        <f>Ratios!C47</f>
        <v>0.16048766556392552</v>
      </c>
      <c r="E26" s="138">
        <f>Ratios!D47</f>
        <v>-7.9813360867721506E-3</v>
      </c>
      <c r="F26" s="138">
        <f>Ratios!E47</f>
        <v>9.89456646073852E-2</v>
      </c>
      <c r="G26" s="241">
        <f>Ratios!F47</f>
        <v>0.14030743762344386</v>
      </c>
      <c r="H26" s="241">
        <f>Ratios!G47</f>
        <v>0.13557033427603823</v>
      </c>
      <c r="I26" s="241">
        <f>Ratios!H47</f>
        <v>0.12666076223305689</v>
      </c>
      <c r="J26" s="241">
        <f>Ratios!I47</f>
        <v>0.11655191517088431</v>
      </c>
      <c r="K26" s="241">
        <f>Ratios!J47</f>
        <v>0.1134681353853987</v>
      </c>
    </row>
    <row r="27" spans="1:11" ht="16.5" x14ac:dyDescent="0.3">
      <c r="B27" s="108" t="s">
        <v>0</v>
      </c>
      <c r="C27" s="108"/>
      <c r="G27" s="233"/>
      <c r="H27" s="233"/>
      <c r="I27" s="226"/>
      <c r="J27" s="226"/>
      <c r="K27" s="226"/>
    </row>
    <row r="28" spans="1:11" ht="16.5" x14ac:dyDescent="0.3">
      <c r="B28" s="125" t="s">
        <v>33</v>
      </c>
      <c r="C28" s="130"/>
      <c r="D28" s="132"/>
      <c r="E28" s="132"/>
      <c r="F28" s="132"/>
      <c r="G28" s="239"/>
      <c r="H28" s="239"/>
      <c r="I28" s="239"/>
      <c r="J28" s="239"/>
      <c r="K28" s="239"/>
    </row>
    <row r="29" spans="1:11" ht="16.5" x14ac:dyDescent="0.3">
      <c r="B29" s="136"/>
      <c r="C29" s="108"/>
      <c r="D29" s="124"/>
      <c r="E29" s="124"/>
      <c r="F29" s="124"/>
      <c r="G29" s="226"/>
      <c r="H29" s="226"/>
      <c r="I29" s="226"/>
      <c r="J29" s="226"/>
      <c r="K29" s="226"/>
    </row>
    <row r="30" spans="1:11" ht="16.5" x14ac:dyDescent="0.3">
      <c r="B30" s="108" t="s">
        <v>34</v>
      </c>
      <c r="C30" s="108"/>
      <c r="D30" s="152">
        <f>Ratios!C51</f>
        <v>8.6342797897553432</v>
      </c>
      <c r="E30" s="152">
        <f>Ratios!D51</f>
        <v>-59.536136931114008</v>
      </c>
      <c r="F30" s="152">
        <f>Ratios!E51</f>
        <v>16.08667862700489</v>
      </c>
      <c r="G30" s="238">
        <f>Ratios!F51</f>
        <v>2.8122307791515917</v>
      </c>
      <c r="H30" s="238">
        <f>Ratios!G51</f>
        <v>2.004346689857559</v>
      </c>
      <c r="I30" s="238">
        <f>Ratios!H51</f>
        <v>0.89062030033265938</v>
      </c>
      <c r="J30" s="238">
        <f>Ratios!I51</f>
        <v>0.45603139823305644</v>
      </c>
      <c r="K30" s="238">
        <f>Ratios!J51</f>
        <v>1.0000000000000075</v>
      </c>
    </row>
    <row r="31" spans="1:11" ht="16.5" x14ac:dyDescent="0.3">
      <c r="B31" s="108" t="s">
        <v>35</v>
      </c>
      <c r="C31" s="108"/>
      <c r="D31" s="152">
        <f>Ratios!C52</f>
        <v>1.2095018298631142</v>
      </c>
      <c r="E31" s="152">
        <f>Ratios!D52</f>
        <v>0.88728070920817148</v>
      </c>
      <c r="F31" s="152">
        <f>Ratios!E52</f>
        <v>0.8549311424573518</v>
      </c>
      <c r="G31" s="238">
        <f>Ratios!F52</f>
        <v>0.74807952289893964</v>
      </c>
      <c r="H31" s="238">
        <f>Ratios!G52</f>
        <v>1.0252438068556804</v>
      </c>
      <c r="I31" s="238">
        <f>Ratios!H52</f>
        <v>0.99397975772426661</v>
      </c>
      <c r="J31" s="238">
        <f>Ratios!I52</f>
        <v>0.94094893727564999</v>
      </c>
      <c r="K31" s="238">
        <f>Ratios!J52</f>
        <v>1.0000000000000007</v>
      </c>
    </row>
    <row r="32" spans="1:11" ht="16.5" x14ac:dyDescent="0.3">
      <c r="B32" s="108" t="s">
        <v>36</v>
      </c>
      <c r="C32" s="108"/>
      <c r="D32" s="152">
        <f>Ratios!C53</f>
        <v>10.443177205259191</v>
      </c>
      <c r="E32" s="152">
        <f>Ratios!D53</f>
        <v>-52.825265799753652</v>
      </c>
      <c r="F32" s="152">
        <f>Ratios!E53</f>
        <v>13.753002536929554</v>
      </c>
      <c r="G32" s="238">
        <f>Ratios!F53</f>
        <v>2.1037722595494359</v>
      </c>
      <c r="H32" s="238">
        <f>Ratios!G53</f>
        <v>2.0549440305681457</v>
      </c>
      <c r="I32" s="238">
        <f>Ratios!H53</f>
        <v>0.88525855034897039</v>
      </c>
      <c r="J32" s="238">
        <f>Ratios!I53</f>
        <v>0.42910225953172315</v>
      </c>
      <c r="K32" s="238">
        <f>Ratios!J53</f>
        <v>1.0000000000000082</v>
      </c>
    </row>
    <row r="33" spans="2:11" ht="16.5" x14ac:dyDescent="0.3">
      <c r="B33" s="108" t="s">
        <v>37</v>
      </c>
      <c r="C33" s="108"/>
      <c r="D33" s="152">
        <f>Ratios!C54</f>
        <v>0.84194726753227966</v>
      </c>
      <c r="E33" s="152">
        <f>Ratios!D54</f>
        <v>0.95942975698937982</v>
      </c>
      <c r="F33" s="152">
        <f>Ratios!E54</f>
        <v>0.67175727554179565</v>
      </c>
      <c r="G33" s="238">
        <f>Ratios!F54</f>
        <v>0.50878464170436299</v>
      </c>
      <c r="H33" s="238">
        <f>Ratios!G54</f>
        <v>0.46034303942062577</v>
      </c>
      <c r="I33" s="238">
        <f>Ratios!H54</f>
        <v>0.40418507313649205</v>
      </c>
      <c r="J33" s="238">
        <f>Ratios!I54</f>
        <v>0.36166563831295651</v>
      </c>
      <c r="K33" s="238">
        <f>Ratios!J54</f>
        <v>0.3257229419230605</v>
      </c>
    </row>
    <row r="34" spans="2:11" ht="16.5" x14ac:dyDescent="0.3">
      <c r="B34" s="108" t="s">
        <v>0</v>
      </c>
      <c r="C34" s="108"/>
      <c r="D34" s="124"/>
      <c r="E34" s="124"/>
      <c r="F34" s="124"/>
      <c r="G34" s="226"/>
      <c r="H34" s="226"/>
      <c r="I34" s="226"/>
      <c r="J34" s="226"/>
      <c r="K34" s="226"/>
    </row>
    <row r="35" spans="2:11" ht="16.5" x14ac:dyDescent="0.3">
      <c r="B35" s="125" t="s">
        <v>38</v>
      </c>
      <c r="C35" s="130"/>
      <c r="D35" s="132"/>
      <c r="E35" s="132"/>
      <c r="F35" s="132"/>
      <c r="G35" s="239"/>
      <c r="H35" s="239"/>
      <c r="I35" s="239"/>
      <c r="J35" s="239"/>
      <c r="K35" s="239"/>
    </row>
    <row r="36" spans="2:11" ht="16.5" x14ac:dyDescent="0.3">
      <c r="B36" s="108" t="s">
        <v>39</v>
      </c>
      <c r="C36" s="108"/>
      <c r="D36" s="153" t="s">
        <v>40</v>
      </c>
      <c r="E36" s="153" t="s">
        <v>40</v>
      </c>
      <c r="F36" s="153" t="s">
        <v>40</v>
      </c>
      <c r="G36" s="242" t="s">
        <v>40</v>
      </c>
      <c r="H36" s="242" t="s">
        <v>40</v>
      </c>
      <c r="I36" s="242" t="s">
        <v>40</v>
      </c>
      <c r="J36" s="242" t="s">
        <v>40</v>
      </c>
      <c r="K36" s="242" t="s">
        <v>40</v>
      </c>
    </row>
    <row r="37" spans="2:11" ht="16.5" x14ac:dyDescent="0.3">
      <c r="B37" s="108" t="s">
        <v>41</v>
      </c>
      <c r="C37" s="108"/>
      <c r="D37" s="127">
        <f>CF!AP46</f>
        <v>-9069</v>
      </c>
      <c r="E37" s="127">
        <f>CF!AU46</f>
        <v>-11569</v>
      </c>
      <c r="F37" s="127">
        <f>CF!AZ46</f>
        <v>36813</v>
      </c>
      <c r="G37" s="224">
        <f>CF!BE46</f>
        <v>32516.455897714986</v>
      </c>
      <c r="H37" s="224">
        <f>CF!BJ46</f>
        <v>42853.70058821507</v>
      </c>
      <c r="I37" s="224">
        <f>CF!BK46</f>
        <v>56636.787892271852</v>
      </c>
      <c r="J37" s="224">
        <f>CF!BL46</f>
        <v>57614.427845740436</v>
      </c>
      <c r="K37" s="224">
        <f>CF!BM46</f>
        <v>62528.289429530763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6A04-0B03-48D3-9528-34EB690C9E88}">
  <dimension ref="A1:V43"/>
  <sheetViews>
    <sheetView showGridLines="0" workbookViewId="0">
      <selection activeCell="B4" sqref="B4"/>
    </sheetView>
  </sheetViews>
  <sheetFormatPr defaultColWidth="9.140625" defaultRowHeight="15" outlineLevelCol="1" x14ac:dyDescent="0.25"/>
  <cols>
    <col min="1" max="1" width="4.28515625" customWidth="1"/>
    <col min="2" max="2" width="40.42578125" bestFit="1" customWidth="1"/>
    <col min="3" max="5" width="10" customWidth="1"/>
    <col min="6" max="9" width="10" hidden="1" customWidth="1" outlineLevel="1"/>
    <col min="10" max="10" width="9.140625" collapsed="1"/>
    <col min="11" max="14" width="9.140625" hidden="1" customWidth="1" outlineLevel="1"/>
    <col min="15" max="15" width="9.140625" collapsed="1"/>
    <col min="22" max="22" width="9.28515625" bestFit="1" customWidth="1"/>
    <col min="23" max="25" width="10" bestFit="1" customWidth="1"/>
  </cols>
  <sheetData>
    <row r="1" spans="2:18" ht="16.5" x14ac:dyDescent="0.3">
      <c r="B1" s="122" t="s">
        <v>10</v>
      </c>
      <c r="C1" s="1"/>
      <c r="D1" s="1" t="s">
        <v>19</v>
      </c>
      <c r="E1" s="1"/>
      <c r="K1" t="s">
        <v>19</v>
      </c>
      <c r="O1" t="s">
        <v>19</v>
      </c>
    </row>
    <row r="2" spans="2:18" ht="16.5" x14ac:dyDescent="0.3">
      <c r="B2" s="122"/>
      <c r="C2" s="1"/>
      <c r="D2" s="1"/>
      <c r="E2" s="1"/>
    </row>
    <row r="3" spans="2:18" ht="16.5" x14ac:dyDescent="0.3">
      <c r="B3" s="122"/>
      <c r="C3" s="259" t="s">
        <v>42</v>
      </c>
      <c r="D3" s="259"/>
      <c r="E3" s="259"/>
      <c r="F3" s="260" t="s">
        <v>43</v>
      </c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</row>
    <row r="4" spans="2:18" ht="16.5" x14ac:dyDescent="0.25">
      <c r="B4" s="122"/>
      <c r="C4" s="27">
        <v>2021</v>
      </c>
      <c r="D4" s="27">
        <v>2022</v>
      </c>
      <c r="E4" s="27">
        <v>2023</v>
      </c>
      <c r="F4" s="28">
        <v>45382</v>
      </c>
      <c r="G4" s="28">
        <v>45473</v>
      </c>
      <c r="H4" s="28">
        <v>45565</v>
      </c>
      <c r="I4" s="28">
        <v>45657</v>
      </c>
      <c r="J4" s="27">
        <v>2024</v>
      </c>
      <c r="K4" s="28">
        <v>45747</v>
      </c>
      <c r="L4" s="28">
        <v>45838</v>
      </c>
      <c r="M4" s="28">
        <v>45930</v>
      </c>
      <c r="N4" s="28">
        <v>46022</v>
      </c>
      <c r="O4" s="27">
        <v>2025</v>
      </c>
      <c r="P4" s="27">
        <v>2026</v>
      </c>
      <c r="Q4" s="27">
        <v>2027</v>
      </c>
      <c r="R4" s="27">
        <v>2028</v>
      </c>
    </row>
    <row r="5" spans="2:18" ht="16.5" x14ac:dyDescent="0.3">
      <c r="B5" s="4" t="s">
        <v>44</v>
      </c>
      <c r="C5" s="120">
        <v>5.8000000000000003E-2</v>
      </c>
      <c r="D5" s="120">
        <v>1.9400000000000001E-2</v>
      </c>
      <c r="E5" s="120">
        <v>2.5399999999999999E-2</v>
      </c>
      <c r="F5" s="121"/>
      <c r="G5" s="121"/>
      <c r="H5" s="121"/>
      <c r="I5" s="121"/>
      <c r="J5" s="121">
        <v>2.7E-2</v>
      </c>
      <c r="K5" s="121"/>
      <c r="L5" s="121"/>
      <c r="M5" s="121"/>
      <c r="N5" s="121"/>
      <c r="O5" s="121">
        <v>0.02</v>
      </c>
      <c r="P5" s="121">
        <v>0.02</v>
      </c>
      <c r="Q5" s="121">
        <v>0.02</v>
      </c>
      <c r="R5" s="121">
        <v>1.7999999999999999E-2</v>
      </c>
    </row>
    <row r="6" spans="2:18" ht="16.5" x14ac:dyDescent="0.3">
      <c r="B6" t="s">
        <v>45</v>
      </c>
      <c r="C6" s="120">
        <v>6.7000000000000004E-2</v>
      </c>
      <c r="D6" s="120">
        <v>3.5000000000000003E-2</v>
      </c>
      <c r="E6" s="120">
        <v>3.6999999999999998E-2</v>
      </c>
      <c r="F6" s="121"/>
      <c r="G6" s="121"/>
      <c r="H6" s="121"/>
      <c r="I6" s="121"/>
      <c r="J6" s="121">
        <v>4.3999999999999997E-2</v>
      </c>
      <c r="K6" s="121"/>
      <c r="L6" s="121"/>
      <c r="M6" s="121"/>
      <c r="N6" s="121"/>
      <c r="O6" s="121">
        <v>4.3999999999999997E-2</v>
      </c>
      <c r="P6" s="121">
        <v>4.2999999999999997E-2</v>
      </c>
      <c r="Q6" s="121">
        <v>4.2000000000000003E-2</v>
      </c>
      <c r="R6" s="121">
        <v>4.2000000000000003E-2</v>
      </c>
    </row>
    <row r="7" spans="2:18" ht="16.5" x14ac:dyDescent="0.3">
      <c r="B7" s="4" t="s">
        <v>46</v>
      </c>
      <c r="C7" s="120">
        <v>4.7E-2</v>
      </c>
      <c r="D7" s="120">
        <v>0.08</v>
      </c>
      <c r="E7" s="120">
        <v>4.1000000000000002E-2</v>
      </c>
      <c r="F7" s="121"/>
      <c r="G7" s="121"/>
      <c r="H7" s="121"/>
      <c r="I7" s="121"/>
      <c r="J7" s="121">
        <v>2.5999999999999999E-2</v>
      </c>
      <c r="K7" s="121"/>
      <c r="L7" s="121"/>
      <c r="M7" s="121"/>
      <c r="N7" s="121"/>
      <c r="O7" s="121">
        <v>2.1000000000000001E-2</v>
      </c>
      <c r="P7" s="121">
        <v>0.02</v>
      </c>
      <c r="Q7" s="121">
        <v>0.02</v>
      </c>
      <c r="R7" s="121">
        <v>0.02</v>
      </c>
    </row>
    <row r="8" spans="2:18" ht="16.5" x14ac:dyDescent="0.3">
      <c r="B8" s="4" t="s">
        <v>47</v>
      </c>
      <c r="C8" s="120">
        <v>8.0000000000000004E-4</v>
      </c>
      <c r="D8" s="120">
        <v>1.6799999999999999E-2</v>
      </c>
      <c r="E8" s="120">
        <v>5.0299999999999997E-2</v>
      </c>
      <c r="F8" s="121"/>
      <c r="G8" s="121"/>
      <c r="H8" s="121"/>
      <c r="I8" s="121"/>
      <c r="J8" s="121">
        <v>4.3999999999999997E-2</v>
      </c>
      <c r="K8" s="121"/>
      <c r="L8" s="121"/>
      <c r="M8" s="121"/>
      <c r="N8" s="121"/>
      <c r="O8" s="121">
        <v>3.4000000000000002E-2</v>
      </c>
      <c r="P8" s="121">
        <v>2.9000000000000001E-2</v>
      </c>
      <c r="Q8" s="121">
        <v>2.9000000000000001E-2</v>
      </c>
      <c r="R8" s="121">
        <v>2.9000000000000001E-2</v>
      </c>
    </row>
    <row r="10" spans="2:18" ht="16.5" x14ac:dyDescent="0.3">
      <c r="B10" s="14" t="s">
        <v>48</v>
      </c>
      <c r="C10" s="27">
        <v>2021</v>
      </c>
      <c r="D10" s="27">
        <v>2022</v>
      </c>
      <c r="E10" s="27">
        <v>2023</v>
      </c>
      <c r="F10" s="28">
        <v>45382</v>
      </c>
      <c r="G10" s="28">
        <v>45473</v>
      </c>
      <c r="H10" s="28">
        <v>45565</v>
      </c>
      <c r="I10" s="28">
        <v>45657</v>
      </c>
      <c r="J10" s="27">
        <v>2024</v>
      </c>
      <c r="K10" s="28">
        <v>45747</v>
      </c>
      <c r="L10" s="28">
        <v>45838</v>
      </c>
      <c r="M10" s="28">
        <v>45930</v>
      </c>
      <c r="N10" s="28">
        <v>46022</v>
      </c>
      <c r="O10" s="27">
        <v>2025</v>
      </c>
      <c r="P10" s="27">
        <v>2026</v>
      </c>
      <c r="Q10" s="27">
        <v>2027</v>
      </c>
      <c r="R10" s="27">
        <v>2028</v>
      </c>
    </row>
    <row r="11" spans="2:18" ht="16.5" x14ac:dyDescent="0.3">
      <c r="B11" t="s">
        <v>49</v>
      </c>
      <c r="C11" s="120">
        <f>IS!AP39</f>
        <v>0.12529072860769497</v>
      </c>
      <c r="D11" s="120">
        <f>IS!AU39</f>
        <v>-9.3256782618484912E-3</v>
      </c>
      <c r="E11" s="120">
        <f>IS!AZ39</f>
        <v>5.3944473736841081E-2</v>
      </c>
      <c r="F11" s="205">
        <v>0.02</v>
      </c>
      <c r="G11" s="205">
        <v>0.02</v>
      </c>
      <c r="H11" s="205">
        <v>7.0000000000000007E-2</v>
      </c>
      <c r="I11" s="205">
        <v>0.08</v>
      </c>
      <c r="J11" s="121">
        <f>IS!BE102/IS!$AZ8-1</f>
        <v>5.0602789470052478E-2</v>
      </c>
      <c r="K11" s="205">
        <v>5.0000000000000044E-2</v>
      </c>
      <c r="L11" s="205">
        <v>5.0000000000000044E-2</v>
      </c>
      <c r="M11" s="205">
        <v>5.0000000000000044E-2</v>
      </c>
      <c r="N11" s="205">
        <v>5.0000000000000044E-2</v>
      </c>
      <c r="O11" s="121">
        <f>IS!BJ102/IS!BE102-1</f>
        <v>5.8535598810753875E-2</v>
      </c>
      <c r="P11" s="121">
        <v>0.05</v>
      </c>
      <c r="Q11" s="121">
        <v>0.05</v>
      </c>
      <c r="R11" s="121">
        <v>0.05</v>
      </c>
    </row>
    <row r="12" spans="2:18" ht="16.5" x14ac:dyDescent="0.3">
      <c r="B12" t="s">
        <v>50</v>
      </c>
      <c r="C12" s="120">
        <f>IS!AP40</f>
        <v>5.2453155818540376E-2</v>
      </c>
      <c r="D12" s="120">
        <f>IS!AU40</f>
        <v>0.11057101024890192</v>
      </c>
      <c r="E12" s="120">
        <f>IS!AZ40</f>
        <v>5.6267468227601203E-2</v>
      </c>
      <c r="F12" s="205">
        <v>0.04</v>
      </c>
      <c r="G12" s="205">
        <v>0.04</v>
      </c>
      <c r="H12" s="205">
        <v>0.06</v>
      </c>
      <c r="I12" s="205">
        <v>0.06</v>
      </c>
      <c r="J12" s="121">
        <f>IS!BE103/IS!$AZ9-1</f>
        <v>5.009585621567636E-2</v>
      </c>
      <c r="K12" s="205">
        <v>5.0000000000000044E-2</v>
      </c>
      <c r="L12" s="205">
        <v>5.0000000000000044E-2</v>
      </c>
      <c r="M12" s="205">
        <v>5.0000000000000044E-2</v>
      </c>
      <c r="N12" s="205">
        <v>5.0000000000000044E-2</v>
      </c>
      <c r="O12" s="121">
        <f>IS!BJ103/IS!BE103-1</f>
        <v>5.0632685687079348E-2</v>
      </c>
      <c r="P12" s="121">
        <v>0.05</v>
      </c>
      <c r="Q12" s="121">
        <v>0.05</v>
      </c>
      <c r="R12" s="121">
        <v>0.05</v>
      </c>
    </row>
    <row r="13" spans="2:18" ht="16.5" x14ac:dyDescent="0.3">
      <c r="B13" t="s">
        <v>51</v>
      </c>
      <c r="C13" s="120">
        <f>IS!AP41</f>
        <v>0.28505538495965776</v>
      </c>
      <c r="D13" s="120">
        <f>IS!AU41</f>
        <v>0.13882708047133496</v>
      </c>
      <c r="E13" s="120">
        <f>IS!AZ41</f>
        <v>0.18975330456352579</v>
      </c>
      <c r="F13" s="205">
        <v>0.1</v>
      </c>
      <c r="G13" s="205">
        <v>0.1</v>
      </c>
      <c r="H13" s="205">
        <v>0.15</v>
      </c>
      <c r="I13" s="205">
        <v>0.15</v>
      </c>
      <c r="J13" s="121">
        <f>IS!BE104/IS!$AZ10-1</f>
        <v>0.12781125716692965</v>
      </c>
      <c r="K13" s="205">
        <v>0.10000000000000009</v>
      </c>
      <c r="L13" s="205">
        <v>0.10000000000000009</v>
      </c>
      <c r="M13" s="205">
        <v>0.10000000000000009</v>
      </c>
      <c r="N13" s="205">
        <v>0.10000000000000009</v>
      </c>
      <c r="O13" s="121">
        <f>IS!BJ104/IS!BE104-1</f>
        <v>9.8843827028852083E-2</v>
      </c>
      <c r="P13" s="121">
        <v>0.1</v>
      </c>
      <c r="Q13" s="121">
        <v>0.1</v>
      </c>
      <c r="R13" s="121">
        <v>0.1</v>
      </c>
    </row>
    <row r="14" spans="2:18" ht="16.5" x14ac:dyDescent="0.3">
      <c r="B14" t="s">
        <v>52</v>
      </c>
      <c r="C14" s="120">
        <f>IS!AP42</f>
        <v>0.26028484151227826</v>
      </c>
      <c r="D14" s="120">
        <f>IS!AU42</f>
        <v>0.10859984890455809</v>
      </c>
      <c r="E14" s="120">
        <f>IS!AZ42</f>
        <v>0.14171730365154178</v>
      </c>
      <c r="F14" s="205">
        <v>0.1</v>
      </c>
      <c r="G14" s="205">
        <v>0.1</v>
      </c>
      <c r="H14" s="205">
        <v>0.14000000000000001</v>
      </c>
      <c r="I14" s="205">
        <v>0.12000000000000011</v>
      </c>
      <c r="J14" s="121">
        <f>IS!BE105/IS!$AZ11-1</f>
        <v>0.11533388047452076</v>
      </c>
      <c r="K14" s="205">
        <v>0.10000000000000009</v>
      </c>
      <c r="L14" s="205">
        <v>0.10000000000000009</v>
      </c>
      <c r="M14" s="205">
        <v>0.10000000000000009</v>
      </c>
      <c r="N14" s="205">
        <v>0.10000000000000009</v>
      </c>
      <c r="O14" s="121">
        <f>IS!BJ105/IS!BE105-1</f>
        <v>9.3062505095350856E-2</v>
      </c>
      <c r="P14" s="121">
        <v>0.1</v>
      </c>
      <c r="Q14" s="121">
        <v>0.1</v>
      </c>
      <c r="R14" s="121">
        <v>0.1</v>
      </c>
    </row>
    <row r="15" spans="2:18" ht="16.5" x14ac:dyDescent="0.3">
      <c r="B15" t="s">
        <v>53</v>
      </c>
      <c r="C15" s="120">
        <f>IS!AP43</f>
        <v>1.5267596496918587</v>
      </c>
      <c r="D15" s="120">
        <f>IS!AU43</f>
        <v>0.21113607188703476</v>
      </c>
      <c r="E15" s="120">
        <f>IS!AZ43</f>
        <v>0.24290521741434601</v>
      </c>
      <c r="F15" s="205">
        <v>0.18</v>
      </c>
      <c r="G15" s="205">
        <v>0.18</v>
      </c>
      <c r="H15" s="205">
        <v>0.2</v>
      </c>
      <c r="I15" s="205">
        <v>0.19999999999999996</v>
      </c>
      <c r="J15" s="121">
        <f>IS!BE106/IS!$AZ12-1</f>
        <v>0.19139044045537879</v>
      </c>
      <c r="K15" s="205">
        <v>0.17999999999999994</v>
      </c>
      <c r="L15" s="205">
        <v>0.17999999999999994</v>
      </c>
      <c r="M15" s="205">
        <v>0.17999999999999994</v>
      </c>
      <c r="N15" s="205">
        <v>0.17999999999999994</v>
      </c>
      <c r="O15" s="121">
        <f>IS!BJ106/IS!BE106-1</f>
        <v>0.19058463748477306</v>
      </c>
      <c r="P15" s="121">
        <v>0.15</v>
      </c>
      <c r="Q15" s="121">
        <v>0.15</v>
      </c>
      <c r="R15" s="121">
        <v>0.15</v>
      </c>
    </row>
    <row r="16" spans="2:18" ht="16.5" x14ac:dyDescent="0.3">
      <c r="B16" t="s">
        <v>54</v>
      </c>
      <c r="C16" s="120">
        <f>IS!AP44</f>
        <v>0.37099404893101173</v>
      </c>
      <c r="D16" s="120">
        <f>IS!AU44</f>
        <v>0.28767563743931057</v>
      </c>
      <c r="E16" s="120">
        <f>IS!AZ44</f>
        <v>0.13310277666799841</v>
      </c>
      <c r="F16" s="205">
        <v>0.15</v>
      </c>
      <c r="G16" s="205">
        <v>0.18</v>
      </c>
      <c r="H16" s="205">
        <v>0.2</v>
      </c>
      <c r="I16" s="205">
        <v>0.19999999999999996</v>
      </c>
      <c r="J16" s="121">
        <f>IS!BE107/IS!$AZ13-1</f>
        <v>0.18335665568496085</v>
      </c>
      <c r="K16" s="205">
        <v>0.17999999999999994</v>
      </c>
      <c r="L16" s="205">
        <v>0.17999999999999994</v>
      </c>
      <c r="M16" s="205">
        <v>0.17999999999999994</v>
      </c>
      <c r="N16" s="205">
        <v>0.17999999999999994</v>
      </c>
      <c r="O16" s="121">
        <f>IS!BJ107/IS!BE107-1</f>
        <v>0.18015452912165464</v>
      </c>
      <c r="P16" s="121">
        <v>0.15</v>
      </c>
      <c r="Q16" s="121">
        <v>0.15</v>
      </c>
      <c r="R16" s="121">
        <v>0.15</v>
      </c>
    </row>
    <row r="17" spans="1:19" ht="16.5" x14ac:dyDescent="0.3">
      <c r="B17" t="s">
        <v>55</v>
      </c>
      <c r="C17" s="120">
        <f>IS!AP45</f>
        <v>-0.76205576817933296</v>
      </c>
      <c r="D17" s="120">
        <f>IS!AU45</f>
        <v>0.95174632352941169</v>
      </c>
      <c r="E17" s="120">
        <f>IS!AZ45</f>
        <v>0.16741229102896171</v>
      </c>
      <c r="F17" s="205">
        <v>0.05</v>
      </c>
      <c r="G17" s="205">
        <v>0.05</v>
      </c>
      <c r="H17" s="205">
        <v>0.05</v>
      </c>
      <c r="I17" s="205">
        <v>5.0000000000000044E-2</v>
      </c>
      <c r="J17" s="121">
        <f>IS!BE108/IS!$AZ14-1</f>
        <v>5.0000000000000044E-2</v>
      </c>
      <c r="K17" s="205">
        <v>5.0000000000000044E-2</v>
      </c>
      <c r="L17" s="205">
        <v>5.0000000000000044E-2</v>
      </c>
      <c r="M17" s="205">
        <v>5.0000000000000044E-2</v>
      </c>
      <c r="N17" s="205">
        <v>5.0000000000000044E-2</v>
      </c>
      <c r="O17" s="121">
        <f>IS!BJ108/IS!BE108-1</f>
        <v>6.1728519564340445E-2</v>
      </c>
      <c r="P17" s="121">
        <v>0.05</v>
      </c>
      <c r="Q17" s="121">
        <v>0.05</v>
      </c>
      <c r="R17" s="121">
        <v>0.05</v>
      </c>
    </row>
    <row r="18" spans="1:19" ht="16.5" x14ac:dyDescent="0.3">
      <c r="A18" t="s">
        <v>19</v>
      </c>
      <c r="B18" s="146" t="s">
        <v>56</v>
      </c>
      <c r="C18" s="147">
        <f>IS!AP46</f>
        <v>0.21695366571345676</v>
      </c>
      <c r="D18" s="147">
        <f>IS!AU46</f>
        <v>9.399517263985091E-2</v>
      </c>
      <c r="E18" s="147">
        <f>IS!AZ46</f>
        <v>0.1182957412988368</v>
      </c>
      <c r="F18" s="188"/>
      <c r="G18" s="188"/>
      <c r="H18" s="188"/>
      <c r="I18" s="188"/>
      <c r="J18" s="188">
        <f>IS!BE109/IS!$AZ15-1</f>
        <v>0.10637153022434487</v>
      </c>
      <c r="K18" s="188"/>
      <c r="L18" s="188"/>
      <c r="M18" s="188"/>
      <c r="N18" s="188"/>
      <c r="O18" s="188">
        <f>IS!BJ109/IS!BE109-1</f>
        <v>0.10289075690017846</v>
      </c>
      <c r="P18" s="188">
        <f>IS!BK15/IS!BJ15-1</f>
        <v>9.3426267492475068E-2</v>
      </c>
      <c r="Q18" s="188">
        <f>IS!BL15/IS!BK15-1</f>
        <v>9.4947516434952473E-2</v>
      </c>
      <c r="R18" s="188">
        <f>IS!BM15/IS!BL15-1</f>
        <v>9.6478448157193641E-2</v>
      </c>
    </row>
    <row r="19" spans="1:19" x14ac:dyDescent="0.25"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</row>
    <row r="20" spans="1:19" ht="16.5" x14ac:dyDescent="0.3">
      <c r="B20" s="146" t="s">
        <v>57</v>
      </c>
      <c r="C20" s="147">
        <f>Ratios!C44</f>
        <v>7.1014128755145567E-2</v>
      </c>
      <c r="D20" s="147">
        <f>Ratios!D44</f>
        <v>-5.2958950004183018E-3</v>
      </c>
      <c r="E20" s="147">
        <f>Ratios!E44</f>
        <v>5.2932835755978319E-2</v>
      </c>
      <c r="F20" s="208">
        <v>0.05</v>
      </c>
      <c r="G20" s="208">
        <v>7.0000000000000007E-2</v>
      </c>
      <c r="H20" s="208">
        <v>0.09</v>
      </c>
      <c r="I20" s="208">
        <v>0.08</v>
      </c>
      <c r="J20" s="188">
        <f>IS!BE110/IS!BE109</f>
        <v>7.3753040291998861E-2</v>
      </c>
      <c r="K20" s="208">
        <v>0.08</v>
      </c>
      <c r="L20" s="208">
        <v>0.08</v>
      </c>
      <c r="M20" s="208">
        <v>0.08</v>
      </c>
      <c r="N20" s="208">
        <v>0.08</v>
      </c>
      <c r="O20" s="188">
        <v>0.08</v>
      </c>
      <c r="P20" s="188">
        <v>0.08</v>
      </c>
      <c r="Q20" s="188">
        <v>7.5999999999999998E-2</v>
      </c>
      <c r="R20" s="188">
        <v>7.5999999999999998E-2</v>
      </c>
    </row>
    <row r="21" spans="1:19" x14ac:dyDescent="0.25"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</row>
    <row r="22" spans="1:19" ht="16.5" x14ac:dyDescent="0.3">
      <c r="B22" s="14" t="s">
        <v>58</v>
      </c>
      <c r="C22" s="27">
        <v>2021</v>
      </c>
      <c r="D22" s="27">
        <v>2022</v>
      </c>
      <c r="E22" s="27">
        <v>2023</v>
      </c>
      <c r="F22" s="28">
        <v>45382</v>
      </c>
      <c r="G22" s="28">
        <v>45473</v>
      </c>
      <c r="H22" s="28">
        <v>45565</v>
      </c>
      <c r="I22" s="28">
        <v>45657</v>
      </c>
      <c r="J22" s="27">
        <v>2024</v>
      </c>
      <c r="K22" s="28">
        <v>45747</v>
      </c>
      <c r="L22" s="28">
        <v>45838</v>
      </c>
      <c r="M22" s="28">
        <v>45930</v>
      </c>
      <c r="N22" s="28">
        <v>46022</v>
      </c>
      <c r="O22" s="27">
        <v>2025</v>
      </c>
      <c r="P22" s="27">
        <v>2026</v>
      </c>
      <c r="Q22" s="27">
        <v>2027</v>
      </c>
      <c r="R22" s="27">
        <v>2028</v>
      </c>
    </row>
    <row r="23" spans="1:19" ht="16.5" x14ac:dyDescent="0.3">
      <c r="B23" s="7" t="s">
        <v>59</v>
      </c>
      <c r="C23" s="120">
        <f>IS!AP74</f>
        <v>0.57967485558360399</v>
      </c>
      <c r="D23" s="120">
        <f>IS!AU74</f>
        <v>0.56194660134673713</v>
      </c>
      <c r="E23" s="120">
        <f>IS!AZ74</f>
        <v>0.53017911044999433</v>
      </c>
      <c r="F23" s="121"/>
      <c r="G23" s="121"/>
      <c r="H23" s="121"/>
      <c r="I23" s="121"/>
      <c r="J23" s="121">
        <v>0.53</v>
      </c>
      <c r="K23" s="121"/>
      <c r="L23" s="121"/>
      <c r="M23" s="121"/>
      <c r="N23" s="121"/>
      <c r="O23" s="121">
        <v>0.52</v>
      </c>
      <c r="P23" s="121">
        <v>0.51</v>
      </c>
      <c r="Q23" s="121">
        <v>0.5</v>
      </c>
      <c r="R23" s="121">
        <v>0.49</v>
      </c>
    </row>
    <row r="24" spans="1:19" ht="16.5" hidden="1" x14ac:dyDescent="0.3">
      <c r="B24" s="4"/>
      <c r="C24" s="120"/>
      <c r="D24" s="120"/>
      <c r="E24" s="120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</row>
    <row r="25" spans="1:19" ht="16.5" x14ac:dyDescent="0.3">
      <c r="B25" s="4" t="s">
        <v>60</v>
      </c>
      <c r="C25" s="120">
        <f>IS!AP76</f>
        <v>0.15987118525739535</v>
      </c>
      <c r="D25" s="120">
        <f>IS!AU76</f>
        <v>0.16401126107283703</v>
      </c>
      <c r="E25" s="120">
        <f>IS!AZ76</f>
        <v>0.1576572109571405</v>
      </c>
      <c r="F25" s="121"/>
      <c r="G25" s="121"/>
      <c r="H25" s="121"/>
      <c r="I25" s="121"/>
      <c r="J25" s="121">
        <v>0.154</v>
      </c>
      <c r="K25" s="121"/>
      <c r="L25" s="121"/>
      <c r="M25" s="121"/>
      <c r="N25" s="121"/>
      <c r="O25" s="121">
        <v>0.154</v>
      </c>
      <c r="P25" s="121">
        <v>0.15</v>
      </c>
      <c r="Q25" s="121">
        <v>0.15</v>
      </c>
      <c r="R25" s="121">
        <v>0.15</v>
      </c>
    </row>
    <row r="26" spans="1:19" ht="16.5" x14ac:dyDescent="0.3">
      <c r="B26" s="4" t="s">
        <v>61</v>
      </c>
      <c r="C26" s="120">
        <f>IS!AP77</f>
        <v>0.11930475797216818</v>
      </c>
      <c r="D26" s="120">
        <f>IS!AU77</f>
        <v>0.14244245432241923</v>
      </c>
      <c r="E26" s="120">
        <f>IS!AZ77</f>
        <v>0.14896352549214054</v>
      </c>
      <c r="F26" s="121"/>
      <c r="G26" s="121"/>
      <c r="H26" s="121"/>
      <c r="I26" s="121"/>
      <c r="J26" s="121">
        <v>0.13</v>
      </c>
      <c r="K26" s="121"/>
      <c r="L26" s="121"/>
      <c r="M26" s="121"/>
      <c r="N26" s="121"/>
      <c r="O26" s="121">
        <v>0.13</v>
      </c>
      <c r="P26" s="121">
        <v>0.13</v>
      </c>
      <c r="Q26" s="121">
        <v>0.14000000000000001</v>
      </c>
      <c r="R26" s="121">
        <v>0.15</v>
      </c>
    </row>
    <row r="27" spans="1:19" ht="16.5" x14ac:dyDescent="0.3">
      <c r="B27" s="4" t="s">
        <v>62</v>
      </c>
      <c r="C27" s="120">
        <f>IS!AP78</f>
        <v>6.9283686161993263E-2</v>
      </c>
      <c r="D27" s="120">
        <f>IS!AU78</f>
        <v>8.2177815219569517E-2</v>
      </c>
      <c r="E27" s="120">
        <f>IS!AZ78</f>
        <v>7.7194081265168718E-2</v>
      </c>
      <c r="F27" s="121"/>
      <c r="G27" s="121"/>
      <c r="H27" s="121"/>
      <c r="I27" s="121"/>
      <c r="J27" s="121">
        <v>7.0000000000000007E-2</v>
      </c>
      <c r="K27" s="121"/>
      <c r="L27" s="121"/>
      <c r="M27" s="121"/>
      <c r="N27" s="121"/>
      <c r="O27" s="121">
        <v>7.0000000000000007E-2</v>
      </c>
      <c r="P27" s="121">
        <v>0.08</v>
      </c>
      <c r="Q27" s="121">
        <v>0.08</v>
      </c>
      <c r="R27" s="121">
        <v>0.08</v>
      </c>
    </row>
    <row r="28" spans="1:19" ht="16.5" x14ac:dyDescent="0.3">
      <c r="B28" s="4" t="s">
        <v>63</v>
      </c>
      <c r="C28" s="120">
        <f>IS!AP79</f>
        <v>1.8779452643767215E-2</v>
      </c>
      <c r="D28" s="120">
        <f>IS!AU79</f>
        <v>2.3135006410717866E-2</v>
      </c>
      <c r="E28" s="120">
        <f>IS!AZ79</f>
        <v>2.0557251841993092E-2</v>
      </c>
      <c r="F28" s="121"/>
      <c r="G28" s="121"/>
      <c r="H28" s="121"/>
      <c r="I28" s="121"/>
      <c r="J28" s="121">
        <v>0.02</v>
      </c>
      <c r="K28" s="121"/>
      <c r="L28" s="121"/>
      <c r="M28" s="121"/>
      <c r="N28" s="121"/>
      <c r="O28" s="121">
        <v>0.02</v>
      </c>
      <c r="P28" s="121">
        <v>2.5000000000000001E-2</v>
      </c>
      <c r="Q28" s="121">
        <v>0.03</v>
      </c>
      <c r="R28" s="121">
        <v>0.03</v>
      </c>
    </row>
    <row r="29" spans="1:19" ht="16.5" x14ac:dyDescent="0.3">
      <c r="B29" s="4" t="s">
        <v>64</v>
      </c>
      <c r="C29" s="120">
        <f>IS!AP80</f>
        <v>1.3196487180251244E-4</v>
      </c>
      <c r="D29" s="120">
        <f>IS!AU80</f>
        <v>2.4572797154769712E-3</v>
      </c>
      <c r="E29" s="120">
        <f>IS!AZ80</f>
        <v>1.334411997529511E-3</v>
      </c>
      <c r="F29" s="121"/>
      <c r="G29" s="121"/>
      <c r="H29" s="121"/>
      <c r="I29" s="121"/>
      <c r="J29" s="121">
        <v>1E-3</v>
      </c>
      <c r="K29" s="121"/>
      <c r="L29" s="121"/>
      <c r="M29" s="121"/>
      <c r="N29" s="121"/>
      <c r="O29" s="121">
        <v>1E-3</v>
      </c>
      <c r="P29" s="121">
        <v>1E-3</v>
      </c>
      <c r="Q29" s="121">
        <v>1E-3</v>
      </c>
      <c r="R29" s="121">
        <v>1E-3</v>
      </c>
    </row>
    <row r="30" spans="1:19" ht="16.5" hidden="1" x14ac:dyDescent="0.3">
      <c r="B30" s="4"/>
      <c r="C30" s="120"/>
      <c r="D30" s="120"/>
      <c r="E30" s="120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</row>
    <row r="31" spans="1:19" ht="16.5" hidden="1" x14ac:dyDescent="0.3">
      <c r="B31" s="4"/>
      <c r="C31" s="120"/>
      <c r="D31" s="120"/>
      <c r="E31" s="120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</row>
    <row r="32" spans="1:19" ht="16.5" x14ac:dyDescent="0.3">
      <c r="B32" s="4" t="s">
        <v>65</v>
      </c>
      <c r="C32" s="120">
        <f>IS!AP83</f>
        <v>9.5355262205686412E-4</v>
      </c>
      <c r="D32" s="120">
        <f>IS!AU83</f>
        <v>1.9241881540829171E-3</v>
      </c>
      <c r="E32" s="120">
        <f>IS!AZ83</f>
        <v>5.1306140556903884E-3</v>
      </c>
      <c r="F32" s="121"/>
      <c r="G32" s="121"/>
      <c r="H32" s="121"/>
      <c r="I32" s="121"/>
      <c r="J32" s="121">
        <v>5.0000000000000001E-3</v>
      </c>
      <c r="K32" s="121"/>
      <c r="L32" s="121"/>
      <c r="M32" s="121"/>
      <c r="N32" s="121"/>
      <c r="O32" s="121">
        <v>5.0000000000000001E-3</v>
      </c>
      <c r="P32" s="121">
        <v>5.0000000000000001E-3</v>
      </c>
      <c r="Q32" s="121">
        <v>5.0000000000000001E-3</v>
      </c>
      <c r="R32" s="121">
        <v>5.0000000000000001E-3</v>
      </c>
      <c r="S32" t="s">
        <v>19</v>
      </c>
    </row>
    <row r="33" spans="2:22" ht="16.5" x14ac:dyDescent="0.3">
      <c r="B33" s="4" t="s">
        <v>66</v>
      </c>
      <c r="C33" s="120">
        <f>IS!AP84</f>
        <v>-3.8503944046894356E-3</v>
      </c>
      <c r="D33" s="120">
        <f>IS!AU84</f>
        <v>-4.6052106781741811E-3</v>
      </c>
      <c r="E33" s="120">
        <f>IS!AZ84</f>
        <v>-5.5359830197378151E-3</v>
      </c>
      <c r="F33" s="121"/>
      <c r="G33" s="121"/>
      <c r="H33" s="121"/>
      <c r="I33" s="121"/>
      <c r="J33" s="121">
        <v>-0.01</v>
      </c>
      <c r="K33" s="121"/>
      <c r="L33" s="121"/>
      <c r="M33" s="121"/>
      <c r="N33" s="121"/>
      <c r="O33" s="121">
        <v>-0.01</v>
      </c>
      <c r="P33" s="121">
        <v>-0.01</v>
      </c>
      <c r="Q33" s="121">
        <v>-0.01</v>
      </c>
      <c r="R33" s="121">
        <v>-0.01</v>
      </c>
    </row>
    <row r="34" spans="2:22" ht="16.5" x14ac:dyDescent="0.3">
      <c r="B34" s="4" t="s">
        <v>67</v>
      </c>
      <c r="C34" s="120">
        <f>IS!AP85</f>
        <v>3.1145838211067169E-2</v>
      </c>
      <c r="D34" s="120">
        <f>IS!AU85</f>
        <v>-3.2697579491928724E-2</v>
      </c>
      <c r="E34" s="120">
        <f>IS!AZ85</f>
        <v>1.6319145419591674E-3</v>
      </c>
      <c r="F34" s="121"/>
      <c r="G34" s="121"/>
      <c r="H34" s="121"/>
      <c r="I34" s="121"/>
      <c r="J34" s="121">
        <v>2E-3</v>
      </c>
      <c r="K34" s="121"/>
      <c r="L34" s="121"/>
      <c r="M34" s="121"/>
      <c r="N34" s="121"/>
      <c r="O34" s="121">
        <v>2E-3</v>
      </c>
      <c r="P34" s="121">
        <v>2E-3</v>
      </c>
      <c r="Q34" s="121">
        <v>2E-3</v>
      </c>
      <c r="R34" s="121">
        <v>2E-3</v>
      </c>
    </row>
    <row r="35" spans="2:22" ht="16.5" hidden="1" x14ac:dyDescent="0.3">
      <c r="B35" s="4"/>
      <c r="C35" s="120"/>
      <c r="D35" s="120"/>
      <c r="E35" s="120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</row>
    <row r="36" spans="2:22" ht="16.5" hidden="1" x14ac:dyDescent="0.3">
      <c r="B36" s="4"/>
      <c r="C36" s="120"/>
      <c r="D36" s="120"/>
      <c r="E36" s="120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</row>
    <row r="37" spans="2:22" ht="16.5" hidden="1" x14ac:dyDescent="0.3">
      <c r="B37" s="4"/>
      <c r="C37" s="120"/>
      <c r="D37" s="120"/>
      <c r="E37" s="120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</row>
    <row r="38" spans="2:22" ht="16.5" hidden="1" x14ac:dyDescent="0.3">
      <c r="B38" s="4"/>
      <c r="C38" s="120"/>
      <c r="D38" s="120"/>
      <c r="E38" s="120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</row>
    <row r="39" spans="2:22" ht="16.5" x14ac:dyDescent="0.3">
      <c r="B39" t="s">
        <v>68</v>
      </c>
      <c r="C39" s="120">
        <f>IS!AP90</f>
        <v>0.12557993237398757</v>
      </c>
      <c r="D39" s="120">
        <f>IS!AU90</f>
        <v>0.54194743935309975</v>
      </c>
      <c r="E39" s="120">
        <f>IS!AZ90</f>
        <v>0.18957850733551668</v>
      </c>
      <c r="F39" s="121"/>
      <c r="G39" s="121"/>
      <c r="H39" s="121"/>
      <c r="I39" s="121"/>
      <c r="J39" s="121">
        <v>0.21</v>
      </c>
      <c r="K39" s="121"/>
      <c r="L39" s="121"/>
      <c r="M39" s="121"/>
      <c r="N39" s="121"/>
      <c r="O39" s="121">
        <v>0.21</v>
      </c>
      <c r="P39" s="121">
        <v>0.21</v>
      </c>
      <c r="Q39" s="121">
        <v>0.21</v>
      </c>
      <c r="R39" s="121">
        <v>0.21</v>
      </c>
    </row>
    <row r="40" spans="2:22" ht="16.5" hidden="1" x14ac:dyDescent="0.3">
      <c r="C40" s="120"/>
      <c r="D40" s="120"/>
      <c r="E40" s="120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</row>
    <row r="41" spans="2:22" ht="16.5" x14ac:dyDescent="0.3">
      <c r="B41" t="s">
        <v>69</v>
      </c>
      <c r="C41" s="120">
        <f>CF!AP9/IS!AP15</f>
        <v>7.2997858763531723E-2</v>
      </c>
      <c r="D41" s="120">
        <f>CF!AU9/IS!AU15</f>
        <v>8.0666092069192952E-2</v>
      </c>
      <c r="E41" s="120">
        <f>CF!AZ9/IS!AZ15</f>
        <v>8.4662960933218512E-2</v>
      </c>
      <c r="F41" s="121"/>
      <c r="G41" s="121"/>
      <c r="H41" s="121"/>
      <c r="I41" s="121"/>
      <c r="J41" s="121">
        <v>0.09</v>
      </c>
      <c r="K41" s="121"/>
      <c r="L41" s="121"/>
      <c r="M41" s="121"/>
      <c r="N41" s="121"/>
      <c r="O41" s="121">
        <v>9.5000000000000001E-2</v>
      </c>
      <c r="P41" s="121">
        <v>0.1</v>
      </c>
      <c r="Q41" s="121">
        <v>0.105</v>
      </c>
      <c r="R41" s="121">
        <v>0.11</v>
      </c>
    </row>
    <row r="42" spans="2:22" ht="16.5" x14ac:dyDescent="0.3">
      <c r="B42" s="4" t="s">
        <v>70</v>
      </c>
      <c r="C42" s="120">
        <f>CF!AP22/IS!AP15</f>
        <v>-0.12994921480901278</v>
      </c>
      <c r="D42" s="120">
        <f>CF!AU22/IS!AU15</f>
        <v>-0.12382705264571008</v>
      </c>
      <c r="E42" s="120">
        <f>CF!AZ22/IS!AZ15</f>
        <v>-9.1736910322990334E-2</v>
      </c>
      <c r="F42" s="121"/>
      <c r="G42" s="121"/>
      <c r="H42" s="121"/>
      <c r="I42" s="121"/>
      <c r="J42" s="121">
        <v>-0.1</v>
      </c>
      <c r="K42" s="121"/>
      <c r="L42" s="121"/>
      <c r="M42" s="121"/>
      <c r="N42" s="121"/>
      <c r="O42" s="121">
        <v>-0.12</v>
      </c>
      <c r="P42" s="121">
        <v>-0.12</v>
      </c>
      <c r="Q42" s="121">
        <v>-0.12</v>
      </c>
      <c r="R42" s="121">
        <v>-0.12</v>
      </c>
      <c r="V42" s="159"/>
    </row>
    <row r="43" spans="2:22" ht="16.5" x14ac:dyDescent="0.3">
      <c r="C43" s="120"/>
      <c r="D43" s="120"/>
      <c r="E43" s="120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 t="s">
        <v>19</v>
      </c>
      <c r="R43" s="121"/>
    </row>
  </sheetData>
  <mergeCells count="2">
    <mergeCell ref="C3:E3"/>
    <mergeCell ref="F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23F2-603C-4454-BBAD-31A1F334C3C8}">
  <dimension ref="B1:N55"/>
  <sheetViews>
    <sheetView showGridLines="0" workbookViewId="0">
      <selection activeCell="A7" sqref="A7"/>
    </sheetView>
  </sheetViews>
  <sheetFormatPr defaultRowHeight="15" x14ac:dyDescent="0.25"/>
  <cols>
    <col min="2" max="2" width="37" bestFit="1" customWidth="1"/>
    <col min="3" max="3" width="12.5703125" style="123" customWidth="1"/>
    <col min="4" max="10" width="9.140625" style="123"/>
  </cols>
  <sheetData>
    <row r="1" spans="2:14" x14ac:dyDescent="0.25">
      <c r="B1" s="122" t="s">
        <v>10</v>
      </c>
      <c r="F1" s="123" t="s">
        <v>19</v>
      </c>
    </row>
    <row r="3" spans="2:14" ht="16.5" x14ac:dyDescent="0.3">
      <c r="B3" s="134" t="s">
        <v>0</v>
      </c>
      <c r="C3" s="124"/>
      <c r="D3" s="124" t="s">
        <v>0</v>
      </c>
      <c r="E3" s="124" t="s">
        <v>0</v>
      </c>
      <c r="F3" s="229" t="s">
        <v>11</v>
      </c>
      <c r="G3" s="124" t="s">
        <v>0</v>
      </c>
      <c r="H3" s="124" t="s">
        <v>0</v>
      </c>
      <c r="I3" s="124" t="s">
        <v>0</v>
      </c>
      <c r="J3" s="124" t="s">
        <v>0</v>
      </c>
    </row>
    <row r="4" spans="2:14" ht="16.5" x14ac:dyDescent="0.3">
      <c r="B4" s="1" t="s">
        <v>12</v>
      </c>
      <c r="C4" s="126">
        <v>2021</v>
      </c>
      <c r="D4" s="126">
        <v>2022</v>
      </c>
      <c r="E4" s="126">
        <v>2023</v>
      </c>
      <c r="F4" s="231" t="s">
        <v>13</v>
      </c>
      <c r="G4" s="235" t="s">
        <v>14</v>
      </c>
      <c r="H4" s="235" t="s">
        <v>15</v>
      </c>
      <c r="I4" s="235" t="s">
        <v>16</v>
      </c>
      <c r="J4" s="235" t="s">
        <v>17</v>
      </c>
    </row>
    <row r="5" spans="2:14" ht="16.5" x14ac:dyDescent="0.3">
      <c r="B5" s="108" t="s">
        <v>0</v>
      </c>
      <c r="C5" s="124"/>
      <c r="D5" s="124" t="s">
        <v>0</v>
      </c>
      <c r="E5" s="124" t="s">
        <v>0</v>
      </c>
      <c r="F5" s="124" t="s">
        <v>0</v>
      </c>
      <c r="G5" s="124" t="s">
        <v>0</v>
      </c>
      <c r="H5" s="124" t="s">
        <v>0</v>
      </c>
      <c r="I5" s="124" t="s">
        <v>0</v>
      </c>
      <c r="J5" s="124" t="s">
        <v>0</v>
      </c>
    </row>
    <row r="6" spans="2:14" ht="16.5" x14ac:dyDescent="0.3">
      <c r="B6" s="108" t="s">
        <v>18</v>
      </c>
      <c r="C6" s="127">
        <f>IS!AP15</f>
        <v>469822</v>
      </c>
      <c r="D6" s="127">
        <f>IS!AU15</f>
        <v>513983</v>
      </c>
      <c r="E6" s="127">
        <f>IS!AZ15</f>
        <v>574785</v>
      </c>
      <c r="F6" s="224">
        <f>IS!BE15</f>
        <v>638043.36872679216</v>
      </c>
      <c r="G6" s="224">
        <f>IS!BJ15</f>
        <v>701356.64277872129</v>
      </c>
      <c r="H6" s="224">
        <f>IS!BK15</f>
        <v>766881.77609459031</v>
      </c>
      <c r="I6" s="224">
        <f>IS!BL15</f>
        <v>839695.29613399704</v>
      </c>
      <c r="J6" s="224">
        <f>IS!BM15</f>
        <v>920707.79522990016</v>
      </c>
    </row>
    <row r="7" spans="2:14" ht="16.5" x14ac:dyDescent="0.3">
      <c r="B7" s="108" t="s">
        <v>71</v>
      </c>
      <c r="C7" s="127">
        <f>IS!AP16</f>
        <v>272344</v>
      </c>
      <c r="D7" s="127">
        <f>IS!AU16</f>
        <v>288831</v>
      </c>
      <c r="E7" s="127">
        <f>IS!AZ16</f>
        <v>304739</v>
      </c>
      <c r="F7" s="224">
        <f>IS!BE16</f>
        <v>326969.47542519978</v>
      </c>
      <c r="G7" s="224">
        <f>IS!BJ16</f>
        <v>364705.45424493513</v>
      </c>
      <c r="H7" s="224">
        <f>IS!BK16</f>
        <v>391109.70580824109</v>
      </c>
      <c r="I7" s="224">
        <f>IS!BL16</f>
        <v>419847.64806699852</v>
      </c>
      <c r="J7" s="224">
        <f>IS!BM16</f>
        <v>451146.81966265105</v>
      </c>
    </row>
    <row r="8" spans="2:14" ht="16.5" x14ac:dyDescent="0.3">
      <c r="B8" s="128" t="s">
        <v>20</v>
      </c>
      <c r="C8" s="129">
        <f t="shared" ref="C8:J8" si="0">C6-C7</f>
        <v>197478</v>
      </c>
      <c r="D8" s="129">
        <f t="shared" si="0"/>
        <v>225152</v>
      </c>
      <c r="E8" s="129">
        <f t="shared" si="0"/>
        <v>270046</v>
      </c>
      <c r="F8" s="225">
        <f t="shared" si="0"/>
        <v>311073.89330159238</v>
      </c>
      <c r="G8" s="225">
        <f t="shared" si="0"/>
        <v>336651.18853378616</v>
      </c>
      <c r="H8" s="225">
        <f t="shared" si="0"/>
        <v>375772.07028634922</v>
      </c>
      <c r="I8" s="225">
        <f t="shared" si="0"/>
        <v>419847.64806699852</v>
      </c>
      <c r="J8" s="225">
        <f t="shared" si="0"/>
        <v>469560.97556724912</v>
      </c>
    </row>
    <row r="9" spans="2:14" ht="16.5" x14ac:dyDescent="0.3">
      <c r="B9" s="108" t="s">
        <v>0</v>
      </c>
      <c r="C9" s="124"/>
      <c r="D9" s="124" t="s">
        <v>0</v>
      </c>
      <c r="E9" s="124" t="s">
        <v>0</v>
      </c>
      <c r="F9" s="226" t="s">
        <v>0</v>
      </c>
      <c r="G9" s="226"/>
      <c r="H9" s="226"/>
      <c r="I9" s="226"/>
      <c r="J9" s="226" t="s">
        <v>0</v>
      </c>
    </row>
    <row r="10" spans="2:14" ht="16.5" x14ac:dyDescent="0.3">
      <c r="B10" s="130" t="s">
        <v>72</v>
      </c>
      <c r="C10" s="131">
        <f>SUM(IS!AP18:AP22)</f>
        <v>172599</v>
      </c>
      <c r="D10" s="131">
        <f>SUM(IS!AU18:AU22)</f>
        <v>212904</v>
      </c>
      <c r="E10" s="131">
        <f>SUM(IS!AZ18:AZ22)</f>
        <v>233194</v>
      </c>
      <c r="F10" s="227">
        <f>SUM(IS!BE18:BE22)</f>
        <v>245835.63827254699</v>
      </c>
      <c r="G10" s="227">
        <f>SUM(IS!BJ18:BJ22)</f>
        <v>263008.74104202056</v>
      </c>
      <c r="H10" s="227">
        <f>SUM(IS!BK18:BK22)</f>
        <v>296016.36557251186</v>
      </c>
      <c r="I10" s="227">
        <f>SUM(IS!BL18:BL22)</f>
        <v>336717.8137497328</v>
      </c>
      <c r="J10" s="227">
        <f>SUM(IS!BM18:BM22)</f>
        <v>378410.90383948892</v>
      </c>
      <c r="N10" t="s">
        <v>19</v>
      </c>
    </row>
    <row r="11" spans="2:14" ht="16.5" x14ac:dyDescent="0.3">
      <c r="B11" s="128" t="s">
        <v>22</v>
      </c>
      <c r="C11" s="129">
        <f>C8-C10</f>
        <v>24879</v>
      </c>
      <c r="D11" s="129">
        <f>D8-D10</f>
        <v>12248</v>
      </c>
      <c r="E11" s="129">
        <f>E8-E10</f>
        <v>36852</v>
      </c>
      <c r="F11" s="225">
        <f t="shared" ref="F11:J11" si="1">F8-F10</f>
        <v>65238.255029045395</v>
      </c>
      <c r="G11" s="225">
        <f t="shared" si="1"/>
        <v>73642.447491765604</v>
      </c>
      <c r="H11" s="225">
        <f t="shared" si="1"/>
        <v>79755.70471383736</v>
      </c>
      <c r="I11" s="225">
        <f t="shared" si="1"/>
        <v>83129.834317265719</v>
      </c>
      <c r="J11" s="225">
        <f t="shared" si="1"/>
        <v>91150.071727760194</v>
      </c>
    </row>
    <row r="12" spans="2:14" ht="16.5" x14ac:dyDescent="0.3">
      <c r="B12" s="108" t="s">
        <v>0</v>
      </c>
      <c r="C12" s="124"/>
      <c r="D12" s="124" t="s">
        <v>0</v>
      </c>
      <c r="E12" s="124" t="s">
        <v>0</v>
      </c>
      <c r="F12" s="226" t="s">
        <v>0</v>
      </c>
      <c r="G12" s="226"/>
      <c r="H12" s="226"/>
      <c r="I12" s="226"/>
      <c r="J12" s="228"/>
    </row>
    <row r="13" spans="2:14" ht="16.5" x14ac:dyDescent="0.3">
      <c r="B13" s="130" t="s">
        <v>73</v>
      </c>
      <c r="C13" s="131">
        <f>-SUM(IS!AP25:AP27)</f>
        <v>-13272</v>
      </c>
      <c r="D13" s="131">
        <f>-SUM(IS!AU25:AU27)</f>
        <v>18184</v>
      </c>
      <c r="E13" s="131">
        <f>-SUM(IS!AZ25:AZ27)</f>
        <v>-705</v>
      </c>
      <c r="F13" s="227">
        <f>-SUM(IS!BE25:BE27)</f>
        <v>1688.6291061803759</v>
      </c>
      <c r="G13" s="227">
        <f>-SUM(IS!BJ25:BJ27)</f>
        <v>2104.0699283361641</v>
      </c>
      <c r="H13" s="227">
        <f>-SUM(IS!BK25:BK27)</f>
        <v>2300.6453282837711</v>
      </c>
      <c r="I13" s="227">
        <f>-SUM(IS!BL25:BL27)</f>
        <v>2519.0858884019908</v>
      </c>
      <c r="J13" s="227">
        <f>-SUM(IS!BM25:BM27)</f>
        <v>2762.1233856897006</v>
      </c>
    </row>
    <row r="14" spans="2:14" ht="16.5" x14ac:dyDescent="0.3">
      <c r="B14" s="108" t="s">
        <v>74</v>
      </c>
      <c r="C14" s="127">
        <f>-IS!AP29</f>
        <v>4791</v>
      </c>
      <c r="D14" s="127">
        <f>-IS!AU29</f>
        <v>-3217</v>
      </c>
      <c r="E14" s="127">
        <f>-IS!AZ29</f>
        <v>7120</v>
      </c>
      <c r="F14" s="224">
        <f>-IS!BE29</f>
        <v>10569.771443801621</v>
      </c>
      <c r="G14" s="224">
        <f>-IS!BJ29</f>
        <v>15023.059288320208</v>
      </c>
      <c r="H14" s="224">
        <f>-IS!BK29</f>
        <v>16265.562470966252</v>
      </c>
      <c r="I14" s="224">
        <f>-IS!BL29</f>
        <v>16928.257170061384</v>
      </c>
      <c r="J14" s="224">
        <f>-IS!BM29</f>
        <v>18561.469151834805</v>
      </c>
    </row>
    <row r="15" spans="2:14" ht="16.5" x14ac:dyDescent="0.3">
      <c r="B15" s="108" t="s">
        <v>75</v>
      </c>
      <c r="C15" s="127">
        <f>IS!AP30</f>
        <v>4</v>
      </c>
      <c r="D15" s="127">
        <f>IS!AU30</f>
        <v>-3</v>
      </c>
      <c r="E15" s="127">
        <f>IS!AZ30</f>
        <v>-12</v>
      </c>
      <c r="F15" s="224">
        <f>IS!BE30</f>
        <v>-81</v>
      </c>
      <c r="G15" s="224">
        <f>IS!BJ30</f>
        <v>0</v>
      </c>
      <c r="H15" s="224">
        <f>IS!BK30</f>
        <v>0</v>
      </c>
      <c r="I15" s="224">
        <f>IS!BL30</f>
        <v>0</v>
      </c>
      <c r="J15" s="224">
        <f>IS!BM30</f>
        <v>0</v>
      </c>
    </row>
    <row r="16" spans="2:14" ht="16.5" x14ac:dyDescent="0.3">
      <c r="B16" s="128" t="s">
        <v>23</v>
      </c>
      <c r="C16" s="129">
        <f>C11-C13-C14+C15</f>
        <v>33364</v>
      </c>
      <c r="D16" s="129">
        <f>D11-D13-D14+D15</f>
        <v>-2722</v>
      </c>
      <c r="E16" s="129">
        <f>E11-E13-E14+E15</f>
        <v>30425</v>
      </c>
      <c r="F16" s="225">
        <f t="shared" ref="F16:J16" si="2">F11-F13-F14+F15</f>
        <v>52898.854479063397</v>
      </c>
      <c r="G16" s="225">
        <f t="shared" si="2"/>
        <v>56515.318275109239</v>
      </c>
      <c r="H16" s="225">
        <f t="shared" si="2"/>
        <v>61189.496914587333</v>
      </c>
      <c r="I16" s="225">
        <f t="shared" si="2"/>
        <v>63682.491258802351</v>
      </c>
      <c r="J16" s="225">
        <f t="shared" si="2"/>
        <v>69826.479190235696</v>
      </c>
    </row>
    <row r="17" spans="2:12" ht="16.5" x14ac:dyDescent="0.3">
      <c r="B17" s="108" t="s">
        <v>0</v>
      </c>
      <c r="C17" s="124"/>
      <c r="D17" s="124" t="s">
        <v>0</v>
      </c>
      <c r="E17" s="124" t="s">
        <v>0</v>
      </c>
      <c r="F17" s="226" t="s">
        <v>0</v>
      </c>
      <c r="G17" s="226" t="s">
        <v>0</v>
      </c>
      <c r="H17" s="226" t="s">
        <v>0</v>
      </c>
      <c r="I17" s="226" t="s">
        <v>0</v>
      </c>
      <c r="J17" s="226" t="s">
        <v>0</v>
      </c>
    </row>
    <row r="18" spans="2:12" ht="16.5" x14ac:dyDescent="0.3">
      <c r="B18" s="130" t="s">
        <v>76</v>
      </c>
      <c r="C18" s="131">
        <f>IS!AP36</f>
        <v>10296</v>
      </c>
      <c r="D18" s="131">
        <f>IS!AU36</f>
        <v>10189</v>
      </c>
      <c r="E18" s="131">
        <f>IS!AZ36</f>
        <v>10492</v>
      </c>
      <c r="F18" s="227">
        <f>IS!BE36</f>
        <v>10718.25</v>
      </c>
      <c r="G18" s="227">
        <f>IS!BJ36</f>
        <v>10835</v>
      </c>
      <c r="H18" s="227">
        <f>IS!BK36</f>
        <v>10955</v>
      </c>
      <c r="I18" s="227">
        <f>IS!BL36</f>
        <v>11075</v>
      </c>
      <c r="J18" s="227">
        <f>IS!BM36</f>
        <v>11195</v>
      </c>
    </row>
    <row r="19" spans="2:12" ht="16.5" x14ac:dyDescent="0.3">
      <c r="B19" s="128" t="s">
        <v>77</v>
      </c>
      <c r="C19" s="149">
        <f>C16/C18</f>
        <v>3.2404817404817403</v>
      </c>
      <c r="D19" s="149">
        <f>D16/D18</f>
        <v>-0.2671508489547551</v>
      </c>
      <c r="E19" s="149">
        <f>E16/E18</f>
        <v>2.8998284407167367</v>
      </c>
      <c r="F19" s="228">
        <f t="shared" ref="F19:J19" si="3">F16/F18</f>
        <v>4.9354003199275436</v>
      </c>
      <c r="G19" s="228">
        <f t="shared" si="3"/>
        <v>5.2159961490640736</v>
      </c>
      <c r="H19" s="228">
        <f t="shared" si="3"/>
        <v>5.5855314390312492</v>
      </c>
      <c r="I19" s="228">
        <f t="shared" si="3"/>
        <v>5.7501120775442303</v>
      </c>
      <c r="J19" s="228">
        <f t="shared" si="3"/>
        <v>6.2372915757244929</v>
      </c>
    </row>
    <row r="20" spans="2:12" ht="16.5" x14ac:dyDescent="0.3">
      <c r="B20" s="108" t="s">
        <v>0</v>
      </c>
      <c r="C20" s="124"/>
      <c r="D20" s="124" t="s">
        <v>0</v>
      </c>
      <c r="E20" s="124" t="s">
        <v>0</v>
      </c>
      <c r="F20" s="226" t="s">
        <v>0</v>
      </c>
      <c r="G20" s="226" t="s">
        <v>0</v>
      </c>
      <c r="H20" s="226" t="s">
        <v>0</v>
      </c>
      <c r="I20" s="226" t="s">
        <v>0</v>
      </c>
      <c r="J20" s="226" t="s">
        <v>0</v>
      </c>
    </row>
    <row r="21" spans="2:12" ht="16.5" x14ac:dyDescent="0.3">
      <c r="B21" s="134" t="s">
        <v>0</v>
      </c>
      <c r="C21" s="135"/>
      <c r="D21" s="135" t="s">
        <v>0</v>
      </c>
      <c r="E21" s="135" t="s">
        <v>0</v>
      </c>
      <c r="F21" s="229" t="s">
        <v>11</v>
      </c>
      <c r="G21" s="230" t="s">
        <v>0</v>
      </c>
      <c r="H21" s="230" t="s">
        <v>0</v>
      </c>
      <c r="I21" s="230" t="s">
        <v>0</v>
      </c>
      <c r="J21" s="230" t="s">
        <v>0</v>
      </c>
    </row>
    <row r="22" spans="2:12" ht="16.5" x14ac:dyDescent="0.3">
      <c r="B22" s="1" t="s">
        <v>78</v>
      </c>
      <c r="C22" s="133">
        <v>2021</v>
      </c>
      <c r="D22" s="133">
        <v>2022</v>
      </c>
      <c r="E22" s="133">
        <v>2023</v>
      </c>
      <c r="F22" s="231" t="s">
        <v>13</v>
      </c>
      <c r="G22" s="231" t="s">
        <v>14</v>
      </c>
      <c r="H22" s="231" t="s">
        <v>15</v>
      </c>
      <c r="I22" s="231" t="s">
        <v>16</v>
      </c>
      <c r="J22" s="231" t="s">
        <v>17</v>
      </c>
    </row>
    <row r="23" spans="2:12" ht="16.5" x14ac:dyDescent="0.3">
      <c r="B23" s="108" t="s">
        <v>0</v>
      </c>
      <c r="C23" s="124"/>
      <c r="D23" s="124" t="s">
        <v>0</v>
      </c>
      <c r="E23" s="124" t="s">
        <v>0</v>
      </c>
      <c r="F23" s="226" t="s">
        <v>0</v>
      </c>
      <c r="G23" s="226" t="s">
        <v>0</v>
      </c>
      <c r="H23" s="226" t="s">
        <v>0</v>
      </c>
      <c r="I23" s="226" t="s">
        <v>0</v>
      </c>
      <c r="J23" s="226" t="s">
        <v>0</v>
      </c>
      <c r="L23" s="4"/>
    </row>
    <row r="24" spans="2:12" ht="16.5" x14ac:dyDescent="0.3">
      <c r="B24" s="4" t="s">
        <v>79</v>
      </c>
      <c r="C24" s="127">
        <f>BS!AP8+BS!AP9</f>
        <v>96049</v>
      </c>
      <c r="D24" s="127">
        <f>BS!AU8+BS!AU9</f>
        <v>70026</v>
      </c>
      <c r="E24" s="127">
        <f>BS!AZ8+BS!AZ9</f>
        <v>86780</v>
      </c>
      <c r="F24" s="224">
        <f>BS!BE8+BS!BE9</f>
        <v>99206.958277005295</v>
      </c>
      <c r="G24" s="224">
        <f>BS!BJ8+BS!BJ9</f>
        <v>134795.19121839374</v>
      </c>
      <c r="H24" s="224">
        <f>BS!BK8+BS!BK9</f>
        <v>178919.60208387175</v>
      </c>
      <c r="I24" s="224">
        <f>BS!BL8+BS!BL9</f>
        <v>225059.43111683079</v>
      </c>
      <c r="J24" s="224">
        <f>BS!BM8+BS!BM9</f>
        <v>277519.37727056083</v>
      </c>
      <c r="L24" s="4"/>
    </row>
    <row r="25" spans="2:12" ht="16.5" x14ac:dyDescent="0.3">
      <c r="B25" s="4" t="s">
        <v>80</v>
      </c>
      <c r="C25" s="127">
        <f>BS!AP10</f>
        <v>32640</v>
      </c>
      <c r="D25" s="127">
        <f>BS!AU10</f>
        <v>34405</v>
      </c>
      <c r="E25" s="127">
        <f>BS!AZ10</f>
        <v>33318</v>
      </c>
      <c r="F25" s="224">
        <f>BS!BE10</f>
        <v>37041.678</v>
      </c>
      <c r="G25" s="224">
        <f>BS!BJ10</f>
        <v>40252.57060781039</v>
      </c>
      <c r="H25" s="224">
        <f>BS!BK10</f>
        <v>41057.622019966599</v>
      </c>
      <c r="I25" s="224">
        <f>BS!BL10</f>
        <v>41878.77446036593</v>
      </c>
      <c r="J25" s="224">
        <f>BS!BM10</f>
        <v>42716.349949573247</v>
      </c>
      <c r="L25" s="4"/>
    </row>
    <row r="26" spans="2:12" ht="16.5" x14ac:dyDescent="0.3">
      <c r="B26" s="4" t="s">
        <v>81</v>
      </c>
      <c r="C26" s="127">
        <f>BS!AP11</f>
        <v>32891</v>
      </c>
      <c r="D26" s="127">
        <f>BS!AU11</f>
        <v>42360</v>
      </c>
      <c r="E26" s="127">
        <f>BS!AZ11</f>
        <v>52253</v>
      </c>
      <c r="F26" s="224">
        <f>BS!BE11</f>
        <v>62142.800875172732</v>
      </c>
      <c r="G26" s="224">
        <f>BS!BJ11</f>
        <v>73904.420810505995</v>
      </c>
      <c r="H26" s="224">
        <f>BS!BK11</f>
        <v>87892.134541983163</v>
      </c>
      <c r="I26" s="224">
        <f>BS!BL11</f>
        <v>104527.26954120054</v>
      </c>
      <c r="J26" s="224">
        <f>BS!BM11</f>
        <v>124310.89692695795</v>
      </c>
      <c r="L26" s="4"/>
    </row>
    <row r="27" spans="2:12" ht="16.5" x14ac:dyDescent="0.3">
      <c r="B27" s="4" t="s">
        <v>82</v>
      </c>
      <c r="C27" s="127">
        <f>BS!AP14</f>
        <v>160281</v>
      </c>
      <c r="D27" s="127">
        <f>BS!AU14</f>
        <v>186715</v>
      </c>
      <c r="E27" s="127">
        <f>BS!AZ14</f>
        <v>204177</v>
      </c>
      <c r="F27" s="224">
        <f>BS!BE14</f>
        <v>239987.7446906564</v>
      </c>
      <c r="G27" s="224">
        <f>BS!BJ14</f>
        <v>260543.15450943622</v>
      </c>
      <c r="H27" s="224">
        <f>BS!BK14</f>
        <v>269876.332546146</v>
      </c>
      <c r="I27" s="224">
        <f>BS!BL14</f>
        <v>275866.85875445569</v>
      </c>
      <c r="J27" s="224">
        <f>BS!BM14</f>
        <v>277808.54314968444</v>
      </c>
      <c r="L27" s="4"/>
    </row>
    <row r="28" spans="2:12" ht="16.5" x14ac:dyDescent="0.3">
      <c r="B28" s="4" t="s">
        <v>83</v>
      </c>
      <c r="C28" s="127">
        <f>BS!AP15</f>
        <v>56082</v>
      </c>
      <c r="D28" s="127">
        <f>BS!AU15</f>
        <v>66123</v>
      </c>
      <c r="E28" s="127">
        <f>BS!AZ15</f>
        <v>72513</v>
      </c>
      <c r="F28" s="224">
        <f>BS!BE15</f>
        <v>78425.08763673366</v>
      </c>
      <c r="G28" s="224">
        <f>BS!BJ15</f>
        <v>84819.196155576996</v>
      </c>
      <c r="H28" s="224">
        <f>BS!BK15</f>
        <v>91734.625402044156</v>
      </c>
      <c r="I28" s="224">
        <f>BS!BL15</f>
        <v>99213.879393739684</v>
      </c>
      <c r="J28" s="224">
        <f>BS!BM15</f>
        <v>107302.92756104916</v>
      </c>
      <c r="L28" s="4"/>
    </row>
    <row r="29" spans="2:12" ht="16.5" x14ac:dyDescent="0.3">
      <c r="B29" s="4" t="s">
        <v>84</v>
      </c>
      <c r="C29" s="127">
        <f>BS!AP16</f>
        <v>15371</v>
      </c>
      <c r="D29" s="127">
        <f>BS!AU16</f>
        <v>20288</v>
      </c>
      <c r="E29" s="127">
        <f>BS!AZ16</f>
        <v>22789</v>
      </c>
      <c r="F29" s="224">
        <f>BS!BE16</f>
        <v>22910</v>
      </c>
      <c r="G29" s="224">
        <f>BS!BJ16</f>
        <v>22943.777777777777</v>
      </c>
      <c r="H29" s="224">
        <f>BS!BK16</f>
        <v>22940.962962962964</v>
      </c>
      <c r="I29" s="224">
        <f>BS!BL16</f>
        <v>22942.839506172837</v>
      </c>
      <c r="J29" s="224">
        <f>BS!BM16</f>
        <v>22942.526748971195</v>
      </c>
      <c r="L29" s="4"/>
    </row>
    <row r="30" spans="2:12" ht="16.5" x14ac:dyDescent="0.3">
      <c r="B30" s="4" t="s">
        <v>85</v>
      </c>
      <c r="C30" s="127">
        <f>BS!AP17</f>
        <v>27235</v>
      </c>
      <c r="D30" s="127">
        <f>BS!AU17</f>
        <v>42758</v>
      </c>
      <c r="E30" s="127">
        <f>BS!AZ17</f>
        <v>56024</v>
      </c>
      <c r="F30" s="224">
        <f>BS!BE17</f>
        <v>74101.152152542054</v>
      </c>
      <c r="G30" s="224">
        <f>BS!BJ17</f>
        <v>80026.03522170207</v>
      </c>
      <c r="H30" s="224">
        <f>BS!BK17</f>
        <v>86424.652347128242</v>
      </c>
      <c r="I30" s="224">
        <f>BS!BL17</f>
        <v>93334.881737292657</v>
      </c>
      <c r="J30" s="224">
        <f>BS!BM17</f>
        <v>100797.63021695131</v>
      </c>
      <c r="L30" s="4"/>
    </row>
    <row r="31" spans="2:12" ht="16.5" x14ac:dyDescent="0.3">
      <c r="B31" s="128" t="s">
        <v>86</v>
      </c>
      <c r="C31" s="129">
        <f>SUM(C24:C30)</f>
        <v>420549</v>
      </c>
      <c r="D31" s="129">
        <f>SUM(D24:D30)</f>
        <v>462675</v>
      </c>
      <c r="E31" s="129">
        <f>SUM(E24:E30)</f>
        <v>527854</v>
      </c>
      <c r="F31" s="225">
        <f>SUM(F24:F30)</f>
        <v>613815.42163211014</v>
      </c>
      <c r="G31" s="225">
        <f>SUM(G24:G30)</f>
        <v>697284.34630120313</v>
      </c>
      <c r="H31" s="225">
        <f t="shared" ref="H31:J31" si="4">SUM(H24:H30)</f>
        <v>778845.93190410291</v>
      </c>
      <c r="I31" s="225">
        <f t="shared" si="4"/>
        <v>862823.93451005814</v>
      </c>
      <c r="J31" s="225">
        <f t="shared" si="4"/>
        <v>953398.251823748</v>
      </c>
    </row>
    <row r="32" spans="2:12" ht="16.5" x14ac:dyDescent="0.3">
      <c r="B32" s="108" t="s">
        <v>0</v>
      </c>
      <c r="C32" s="124"/>
      <c r="D32" s="124"/>
      <c r="E32" s="124"/>
      <c r="F32" s="226" t="s">
        <v>0</v>
      </c>
      <c r="G32" s="226" t="s">
        <v>0</v>
      </c>
      <c r="H32" s="226"/>
      <c r="I32" s="226"/>
      <c r="J32" s="226" t="s">
        <v>0</v>
      </c>
    </row>
    <row r="33" spans="2:12" ht="16.5" x14ac:dyDescent="0.3">
      <c r="B33" s="130" t="s">
        <v>87</v>
      </c>
      <c r="C33" s="131">
        <f>BS!AP22</f>
        <v>78664</v>
      </c>
      <c r="D33" s="131">
        <f>BS!AU22</f>
        <v>79600</v>
      </c>
      <c r="E33" s="131">
        <f>BS!AZ22</f>
        <v>84981</v>
      </c>
      <c r="F33" s="227">
        <f>BS!BE22</f>
        <v>87415.633670264113</v>
      </c>
      <c r="G33" s="227">
        <f>BS!BJ22</f>
        <v>89850.267340528226</v>
      </c>
      <c r="H33" s="227">
        <f>BS!BK22</f>
        <v>92284.901010792339</v>
      </c>
      <c r="I33" s="227">
        <f>BS!BL22</f>
        <v>94719.534681056452</v>
      </c>
      <c r="J33" s="227">
        <f>BS!BM22</f>
        <v>97154.168351320564</v>
      </c>
      <c r="L33" s="4"/>
    </row>
    <row r="34" spans="2:12" ht="16.5" x14ac:dyDescent="0.3">
      <c r="B34" s="108" t="s">
        <v>88</v>
      </c>
      <c r="C34" s="127">
        <f>BS!AP23</f>
        <v>51775</v>
      </c>
      <c r="D34" s="127">
        <f>BS!AU23</f>
        <v>62566</v>
      </c>
      <c r="E34" s="127">
        <f>BS!AZ23</f>
        <v>64709</v>
      </c>
      <c r="F34" s="224">
        <f>BS!BE23</f>
        <v>66499</v>
      </c>
      <c r="G34" s="224">
        <f>BS!BJ23</f>
        <v>68289</v>
      </c>
      <c r="H34" s="224">
        <f>BS!BK23</f>
        <v>70079</v>
      </c>
      <c r="I34" s="224">
        <f>BS!BL23</f>
        <v>71869</v>
      </c>
      <c r="J34" s="224">
        <f>BS!BM23</f>
        <v>73659</v>
      </c>
      <c r="L34" s="4"/>
    </row>
    <row r="35" spans="2:12" ht="16.5" x14ac:dyDescent="0.3">
      <c r="B35" s="108" t="s">
        <v>89</v>
      </c>
      <c r="C35" s="127">
        <f>BS!AP24</f>
        <v>11827</v>
      </c>
      <c r="D35" s="127">
        <f>BS!AU24</f>
        <v>13227</v>
      </c>
      <c r="E35" s="127">
        <f>BS!AZ24</f>
        <v>15227</v>
      </c>
      <c r="F35" s="224">
        <f>BS!BE24</f>
        <v>17134</v>
      </c>
      <c r="G35" s="224">
        <f>BS!BJ24</f>
        <v>19041</v>
      </c>
      <c r="H35" s="224">
        <f>BS!BK24</f>
        <v>20948</v>
      </c>
      <c r="I35" s="224">
        <f>BS!BL24</f>
        <v>22855</v>
      </c>
      <c r="J35" s="224">
        <f>BS!BM24</f>
        <v>24762</v>
      </c>
      <c r="L35" s="4"/>
    </row>
    <row r="36" spans="2:12" ht="16.5" x14ac:dyDescent="0.3">
      <c r="B36" t="s">
        <v>90</v>
      </c>
      <c r="C36" s="150">
        <f>BS!AP27</f>
        <v>67651</v>
      </c>
      <c r="D36" s="150">
        <f>BS!AU27</f>
        <v>72968</v>
      </c>
      <c r="E36" s="150">
        <f>BS!AZ27</f>
        <v>77297</v>
      </c>
      <c r="F36" s="232">
        <f>BS!BE27</f>
        <v>81208</v>
      </c>
      <c r="G36" s="232">
        <f>BS!BJ27</f>
        <v>85119</v>
      </c>
      <c r="H36" s="232">
        <f>BS!BK27</f>
        <v>89030</v>
      </c>
      <c r="I36" s="232">
        <f>BS!BL27</f>
        <v>92941</v>
      </c>
      <c r="J36" s="232">
        <f>BS!BM27</f>
        <v>96852</v>
      </c>
      <c r="L36" s="4"/>
    </row>
    <row r="37" spans="2:12" ht="16.5" x14ac:dyDescent="0.3">
      <c r="B37" t="s">
        <v>91</v>
      </c>
      <c r="C37" s="150">
        <f>BS!AP28</f>
        <v>48744</v>
      </c>
      <c r="D37" s="150">
        <f>BS!AU28</f>
        <v>67150</v>
      </c>
      <c r="E37" s="150">
        <f>BS!AZ28</f>
        <v>58314</v>
      </c>
      <c r="F37" s="232">
        <f>BS!BE28</f>
        <v>56954.600149449492</v>
      </c>
      <c r="G37" s="232">
        <f>BS!BJ28</f>
        <v>66019.33007481508</v>
      </c>
      <c r="H37" s="232">
        <f>BS!BK28</f>
        <v>68502.542294509345</v>
      </c>
      <c r="I37" s="232">
        <f>BS!BL28</f>
        <v>71079.156596912595</v>
      </c>
      <c r="J37" s="232">
        <f>BS!BM28</f>
        <v>73752.686152983457</v>
      </c>
      <c r="L37" s="4"/>
    </row>
    <row r="38" spans="2:12" ht="16.5" x14ac:dyDescent="0.3">
      <c r="B38" t="s">
        <v>92</v>
      </c>
      <c r="C38" s="150">
        <f>BS!AP29</f>
        <v>23643</v>
      </c>
      <c r="D38" s="150">
        <f>BS!AU29</f>
        <v>21121</v>
      </c>
      <c r="E38" s="150">
        <f>BS!AZ29</f>
        <v>25451</v>
      </c>
      <c r="F38" s="232">
        <f>BS!BE29</f>
        <v>33050</v>
      </c>
      <c r="G38" s="232">
        <f>BS!BJ29</f>
        <v>40649</v>
      </c>
      <c r="H38" s="232">
        <f>BS!BK29</f>
        <v>48248</v>
      </c>
      <c r="I38" s="232">
        <f>BS!BL29</f>
        <v>55847</v>
      </c>
      <c r="J38" s="232">
        <f>BS!BM29</f>
        <v>63446</v>
      </c>
      <c r="L38" s="4"/>
    </row>
    <row r="39" spans="2:12" ht="16.5" x14ac:dyDescent="0.3">
      <c r="B39" s="128" t="s">
        <v>93</v>
      </c>
      <c r="C39" s="129">
        <f>SUM(C33:C38)</f>
        <v>282304</v>
      </c>
      <c r="D39" s="129">
        <f>SUM(D33:D38)</f>
        <v>316632</v>
      </c>
      <c r="E39" s="129">
        <f>SUM(E33:E38)</f>
        <v>325979</v>
      </c>
      <c r="F39" s="225">
        <f>SUM(F33:F38)</f>
        <v>342261.23381971358</v>
      </c>
      <c r="G39" s="225">
        <f>SUM(G33:G38)</f>
        <v>368967.59741534328</v>
      </c>
      <c r="H39" s="225">
        <f t="shared" ref="H39:J39" si="5">SUM(H33:H38)</f>
        <v>389092.44330530171</v>
      </c>
      <c r="I39" s="225">
        <f t="shared" si="5"/>
        <v>409310.69127796905</v>
      </c>
      <c r="J39" s="225">
        <f t="shared" si="5"/>
        <v>429625.85450430401</v>
      </c>
    </row>
    <row r="40" spans="2:12" ht="16.5" x14ac:dyDescent="0.3">
      <c r="B40" s="108" t="s">
        <v>0</v>
      </c>
      <c r="C40" s="124"/>
      <c r="D40" s="124"/>
      <c r="E40" s="124"/>
      <c r="F40" s="226"/>
      <c r="G40" s="226"/>
      <c r="H40" s="226"/>
      <c r="I40" s="226"/>
      <c r="J40" s="226"/>
    </row>
    <row r="41" spans="2:12" ht="16.5" x14ac:dyDescent="0.3">
      <c r="B41" s="130" t="s">
        <v>94</v>
      </c>
      <c r="C41" s="131">
        <f>BS!AP40</f>
        <v>138245</v>
      </c>
      <c r="D41" s="131">
        <f>BS!AU40</f>
        <v>146043</v>
      </c>
      <c r="E41" s="131">
        <f>BS!AZ40</f>
        <v>201875</v>
      </c>
      <c r="F41" s="227">
        <f>BS!BE40</f>
        <v>271554.18781239656</v>
      </c>
      <c r="G41" s="227">
        <f>BS!BJ40</f>
        <v>328316.74888585985</v>
      </c>
      <c r="H41" s="227">
        <f>BS!BK40</f>
        <v>389753.48859880114</v>
      </c>
      <c r="I41" s="227">
        <f>BS!BL40</f>
        <v>453513.24323208909</v>
      </c>
      <c r="J41" s="227">
        <f>BS!BM40</f>
        <v>523772.39731944411</v>
      </c>
    </row>
    <row r="42" spans="2:12" ht="16.5" x14ac:dyDescent="0.3">
      <c r="B42" s="128" t="s">
        <v>95</v>
      </c>
      <c r="C42" s="129">
        <f>C41</f>
        <v>138245</v>
      </c>
      <c r="D42" s="129">
        <f>D41</f>
        <v>146043</v>
      </c>
      <c r="E42" s="129">
        <f>E41</f>
        <v>201875</v>
      </c>
      <c r="F42" s="225">
        <f>F41</f>
        <v>271554.18781239656</v>
      </c>
      <c r="G42" s="225">
        <f>G41</f>
        <v>328316.74888585985</v>
      </c>
      <c r="H42" s="225">
        <f t="shared" ref="H42:J42" si="6">H41</f>
        <v>389753.48859880114</v>
      </c>
      <c r="I42" s="225">
        <f t="shared" si="6"/>
        <v>453513.24323208909</v>
      </c>
      <c r="J42" s="225">
        <f t="shared" si="6"/>
        <v>523772.39731944411</v>
      </c>
    </row>
    <row r="43" spans="2:12" x14ac:dyDescent="0.25">
      <c r="F43" s="233"/>
      <c r="G43" s="233"/>
      <c r="H43" s="233"/>
      <c r="I43" s="233"/>
      <c r="J43" s="233"/>
    </row>
    <row r="44" spans="2:12" ht="16.5" x14ac:dyDescent="0.3">
      <c r="B44" s="134" t="s">
        <v>0</v>
      </c>
      <c r="C44" s="135" t="s">
        <v>0</v>
      </c>
      <c r="D44" s="135" t="s">
        <v>0</v>
      </c>
      <c r="E44" s="135" t="s">
        <v>0</v>
      </c>
      <c r="F44" s="229" t="s">
        <v>11</v>
      </c>
      <c r="G44" s="230" t="s">
        <v>0</v>
      </c>
      <c r="H44" s="230" t="s">
        <v>0</v>
      </c>
      <c r="I44" s="230" t="s">
        <v>0</v>
      </c>
      <c r="J44" s="230" t="s">
        <v>0</v>
      </c>
    </row>
    <row r="45" spans="2:12" ht="16.5" x14ac:dyDescent="0.3">
      <c r="B45" s="1" t="s">
        <v>96</v>
      </c>
      <c r="C45" s="133">
        <v>2021</v>
      </c>
      <c r="D45" s="133">
        <v>2022</v>
      </c>
      <c r="E45" s="133">
        <v>2023</v>
      </c>
      <c r="F45" s="231" t="s">
        <v>13</v>
      </c>
      <c r="G45" s="231" t="s">
        <v>14</v>
      </c>
      <c r="H45" s="231" t="s">
        <v>15</v>
      </c>
      <c r="I45" s="231" t="s">
        <v>16</v>
      </c>
      <c r="J45" s="231" t="s">
        <v>17</v>
      </c>
    </row>
    <row r="46" spans="2:12" x14ac:dyDescent="0.25">
      <c r="F46" s="233"/>
      <c r="G46" s="233"/>
      <c r="H46" s="233"/>
      <c r="I46" s="233"/>
      <c r="J46" s="233"/>
    </row>
    <row r="47" spans="2:12" ht="16.5" x14ac:dyDescent="0.3">
      <c r="B47" s="128" t="s">
        <v>97</v>
      </c>
      <c r="C47" s="129">
        <f>CF!AP20</f>
        <v>46327</v>
      </c>
      <c r="D47" s="129">
        <f>CF!AU20</f>
        <v>46752</v>
      </c>
      <c r="E47" s="129">
        <f>CF!AZ20</f>
        <v>84946</v>
      </c>
      <c r="F47" s="225">
        <f>CF!BE20</f>
        <v>101506.73121239249</v>
      </c>
      <c r="G47" s="225">
        <f>CF!BJ20</f>
        <v>121557.90000785976</v>
      </c>
      <c r="H47" s="225">
        <f>CF!BK20</f>
        <v>142658.14353844064</v>
      </c>
      <c r="I47" s="225">
        <f>CF!BL20</f>
        <v>151772.96014811983</v>
      </c>
      <c r="J47" s="225">
        <f>CF!BM20</f>
        <v>165747.83130004851</v>
      </c>
    </row>
    <row r="48" spans="2:12" ht="16.5" x14ac:dyDescent="0.3">
      <c r="B48" s="128" t="s">
        <v>98</v>
      </c>
      <c r="C48" s="129">
        <f>CF!AP27</f>
        <v>-58154</v>
      </c>
      <c r="D48" s="129">
        <f>CF!AU27</f>
        <v>-37601</v>
      </c>
      <c r="E48" s="129">
        <f>CF!AZ27</f>
        <v>-49833</v>
      </c>
      <c r="F48" s="225">
        <f>CF!BE27</f>
        <v>-71440.031429822731</v>
      </c>
      <c r="G48" s="225">
        <f>CF!BJ27</f>
        <v>-81398.931146304429</v>
      </c>
      <c r="H48" s="225">
        <f>CF!BK27</f>
        <v>-88985.560545494503</v>
      </c>
      <c r="I48" s="225">
        <f>CF!BL27</f>
        <v>-97419.157691637665</v>
      </c>
      <c r="J48" s="225">
        <f>CF!BM27</f>
        <v>-106806.22979870185</v>
      </c>
    </row>
    <row r="49" spans="2:10" ht="16.5" x14ac:dyDescent="0.3">
      <c r="B49" s="128" t="s">
        <v>99</v>
      </c>
      <c r="C49" s="129">
        <f>CF!AP36</f>
        <v>6291</v>
      </c>
      <c r="D49" s="129">
        <f>CF!AU36</f>
        <v>9718</v>
      </c>
      <c r="E49" s="129">
        <f>CF!AZ36</f>
        <v>-15879</v>
      </c>
      <c r="F49" s="225">
        <f>CF!BE36</f>
        <v>-11987.285714285714</v>
      </c>
      <c r="G49" s="225">
        <f>CF!BJ36</f>
        <v>-13186.014285714287</v>
      </c>
      <c r="H49" s="225">
        <f>CF!BK36</f>
        <v>-14504.615714285717</v>
      </c>
      <c r="I49" s="225">
        <f>CF!BL36</f>
        <v>-15955.077285714291</v>
      </c>
      <c r="J49" s="225">
        <f>CF!BM36</f>
        <v>-17550.58501428572</v>
      </c>
    </row>
    <row r="50" spans="2:10" ht="16.5" x14ac:dyDescent="0.3">
      <c r="B50" s="128" t="s">
        <v>100</v>
      </c>
      <c r="C50" s="129">
        <f>CF!AP38</f>
        <v>-364</v>
      </c>
      <c r="D50" s="129">
        <f>CF!AU38</f>
        <v>-1093</v>
      </c>
      <c r="E50" s="129">
        <f>CF!AZ38</f>
        <v>403</v>
      </c>
      <c r="F50" s="225">
        <f>CF!BE38</f>
        <v>-68</v>
      </c>
      <c r="G50" s="225">
        <f>CF!BJ38</f>
        <v>0</v>
      </c>
      <c r="H50" s="225">
        <f>CF!BK38</f>
        <v>0</v>
      </c>
      <c r="I50" s="225">
        <f>CF!BL38</f>
        <v>0</v>
      </c>
      <c r="J50" s="225">
        <f>CF!BM38</f>
        <v>0</v>
      </c>
    </row>
    <row r="51" spans="2:10" x14ac:dyDescent="0.25">
      <c r="F51" s="233"/>
      <c r="G51" s="233"/>
      <c r="H51" s="233"/>
      <c r="I51" s="233"/>
      <c r="J51" s="233"/>
    </row>
    <row r="52" spans="2:10" ht="16.5" x14ac:dyDescent="0.3">
      <c r="B52" s="128" t="s">
        <v>101</v>
      </c>
      <c r="C52" s="129">
        <f>CF!AP40</f>
        <v>42377</v>
      </c>
      <c r="D52" s="129">
        <f t="shared" ref="D52:J52" si="7">C54</f>
        <v>36477</v>
      </c>
      <c r="E52" s="129">
        <f t="shared" si="7"/>
        <v>54253</v>
      </c>
      <c r="F52" s="225">
        <f t="shared" si="7"/>
        <v>73890</v>
      </c>
      <c r="G52" s="225">
        <f t="shared" si="7"/>
        <v>91901.414068284052</v>
      </c>
      <c r="H52" s="225">
        <f t="shared" si="7"/>
        <v>118874.36864412509</v>
      </c>
      <c r="I52" s="225">
        <f t="shared" si="7"/>
        <v>158042.33592278551</v>
      </c>
      <c r="J52" s="225">
        <f t="shared" si="7"/>
        <v>196441.06109355338</v>
      </c>
    </row>
    <row r="53" spans="2:10" ht="16.5" x14ac:dyDescent="0.3">
      <c r="B53" s="134" t="s">
        <v>102</v>
      </c>
      <c r="C53" s="127">
        <f>SUM(C47:C50)</f>
        <v>-5900</v>
      </c>
      <c r="D53" s="127">
        <f t="shared" ref="D53:E53" si="8">SUM(D47:D50)</f>
        <v>17776</v>
      </c>
      <c r="E53" s="127">
        <f t="shared" si="8"/>
        <v>19637</v>
      </c>
      <c r="F53" s="224">
        <f t="shared" ref="F53:J53" si="9">SUM(F47:F50)</f>
        <v>18011.414068284048</v>
      </c>
      <c r="G53" s="224">
        <f t="shared" si="9"/>
        <v>26972.954575841046</v>
      </c>
      <c r="H53" s="224">
        <f t="shared" si="9"/>
        <v>39167.967278660413</v>
      </c>
      <c r="I53" s="224">
        <f t="shared" si="9"/>
        <v>38398.725170767881</v>
      </c>
      <c r="J53" s="224">
        <f t="shared" si="9"/>
        <v>41391.01648706093</v>
      </c>
    </row>
    <row r="54" spans="2:10" ht="16.5" x14ac:dyDescent="0.3">
      <c r="B54" s="128" t="s">
        <v>103</v>
      </c>
      <c r="C54" s="151">
        <f t="shared" ref="C54:J54" si="10">C52+C53</f>
        <v>36477</v>
      </c>
      <c r="D54" s="151">
        <f t="shared" si="10"/>
        <v>54253</v>
      </c>
      <c r="E54" s="151">
        <f t="shared" si="10"/>
        <v>73890</v>
      </c>
      <c r="F54" s="234">
        <f t="shared" si="10"/>
        <v>91901.414068284052</v>
      </c>
      <c r="G54" s="234">
        <f t="shared" si="10"/>
        <v>118874.36864412509</v>
      </c>
      <c r="H54" s="234">
        <f t="shared" si="10"/>
        <v>158042.33592278551</v>
      </c>
      <c r="I54" s="234">
        <f t="shared" si="10"/>
        <v>196441.06109355338</v>
      </c>
      <c r="J54" s="234">
        <f t="shared" si="10"/>
        <v>237832.07758061431</v>
      </c>
    </row>
    <row r="55" spans="2:10" ht="16.5" x14ac:dyDescent="0.25">
      <c r="C55" s="129"/>
      <c r="D55" s="129"/>
      <c r="E55" s="129"/>
      <c r="F55" s="129"/>
      <c r="G55" s="129"/>
      <c r="H55" s="129"/>
      <c r="I55" s="129"/>
      <c r="J55" s="1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17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2" sqref="A2"/>
    </sheetView>
  </sheetViews>
  <sheetFormatPr defaultColWidth="9.140625" defaultRowHeight="15" outlineLevelCol="2" x14ac:dyDescent="0.25"/>
  <cols>
    <col min="1" max="4" width="9.140625" customWidth="1"/>
    <col min="5" max="5" width="10.85546875" hidden="1" customWidth="1" outlineLevel="1"/>
    <col min="6" max="12" width="9.140625" hidden="1" customWidth="1" outlineLevel="1"/>
    <col min="13" max="14" width="10.85546875" hidden="1" customWidth="1" outlineLevel="2"/>
    <col min="15" max="16" width="9.140625" hidden="1" customWidth="1" outlineLevel="2"/>
    <col min="17" max="17" width="9.140625" hidden="1" customWidth="1" outlineLevel="1"/>
    <col min="18" max="18" width="8.85546875" hidden="1" customWidth="1" outlineLevel="2"/>
    <col min="19" max="19" width="10" hidden="1" customWidth="1" outlineLevel="2"/>
    <col min="20" max="20" width="9.140625" hidden="1" customWidth="1" outlineLevel="2"/>
    <col min="21" max="21" width="8.85546875" hidden="1" customWidth="1" outlineLevel="2"/>
    <col min="22" max="22" width="9.140625" hidden="1" customWidth="1" outlineLevel="1"/>
    <col min="23" max="25" width="9.140625" hidden="1" customWidth="1" outlineLevel="2"/>
    <col min="26" max="26" width="10" hidden="1" customWidth="1" outlineLevel="2"/>
    <col min="27" max="27" width="9.7109375" hidden="1" customWidth="1" outlineLevel="1"/>
    <col min="28" max="28" width="8.5703125" hidden="1" customWidth="1" outlineLevel="2"/>
    <col min="29" max="30" width="8.42578125" hidden="1" customWidth="1" outlineLevel="2"/>
    <col min="31" max="31" width="9.140625" hidden="1" customWidth="1" outlineLevel="2"/>
    <col min="32" max="32" width="9.140625" hidden="1" customWidth="1" outlineLevel="1"/>
    <col min="33" max="36" width="9.140625" hidden="1" customWidth="1" outlineLevel="2"/>
    <col min="37" max="37" width="9.42578125" hidden="1" customWidth="1" outlineLevel="1"/>
    <col min="38" max="41" width="9.140625" hidden="1" customWidth="1" outlineLevel="2"/>
    <col min="42" max="42" width="9.140625" customWidth="1" collapsed="1"/>
    <col min="43" max="46" width="9.140625" hidden="1" customWidth="1" outlineLevel="1"/>
    <col min="47" max="47" width="9.140625" customWidth="1" collapsed="1"/>
    <col min="48" max="51" width="9.140625" hidden="1" customWidth="1" outlineLevel="1"/>
    <col min="52" max="52" width="9.140625" customWidth="1" collapsed="1"/>
    <col min="53" max="53" width="9.140625" hidden="1" customWidth="1" outlineLevel="1"/>
    <col min="54" max="54" width="13.28515625" hidden="1" customWidth="1" outlineLevel="1"/>
    <col min="55" max="55" width="9.140625" hidden="1" customWidth="1" outlineLevel="1"/>
    <col min="56" max="56" width="11.5703125" hidden="1" customWidth="1" outlineLevel="1"/>
    <col min="57" max="57" width="9.140625" customWidth="1" collapsed="1"/>
    <col min="58" max="61" width="9.140625" hidden="1" customWidth="1" outlineLevel="1"/>
    <col min="62" max="62" width="9.140625" customWidth="1" collapsed="1"/>
    <col min="63" max="66" width="9.140625" customWidth="1"/>
  </cols>
  <sheetData>
    <row r="1" spans="1:67" ht="16.5" x14ac:dyDescent="0.3">
      <c r="A1" s="122" t="s">
        <v>10</v>
      </c>
      <c r="B1" s="1"/>
      <c r="C1" s="1"/>
      <c r="D1" s="1"/>
    </row>
    <row r="2" spans="1:67" ht="16.5" x14ac:dyDescent="0.3">
      <c r="A2" s="1" t="s">
        <v>12</v>
      </c>
      <c r="B2" s="2"/>
      <c r="C2" s="2"/>
      <c r="D2" s="2"/>
    </row>
    <row r="3" spans="1:67" ht="16.5" x14ac:dyDescent="0.3">
      <c r="A3" s="3" t="s">
        <v>104</v>
      </c>
      <c r="B3" s="3"/>
      <c r="C3" s="3"/>
      <c r="D3" s="3"/>
    </row>
    <row r="4" spans="1:67" ht="16.5" x14ac:dyDescent="0.3">
      <c r="A4" s="4"/>
      <c r="B4" s="4"/>
      <c r="C4" s="4"/>
      <c r="D4" s="4"/>
    </row>
    <row r="5" spans="1:67" ht="16.5" x14ac:dyDescent="0.3">
      <c r="A5" s="4"/>
      <c r="B5" s="4"/>
      <c r="C5" s="4"/>
      <c r="D5" s="4"/>
      <c r="BD5" s="66" t="s">
        <v>43</v>
      </c>
      <c r="BE5" s="66" t="s">
        <v>43</v>
      </c>
      <c r="BF5" s="66" t="s">
        <v>43</v>
      </c>
      <c r="BG5" s="66" t="s">
        <v>43</v>
      </c>
      <c r="BH5" s="66" t="s">
        <v>43</v>
      </c>
      <c r="BI5" s="66" t="s">
        <v>43</v>
      </c>
      <c r="BJ5" s="66" t="s">
        <v>43</v>
      </c>
      <c r="BK5" s="66" t="s">
        <v>43</v>
      </c>
      <c r="BL5" s="66" t="s">
        <v>43</v>
      </c>
      <c r="BM5" s="66" t="s">
        <v>43</v>
      </c>
    </row>
    <row r="6" spans="1:67" ht="16.5" x14ac:dyDescent="0.3">
      <c r="A6" s="5" t="s">
        <v>0</v>
      </c>
      <c r="B6" s="6"/>
      <c r="C6" s="6"/>
      <c r="D6" s="6"/>
      <c r="E6" s="27">
        <v>2008</v>
      </c>
      <c r="F6" s="27">
        <v>2009</v>
      </c>
      <c r="G6" s="27">
        <v>2010</v>
      </c>
      <c r="H6" s="27">
        <v>2011</v>
      </c>
      <c r="I6" s="27">
        <v>2012</v>
      </c>
      <c r="J6" s="27">
        <v>2013</v>
      </c>
      <c r="K6" s="27">
        <v>2014</v>
      </c>
      <c r="L6" s="27">
        <v>2015</v>
      </c>
      <c r="M6" s="28">
        <v>42460</v>
      </c>
      <c r="N6" s="28">
        <v>42551</v>
      </c>
      <c r="O6" s="28">
        <v>42643</v>
      </c>
      <c r="P6" s="28">
        <v>42735</v>
      </c>
      <c r="Q6" s="27">
        <v>2016</v>
      </c>
      <c r="R6" s="28">
        <v>42825</v>
      </c>
      <c r="S6" s="28">
        <v>42916</v>
      </c>
      <c r="T6" s="28">
        <v>43008</v>
      </c>
      <c r="U6" s="28">
        <v>43100</v>
      </c>
      <c r="V6" s="27">
        <v>2017</v>
      </c>
      <c r="W6" s="28">
        <v>43190</v>
      </c>
      <c r="X6" s="28">
        <v>43281</v>
      </c>
      <c r="Y6" s="28">
        <v>43373</v>
      </c>
      <c r="Z6" s="28">
        <v>43465</v>
      </c>
      <c r="AA6" s="27">
        <v>2018</v>
      </c>
      <c r="AB6" s="28">
        <v>43555</v>
      </c>
      <c r="AC6" s="28">
        <v>43646</v>
      </c>
      <c r="AD6" s="28">
        <v>43738</v>
      </c>
      <c r="AE6" s="28">
        <v>43830</v>
      </c>
      <c r="AF6" s="27">
        <v>2019</v>
      </c>
      <c r="AG6" s="28">
        <v>43921</v>
      </c>
      <c r="AH6" s="28">
        <v>44012</v>
      </c>
      <c r="AI6" s="28">
        <v>44104</v>
      </c>
      <c r="AJ6" s="28">
        <v>44196</v>
      </c>
      <c r="AK6" s="27">
        <v>2020</v>
      </c>
      <c r="AL6" s="28">
        <v>44286</v>
      </c>
      <c r="AM6" s="28">
        <v>44377</v>
      </c>
      <c r="AN6" s="28">
        <v>44469</v>
      </c>
      <c r="AO6" s="28">
        <v>44561</v>
      </c>
      <c r="AP6" s="27">
        <v>2021</v>
      </c>
      <c r="AQ6" s="28">
        <v>44651</v>
      </c>
      <c r="AR6" s="28">
        <v>44742</v>
      </c>
      <c r="AS6" s="28">
        <v>44834</v>
      </c>
      <c r="AT6" s="28">
        <v>44926</v>
      </c>
      <c r="AU6" s="27">
        <v>2022</v>
      </c>
      <c r="AV6" s="28">
        <v>45016</v>
      </c>
      <c r="AW6" s="28">
        <v>45107</v>
      </c>
      <c r="AX6" s="28">
        <v>45199</v>
      </c>
      <c r="AY6" s="28">
        <v>45291</v>
      </c>
      <c r="AZ6" s="27">
        <v>2023</v>
      </c>
      <c r="BA6" s="28">
        <v>45382</v>
      </c>
      <c r="BB6" s="28">
        <v>45473</v>
      </c>
      <c r="BC6" s="28">
        <v>45565</v>
      </c>
      <c r="BD6" s="28">
        <v>45657</v>
      </c>
      <c r="BE6" s="27">
        <v>2024</v>
      </c>
      <c r="BF6" s="28">
        <v>45747</v>
      </c>
      <c r="BG6" s="28">
        <v>45838</v>
      </c>
      <c r="BH6" s="28">
        <v>45930</v>
      </c>
      <c r="BI6" s="28">
        <v>46022</v>
      </c>
      <c r="BJ6" s="27">
        <v>2025</v>
      </c>
      <c r="BK6" s="27">
        <v>2026</v>
      </c>
      <c r="BL6" s="27">
        <v>2027</v>
      </c>
      <c r="BM6" s="27">
        <v>2028</v>
      </c>
    </row>
    <row r="7" spans="1:67" ht="16.5" x14ac:dyDescent="0.3">
      <c r="A7" s="4"/>
      <c r="B7" s="4"/>
      <c r="C7" s="4"/>
      <c r="D7" s="4"/>
      <c r="E7" s="4"/>
    </row>
    <row r="8" spans="1:67" ht="16.5" x14ac:dyDescent="0.3">
      <c r="A8" s="110" t="s">
        <v>49</v>
      </c>
      <c r="B8" s="110"/>
      <c r="C8" s="110"/>
      <c r="D8" s="4"/>
      <c r="E8" s="13"/>
      <c r="K8" s="21">
        <v>68513</v>
      </c>
      <c r="L8" s="21">
        <v>76863</v>
      </c>
      <c r="M8" s="30">
        <v>19916</v>
      </c>
      <c r="N8" s="30">
        <v>20378</v>
      </c>
      <c r="O8" s="30">
        <v>21590</v>
      </c>
      <c r="P8" s="30">
        <v>29548</v>
      </c>
      <c r="Q8" s="21">
        <f>SUM(M8:P8)</f>
        <v>91432</v>
      </c>
      <c r="R8" s="30">
        <v>22826</v>
      </c>
      <c r="S8" s="30">
        <v>23754</v>
      </c>
      <c r="T8" s="30">
        <v>26392</v>
      </c>
      <c r="U8" s="30">
        <v>35383</v>
      </c>
      <c r="V8" s="21">
        <f>SUM(R8:U8)</f>
        <v>108355</v>
      </c>
      <c r="W8" s="30">
        <v>26939</v>
      </c>
      <c r="X8" s="30">
        <v>27165</v>
      </c>
      <c r="Y8" s="30">
        <v>29061</v>
      </c>
      <c r="Z8" s="30">
        <v>39822</v>
      </c>
      <c r="AA8" s="21">
        <f>SUM(W8:Z8)</f>
        <v>122987</v>
      </c>
      <c r="AB8" s="30">
        <v>29498</v>
      </c>
      <c r="AC8" s="30">
        <v>31053</v>
      </c>
      <c r="AD8" s="30">
        <v>35039</v>
      </c>
      <c r="AE8" s="30">
        <v>45657</v>
      </c>
      <c r="AF8" s="21">
        <f>SUM(AB8:AE8)</f>
        <v>141247</v>
      </c>
      <c r="AG8" s="30">
        <v>36652</v>
      </c>
      <c r="AH8" s="30">
        <v>45896</v>
      </c>
      <c r="AI8" s="30">
        <v>48350</v>
      </c>
      <c r="AJ8" s="30">
        <v>66451</v>
      </c>
      <c r="AK8" s="21">
        <f>SUM(AG8:AJ8)</f>
        <v>197349</v>
      </c>
      <c r="AL8" s="30">
        <v>52901</v>
      </c>
      <c r="AM8" s="30">
        <v>53157</v>
      </c>
      <c r="AN8" s="30">
        <v>49942</v>
      </c>
      <c r="AO8" s="30">
        <v>66075</v>
      </c>
      <c r="AP8" s="21">
        <f>SUM(AL8:AO8)</f>
        <v>222075</v>
      </c>
      <c r="AQ8" s="30">
        <v>51129</v>
      </c>
      <c r="AR8" s="30">
        <v>50855</v>
      </c>
      <c r="AS8" s="30">
        <v>53489</v>
      </c>
      <c r="AT8" s="30">
        <v>64531</v>
      </c>
      <c r="AU8" s="21">
        <f>SUM(AQ8:AT8)</f>
        <v>220004</v>
      </c>
      <c r="AV8" s="30">
        <v>51096</v>
      </c>
      <c r="AW8" s="30">
        <v>52966</v>
      </c>
      <c r="AX8" s="30">
        <v>57267</v>
      </c>
      <c r="AY8" s="30">
        <v>70543</v>
      </c>
      <c r="AZ8" s="21">
        <f>SUM(AV8:AY8)</f>
        <v>231872</v>
      </c>
      <c r="BA8" s="30">
        <v>54670</v>
      </c>
      <c r="BB8" s="30">
        <v>55392</v>
      </c>
      <c r="BC8" s="30">
        <v>61411</v>
      </c>
      <c r="BD8" s="189">
        <f>AY8*(1+'Assumptions + Estimates'!J11)</f>
        <v>74112.672577585909</v>
      </c>
      <c r="BE8" s="141">
        <f>SUM(BA8:BD8)</f>
        <v>245585.67257758591</v>
      </c>
      <c r="BF8" s="189">
        <f>BA8*(1+'Assumptions + Estimates'!K11)</f>
        <v>57403.5</v>
      </c>
      <c r="BG8" s="189">
        <f>BB8*(1+'Assumptions + Estimates'!L11)</f>
        <v>58161.600000000006</v>
      </c>
      <c r="BH8" s="189">
        <f>BC8*(1+'Assumptions + Estimates'!M11)</f>
        <v>64481.55</v>
      </c>
      <c r="BI8" s="189">
        <f>BD8*(1+'Assumptions + Estimates'!N11)</f>
        <v>77818.306206465204</v>
      </c>
      <c r="BJ8" s="141">
        <f>SUM(BF8:BI8)</f>
        <v>257864.95620646523</v>
      </c>
      <c r="BK8" s="141">
        <f>BJ8*(1+'Assumptions + Estimates'!P11)</f>
        <v>270758.20401678851</v>
      </c>
      <c r="BL8" s="141">
        <f>BK8*(1+'Assumptions + Estimates'!Q11)</f>
        <v>284296.11421762797</v>
      </c>
      <c r="BM8" s="141">
        <f>BL8*(1+'Assumptions + Estimates'!R11)</f>
        <v>298510.91992850939</v>
      </c>
      <c r="BO8" s="43"/>
    </row>
    <row r="9" spans="1:67" ht="16.5" x14ac:dyDescent="0.3">
      <c r="A9" s="110" t="s">
        <v>50</v>
      </c>
      <c r="B9" s="110"/>
      <c r="C9" s="110"/>
      <c r="D9" s="4"/>
      <c r="E9" s="13"/>
      <c r="K9" s="13">
        <v>0</v>
      </c>
      <c r="L9" s="13">
        <v>0</v>
      </c>
      <c r="M9" s="29">
        <v>0</v>
      </c>
      <c r="N9" s="29">
        <v>0</v>
      </c>
      <c r="O9" s="29">
        <v>0</v>
      </c>
      <c r="P9" s="29">
        <v>0</v>
      </c>
      <c r="Q9" s="21">
        <f t="shared" ref="Q9:Q14" si="0">SUM(M9:P9)</f>
        <v>0</v>
      </c>
      <c r="R9" s="29">
        <v>0</v>
      </c>
      <c r="S9" s="29">
        <v>0</v>
      </c>
      <c r="T9" s="30">
        <v>1276</v>
      </c>
      <c r="U9" s="30">
        <v>4522</v>
      </c>
      <c r="V9" s="21">
        <f t="shared" ref="V9:V14" si="1">SUM(R9:U9)</f>
        <v>5798</v>
      </c>
      <c r="W9" s="30">
        <v>4263</v>
      </c>
      <c r="X9" s="30">
        <v>4312</v>
      </c>
      <c r="Y9" s="30">
        <v>4248</v>
      </c>
      <c r="Z9" s="30">
        <v>4401</v>
      </c>
      <c r="AA9" s="21">
        <f t="shared" ref="AA9:AA14" si="2">SUM(W9:Z9)</f>
        <v>17224</v>
      </c>
      <c r="AB9" s="30">
        <v>4307</v>
      </c>
      <c r="AC9" s="30">
        <v>4330</v>
      </c>
      <c r="AD9" s="30">
        <v>4192</v>
      </c>
      <c r="AE9" s="30">
        <v>4363</v>
      </c>
      <c r="AF9" s="21">
        <f t="shared" ref="AF9:AF14" si="3">SUM(AB9:AE9)</f>
        <v>17192</v>
      </c>
      <c r="AG9" s="30">
        <v>4640</v>
      </c>
      <c r="AH9" s="30">
        <v>3774</v>
      </c>
      <c r="AI9" s="30">
        <v>3788</v>
      </c>
      <c r="AJ9" s="30">
        <v>4022</v>
      </c>
      <c r="AK9" s="21">
        <f t="shared" ref="AK9:AK14" si="4">SUM(AG9:AJ9)</f>
        <v>16224</v>
      </c>
      <c r="AL9" s="30">
        <v>3920</v>
      </c>
      <c r="AM9" s="30">
        <v>4198</v>
      </c>
      <c r="AN9" s="30">
        <v>4269</v>
      </c>
      <c r="AO9" s="30">
        <v>4688</v>
      </c>
      <c r="AP9" s="21">
        <f t="shared" ref="AP9:AP14" si="5">SUM(AL9:AO9)</f>
        <v>17075</v>
      </c>
      <c r="AQ9" s="30">
        <v>4591</v>
      </c>
      <c r="AR9" s="30">
        <v>4721</v>
      </c>
      <c r="AS9" s="30">
        <v>4694</v>
      </c>
      <c r="AT9" s="30">
        <v>4957</v>
      </c>
      <c r="AU9" s="21">
        <f t="shared" ref="AU9:AU14" si="6">SUM(AQ9:AT9)</f>
        <v>18963</v>
      </c>
      <c r="AV9" s="30">
        <v>4895</v>
      </c>
      <c r="AW9" s="30">
        <v>5024</v>
      </c>
      <c r="AX9" s="30">
        <v>4959</v>
      </c>
      <c r="AY9" s="30">
        <v>5152</v>
      </c>
      <c r="AZ9" s="21">
        <f t="shared" ref="AZ9:AZ14" si="7">SUM(AV9:AY9)</f>
        <v>20030</v>
      </c>
      <c r="BA9" s="30">
        <v>5202</v>
      </c>
      <c r="BB9" s="30">
        <v>5206</v>
      </c>
      <c r="BC9" s="30">
        <v>5228</v>
      </c>
      <c r="BD9" s="189">
        <f>AY9*(1+'Assumptions + Estimates'!J12)</f>
        <v>5410.0938512231642</v>
      </c>
      <c r="BE9" s="141">
        <f t="shared" ref="BE9:BE22" si="8">SUM(BA9:BD9)</f>
        <v>21046.093851223166</v>
      </c>
      <c r="BF9" s="189">
        <f>BA9*(1+'Assumptions + Estimates'!K12)</f>
        <v>5462.1</v>
      </c>
      <c r="BG9" s="189">
        <f>BB9*(1+'Assumptions + Estimates'!L12)</f>
        <v>5466.3</v>
      </c>
      <c r="BH9" s="189">
        <f>BC9*(1+'Assumptions + Estimates'!M12)</f>
        <v>5489.4000000000005</v>
      </c>
      <c r="BI9" s="189">
        <f>BD9*(1+'Assumptions + Estimates'!N12)</f>
        <v>5680.5985437843228</v>
      </c>
      <c r="BJ9" s="141">
        <f t="shared" ref="BJ9:BJ14" si="9">SUM(BF9:BI9)</f>
        <v>22098.398543784326</v>
      </c>
      <c r="BK9" s="141">
        <f>BJ9*(1+'Assumptions + Estimates'!P12)</f>
        <v>23203.318470973543</v>
      </c>
      <c r="BL9" s="141">
        <f>BK9*(1+'Assumptions + Estimates'!Q12)</f>
        <v>24363.48439452222</v>
      </c>
      <c r="BM9" s="141">
        <f>BL9*(1+'Assumptions + Estimates'!R12)</f>
        <v>25581.658614248332</v>
      </c>
      <c r="BO9" s="43"/>
    </row>
    <row r="10" spans="1:67" ht="16.5" x14ac:dyDescent="0.3">
      <c r="A10" s="110" t="s">
        <v>51</v>
      </c>
      <c r="B10" s="110"/>
      <c r="C10" s="110"/>
      <c r="D10" s="4"/>
      <c r="E10" s="13"/>
      <c r="K10" s="21">
        <v>11747</v>
      </c>
      <c r="L10" s="21">
        <v>16086</v>
      </c>
      <c r="M10" s="30">
        <v>4801</v>
      </c>
      <c r="N10" s="30">
        <v>5083</v>
      </c>
      <c r="O10" s="30">
        <v>5652</v>
      </c>
      <c r="P10" s="30">
        <v>7456</v>
      </c>
      <c r="Q10" s="21">
        <f t="shared" si="0"/>
        <v>22992</v>
      </c>
      <c r="R10" s="30">
        <v>6438</v>
      </c>
      <c r="S10" s="30">
        <v>6991</v>
      </c>
      <c r="T10" s="30">
        <v>7928</v>
      </c>
      <c r="U10" s="30">
        <v>10523</v>
      </c>
      <c r="V10" s="21">
        <f t="shared" si="1"/>
        <v>31880</v>
      </c>
      <c r="W10" s="30">
        <v>9265</v>
      </c>
      <c r="X10" s="30">
        <v>9702</v>
      </c>
      <c r="Y10" s="30">
        <v>10395</v>
      </c>
      <c r="Z10" s="30">
        <v>13383</v>
      </c>
      <c r="AA10" s="21">
        <f t="shared" si="2"/>
        <v>42745</v>
      </c>
      <c r="AB10" s="30">
        <v>11141</v>
      </c>
      <c r="AC10" s="30">
        <v>11962</v>
      </c>
      <c r="AD10" s="30">
        <v>13212</v>
      </c>
      <c r="AE10" s="30">
        <v>17446</v>
      </c>
      <c r="AF10" s="21">
        <f t="shared" si="3"/>
        <v>53761</v>
      </c>
      <c r="AG10" s="30">
        <v>14479</v>
      </c>
      <c r="AH10" s="30">
        <v>18195</v>
      </c>
      <c r="AI10" s="30">
        <v>20436</v>
      </c>
      <c r="AJ10" s="30">
        <v>27327</v>
      </c>
      <c r="AK10" s="21">
        <f t="shared" si="4"/>
        <v>80437</v>
      </c>
      <c r="AL10" s="30">
        <v>23709</v>
      </c>
      <c r="AM10" s="30">
        <v>25085</v>
      </c>
      <c r="AN10" s="30">
        <v>24252</v>
      </c>
      <c r="AO10" s="30">
        <v>30320</v>
      </c>
      <c r="AP10" s="21">
        <f t="shared" si="5"/>
        <v>103366</v>
      </c>
      <c r="AQ10" s="30">
        <v>25335</v>
      </c>
      <c r="AR10" s="30">
        <v>27376</v>
      </c>
      <c r="AS10" s="30">
        <v>28666</v>
      </c>
      <c r="AT10" s="30">
        <v>36339</v>
      </c>
      <c r="AU10" s="21">
        <f t="shared" si="6"/>
        <v>117716</v>
      </c>
      <c r="AV10" s="30">
        <v>29820</v>
      </c>
      <c r="AW10" s="30">
        <v>32332</v>
      </c>
      <c r="AX10" s="30">
        <v>34342</v>
      </c>
      <c r="AY10" s="30">
        <v>43559</v>
      </c>
      <c r="AZ10" s="21">
        <f t="shared" si="7"/>
        <v>140053</v>
      </c>
      <c r="BA10" s="30">
        <v>34596</v>
      </c>
      <c r="BB10" s="30">
        <v>36201</v>
      </c>
      <c r="BC10" s="30">
        <v>37864</v>
      </c>
      <c r="BD10" s="189">
        <f>AY10*(1+'Assumptions + Estimates'!J13)</f>
        <v>49126.33055093429</v>
      </c>
      <c r="BE10" s="141">
        <f t="shared" si="8"/>
        <v>157787.3305509343</v>
      </c>
      <c r="BF10" s="189">
        <f>BA10*(1+'Assumptions + Estimates'!K13)</f>
        <v>38055.600000000006</v>
      </c>
      <c r="BG10" s="189">
        <f>BB10*(1+'Assumptions + Estimates'!L13)</f>
        <v>39821.100000000006</v>
      </c>
      <c r="BH10" s="189">
        <f>BC10*(1+'Assumptions + Estimates'!M13)</f>
        <v>41650.400000000001</v>
      </c>
      <c r="BI10" s="189">
        <f>BD10*(1+'Assumptions + Estimates'!N13)</f>
        <v>54038.963606027726</v>
      </c>
      <c r="BJ10" s="141">
        <f t="shared" si="9"/>
        <v>173566.06360602775</v>
      </c>
      <c r="BK10" s="141">
        <f>BJ10*(1+'Assumptions + Estimates'!P13)</f>
        <v>190922.66996663055</v>
      </c>
      <c r="BL10" s="141">
        <f>BK10*(1+'Assumptions + Estimates'!Q13)</f>
        <v>210014.93696329361</v>
      </c>
      <c r="BM10" s="141">
        <f>BL10*(1+'Assumptions + Estimates'!R13)</f>
        <v>231016.430659623</v>
      </c>
      <c r="BO10" s="43"/>
    </row>
    <row r="11" spans="1:67" ht="16.5" x14ac:dyDescent="0.3">
      <c r="A11" s="110" t="s">
        <v>52</v>
      </c>
      <c r="B11" s="110"/>
      <c r="C11" s="110"/>
      <c r="D11" s="4"/>
      <c r="E11" s="13"/>
      <c r="K11" s="21">
        <v>2762</v>
      </c>
      <c r="L11" s="21">
        <v>4467</v>
      </c>
      <c r="M11" s="30">
        <v>1300</v>
      </c>
      <c r="N11" s="30">
        <v>1431</v>
      </c>
      <c r="O11" s="30">
        <v>1532</v>
      </c>
      <c r="P11" s="30">
        <v>2130</v>
      </c>
      <c r="Q11" s="21">
        <f t="shared" si="0"/>
        <v>6393</v>
      </c>
      <c r="R11" s="30">
        <v>1939</v>
      </c>
      <c r="S11" s="30">
        <v>2165</v>
      </c>
      <c r="T11" s="30">
        <v>2441</v>
      </c>
      <c r="U11" s="30">
        <v>3177</v>
      </c>
      <c r="V11" s="21">
        <f t="shared" si="1"/>
        <v>9722</v>
      </c>
      <c r="W11" s="30">
        <v>3102</v>
      </c>
      <c r="X11" s="30">
        <v>3408</v>
      </c>
      <c r="Y11" s="30">
        <v>3698</v>
      </c>
      <c r="Z11" s="30">
        <v>3959</v>
      </c>
      <c r="AA11" s="21">
        <f t="shared" si="2"/>
        <v>14167</v>
      </c>
      <c r="AB11" s="30">
        <v>4342</v>
      </c>
      <c r="AC11" s="30">
        <v>4676</v>
      </c>
      <c r="AD11" s="30">
        <v>4957</v>
      </c>
      <c r="AE11" s="30">
        <v>5235</v>
      </c>
      <c r="AF11" s="21">
        <f t="shared" si="3"/>
        <v>19210</v>
      </c>
      <c r="AG11" s="30">
        <v>5556</v>
      </c>
      <c r="AH11" s="30">
        <v>6018</v>
      </c>
      <c r="AI11" s="30">
        <v>6572</v>
      </c>
      <c r="AJ11" s="30">
        <v>7061</v>
      </c>
      <c r="AK11" s="21">
        <f t="shared" si="4"/>
        <v>25207</v>
      </c>
      <c r="AL11" s="30">
        <v>7580</v>
      </c>
      <c r="AM11" s="30">
        <v>7917</v>
      </c>
      <c r="AN11" s="30">
        <v>8148</v>
      </c>
      <c r="AO11" s="30">
        <v>8123</v>
      </c>
      <c r="AP11" s="21">
        <f t="shared" si="5"/>
        <v>31768</v>
      </c>
      <c r="AQ11" s="30">
        <v>8410</v>
      </c>
      <c r="AR11" s="30">
        <v>8716</v>
      </c>
      <c r="AS11" s="30">
        <v>8903</v>
      </c>
      <c r="AT11" s="30">
        <v>9189</v>
      </c>
      <c r="AU11" s="21">
        <f t="shared" si="6"/>
        <v>35218</v>
      </c>
      <c r="AV11" s="30">
        <v>9657</v>
      </c>
      <c r="AW11" s="30">
        <v>9894</v>
      </c>
      <c r="AX11" s="30">
        <v>10170</v>
      </c>
      <c r="AY11" s="30">
        <v>10488</v>
      </c>
      <c r="AZ11" s="21">
        <f t="shared" si="7"/>
        <v>40209</v>
      </c>
      <c r="BA11" s="30">
        <v>10722</v>
      </c>
      <c r="BB11" s="30">
        <v>10866</v>
      </c>
      <c r="BC11" s="30">
        <v>11278</v>
      </c>
      <c r="BD11" s="189">
        <f>AY11*(1+'Assumptions + Estimates'!J14)</f>
        <v>11697.621738416774</v>
      </c>
      <c r="BE11" s="141">
        <f t="shared" si="8"/>
        <v>44563.621738416776</v>
      </c>
      <c r="BF11" s="189">
        <f>BA11*(1+'Assumptions + Estimates'!K14)</f>
        <v>11794.2</v>
      </c>
      <c r="BG11" s="189">
        <f>BB11*(1+'Assumptions + Estimates'!L14)</f>
        <v>11952.6</v>
      </c>
      <c r="BH11" s="189">
        <f>BC11*(1+'Assumptions + Estimates'!M14)</f>
        <v>12405.800000000001</v>
      </c>
      <c r="BI11" s="189">
        <f>BD11*(1+'Assumptions + Estimates'!N14)</f>
        <v>12867.383912258452</v>
      </c>
      <c r="BJ11" s="141">
        <f t="shared" si="9"/>
        <v>49019.98391225846</v>
      </c>
      <c r="BK11" s="141">
        <f>BJ11*(1+'Assumptions + Estimates'!P14)</f>
        <v>53921.982303484307</v>
      </c>
      <c r="BL11" s="141">
        <f>BK11*(1+'Assumptions + Estimates'!Q14)</f>
        <v>59314.180533832739</v>
      </c>
      <c r="BM11" s="141">
        <f>BL11*(1+'Assumptions + Estimates'!R14)</f>
        <v>65245.598587216016</v>
      </c>
      <c r="BO11" s="43"/>
    </row>
    <row r="12" spans="1:67" ht="16.5" x14ac:dyDescent="0.3">
      <c r="A12" s="110" t="s">
        <v>53</v>
      </c>
      <c r="B12" s="110"/>
      <c r="C12" s="110"/>
      <c r="D12" s="4"/>
      <c r="E12" s="13"/>
      <c r="K12" s="13"/>
      <c r="L12" s="13"/>
      <c r="M12" s="29"/>
      <c r="N12" s="29"/>
      <c r="O12" s="29"/>
      <c r="P12" s="29"/>
      <c r="Q12" s="21">
        <f t="shared" si="0"/>
        <v>0</v>
      </c>
      <c r="R12" s="29"/>
      <c r="S12" s="29"/>
      <c r="T12" s="29"/>
      <c r="U12" s="29"/>
      <c r="V12" s="21">
        <f t="shared" si="1"/>
        <v>0</v>
      </c>
      <c r="W12" s="29"/>
      <c r="X12" s="29"/>
      <c r="Y12" s="29"/>
      <c r="Z12" s="29"/>
      <c r="AA12" s="21">
        <f t="shared" si="2"/>
        <v>0</v>
      </c>
      <c r="AB12" s="29"/>
      <c r="AC12" s="29"/>
      <c r="AD12" s="29"/>
      <c r="AE12" s="29"/>
      <c r="AF12" s="21">
        <f t="shared" si="3"/>
        <v>0</v>
      </c>
      <c r="AG12" s="29"/>
      <c r="AH12" s="29"/>
      <c r="AI12" s="30">
        <v>4982</v>
      </c>
      <c r="AJ12" s="30">
        <v>7350</v>
      </c>
      <c r="AK12" s="21">
        <f t="shared" si="4"/>
        <v>12332</v>
      </c>
      <c r="AL12" s="30">
        <v>6381</v>
      </c>
      <c r="AM12" s="30">
        <v>7451</v>
      </c>
      <c r="AN12" s="30">
        <v>7612</v>
      </c>
      <c r="AO12" s="30">
        <v>9716</v>
      </c>
      <c r="AP12" s="21">
        <f t="shared" si="5"/>
        <v>31160</v>
      </c>
      <c r="AQ12" s="30">
        <v>7877</v>
      </c>
      <c r="AR12" s="30">
        <v>8757</v>
      </c>
      <c r="AS12" s="30">
        <v>9548</v>
      </c>
      <c r="AT12" s="30">
        <v>11557</v>
      </c>
      <c r="AU12" s="21">
        <f t="shared" si="6"/>
        <v>37739</v>
      </c>
      <c r="AV12" s="30">
        <v>9509</v>
      </c>
      <c r="AW12" s="30">
        <v>10683</v>
      </c>
      <c r="AX12" s="30">
        <v>12060</v>
      </c>
      <c r="AY12" s="30">
        <v>14654</v>
      </c>
      <c r="AZ12" s="21">
        <f t="shared" si="7"/>
        <v>46906</v>
      </c>
      <c r="BA12" s="30">
        <v>11824</v>
      </c>
      <c r="BB12" s="30">
        <v>12771</v>
      </c>
      <c r="BC12" s="30">
        <v>14331</v>
      </c>
      <c r="BD12" s="189">
        <f>AY12*(1+'Assumptions + Estimates'!J15)</f>
        <v>17458.635514433121</v>
      </c>
      <c r="BE12" s="141">
        <f t="shared" si="8"/>
        <v>56384.635514433117</v>
      </c>
      <c r="BF12" s="189">
        <f>BA12*(1+'Assumptions + Estimates'!K15)</f>
        <v>13952.32</v>
      </c>
      <c r="BG12" s="189">
        <f>BB12*(1+'Assumptions + Estimates'!L15)</f>
        <v>15069.779999999999</v>
      </c>
      <c r="BH12" s="189">
        <f>BC12*(1+'Assumptions + Estimates'!M15)</f>
        <v>16910.579999999998</v>
      </c>
      <c r="BI12" s="189">
        <f>BD12*(1+'Assumptions + Estimates'!N15)</f>
        <v>20601.189907031083</v>
      </c>
      <c r="BJ12" s="141">
        <f t="shared" si="9"/>
        <v>66533.869907031069</v>
      </c>
      <c r="BK12" s="141">
        <f>BJ12*(1+'Assumptions + Estimates'!P15)</f>
        <v>76513.950393085717</v>
      </c>
      <c r="BL12" s="141">
        <f>BK12*(1+'Assumptions + Estimates'!Q15)</f>
        <v>87991.042952048563</v>
      </c>
      <c r="BM12" s="141">
        <f>BL12*(1+'Assumptions + Estimates'!R15)</f>
        <v>101189.69939485584</v>
      </c>
      <c r="BO12" s="43"/>
    </row>
    <row r="13" spans="1:67" ht="16.5" x14ac:dyDescent="0.3">
      <c r="A13" s="110" t="s">
        <v>54</v>
      </c>
      <c r="B13" s="110"/>
      <c r="C13" s="110"/>
      <c r="D13" s="4"/>
      <c r="E13" s="13"/>
      <c r="K13" s="21">
        <v>4644</v>
      </c>
      <c r="L13" s="21">
        <v>7880</v>
      </c>
      <c r="M13" s="30">
        <v>2566</v>
      </c>
      <c r="N13" s="30">
        <v>2886</v>
      </c>
      <c r="O13" s="30">
        <v>3231</v>
      </c>
      <c r="P13" s="30">
        <v>3536</v>
      </c>
      <c r="Q13" s="21">
        <f t="shared" si="0"/>
        <v>12219</v>
      </c>
      <c r="R13" s="30">
        <v>3661</v>
      </c>
      <c r="S13" s="30">
        <v>4100</v>
      </c>
      <c r="T13" s="30">
        <v>4584</v>
      </c>
      <c r="U13" s="30">
        <v>5113</v>
      </c>
      <c r="V13" s="21">
        <f t="shared" si="1"/>
        <v>17458</v>
      </c>
      <c r="W13" s="30">
        <v>5442</v>
      </c>
      <c r="X13" s="30">
        <v>6105</v>
      </c>
      <c r="Y13" s="30">
        <v>6679</v>
      </c>
      <c r="Z13" s="30">
        <v>7430</v>
      </c>
      <c r="AA13" s="21">
        <f t="shared" si="2"/>
        <v>25656</v>
      </c>
      <c r="AB13" s="30">
        <v>7696</v>
      </c>
      <c r="AC13" s="30">
        <v>8381</v>
      </c>
      <c r="AD13" s="30">
        <v>8995</v>
      </c>
      <c r="AE13" s="30">
        <v>9954</v>
      </c>
      <c r="AF13" s="21">
        <f t="shared" si="3"/>
        <v>35026</v>
      </c>
      <c r="AG13" s="30">
        <v>10219</v>
      </c>
      <c r="AH13" s="30">
        <v>10808</v>
      </c>
      <c r="AI13" s="30">
        <v>11601</v>
      </c>
      <c r="AJ13" s="30">
        <v>12742</v>
      </c>
      <c r="AK13" s="21">
        <f t="shared" si="4"/>
        <v>45370</v>
      </c>
      <c r="AL13" s="30">
        <v>13503</v>
      </c>
      <c r="AM13" s="30">
        <v>14809</v>
      </c>
      <c r="AN13" s="30">
        <v>16110</v>
      </c>
      <c r="AO13" s="30">
        <v>17780</v>
      </c>
      <c r="AP13" s="21">
        <f t="shared" si="5"/>
        <v>62202</v>
      </c>
      <c r="AQ13" s="30">
        <v>18441</v>
      </c>
      <c r="AR13" s="30">
        <v>19739</v>
      </c>
      <c r="AS13" s="30">
        <v>20538</v>
      </c>
      <c r="AT13" s="30">
        <v>21378</v>
      </c>
      <c r="AU13" s="21">
        <f t="shared" si="6"/>
        <v>80096</v>
      </c>
      <c r="AV13" s="30">
        <v>21354</v>
      </c>
      <c r="AW13" s="30">
        <v>22140</v>
      </c>
      <c r="AX13" s="30">
        <v>23059</v>
      </c>
      <c r="AY13" s="30">
        <v>24204</v>
      </c>
      <c r="AZ13" s="21">
        <f t="shared" si="7"/>
        <v>90757</v>
      </c>
      <c r="BA13" s="30">
        <v>25037</v>
      </c>
      <c r="BB13" s="30">
        <v>26281</v>
      </c>
      <c r="BC13" s="30">
        <v>27452</v>
      </c>
      <c r="BD13" s="189">
        <f>AY13*(1+'Assumptions + Estimates'!J16)</f>
        <v>28641.964494198794</v>
      </c>
      <c r="BE13" s="141">
        <f t="shared" si="8"/>
        <v>107411.96449419879</v>
      </c>
      <c r="BF13" s="189">
        <f>BA13*(1+'Assumptions + Estimates'!K16)</f>
        <v>29543.66</v>
      </c>
      <c r="BG13" s="189">
        <f>BB13*(1+'Assumptions + Estimates'!L16)</f>
        <v>31011.579999999998</v>
      </c>
      <c r="BH13" s="189">
        <f>BC13*(1+'Assumptions + Estimates'!M16)</f>
        <v>32393.359999999997</v>
      </c>
      <c r="BI13" s="189">
        <f>BD13*(1+'Assumptions + Estimates'!N16)</f>
        <v>33797.518103154573</v>
      </c>
      <c r="BJ13" s="141">
        <f t="shared" si="9"/>
        <v>126746.11810315456</v>
      </c>
      <c r="BK13" s="141">
        <f>BJ13*(1+'Assumptions + Estimates'!P16)</f>
        <v>145758.03581862772</v>
      </c>
      <c r="BL13" s="141">
        <f>BK13*(1+'Assumptions + Estimates'!Q16)</f>
        <v>167621.74119142187</v>
      </c>
      <c r="BM13" s="141">
        <f>BL13*(1+'Assumptions + Estimates'!R16)</f>
        <v>192765.00237013513</v>
      </c>
      <c r="BO13" s="43"/>
    </row>
    <row r="14" spans="1:67" ht="16.5" x14ac:dyDescent="0.3">
      <c r="A14" s="17" t="s">
        <v>105</v>
      </c>
      <c r="B14" s="17"/>
      <c r="C14" s="17"/>
      <c r="D14" s="4"/>
      <c r="E14" s="13"/>
      <c r="K14" s="21">
        <v>1322</v>
      </c>
      <c r="L14" s="21">
        <v>1710</v>
      </c>
      <c r="M14" s="29">
        <v>545</v>
      </c>
      <c r="N14" s="29">
        <v>626</v>
      </c>
      <c r="O14" s="29">
        <v>709</v>
      </c>
      <c r="P14" s="30">
        <v>1071</v>
      </c>
      <c r="Q14" s="21">
        <f t="shared" si="0"/>
        <v>2951</v>
      </c>
      <c r="R14" s="29">
        <v>850</v>
      </c>
      <c r="S14" s="29">
        <v>945</v>
      </c>
      <c r="T14" s="30">
        <v>1123</v>
      </c>
      <c r="U14" s="30">
        <v>1735</v>
      </c>
      <c r="V14" s="21">
        <f t="shared" si="1"/>
        <v>4653</v>
      </c>
      <c r="W14" s="30">
        <v>2031</v>
      </c>
      <c r="X14" s="30">
        <v>2194</v>
      </c>
      <c r="Y14" s="30">
        <v>2495</v>
      </c>
      <c r="Z14" s="30">
        <v>3388</v>
      </c>
      <c r="AA14" s="21">
        <f t="shared" si="2"/>
        <v>10108</v>
      </c>
      <c r="AB14" s="30">
        <v>2716</v>
      </c>
      <c r="AC14" s="30">
        <v>3002</v>
      </c>
      <c r="AD14" s="30">
        <v>3586</v>
      </c>
      <c r="AE14" s="30">
        <v>4782</v>
      </c>
      <c r="AF14" s="21">
        <f t="shared" si="3"/>
        <v>14086</v>
      </c>
      <c r="AG14" s="30">
        <v>3906</v>
      </c>
      <c r="AH14" s="30">
        <v>4221</v>
      </c>
      <c r="AI14" s="29">
        <v>416</v>
      </c>
      <c r="AJ14" s="29">
        <v>602</v>
      </c>
      <c r="AK14" s="21">
        <f t="shared" si="4"/>
        <v>9145</v>
      </c>
      <c r="AL14" s="29">
        <v>524</v>
      </c>
      <c r="AM14" s="29">
        <v>463</v>
      </c>
      <c r="AN14" s="29">
        <v>479</v>
      </c>
      <c r="AO14" s="29">
        <v>710</v>
      </c>
      <c r="AP14" s="21">
        <f t="shared" si="5"/>
        <v>2176</v>
      </c>
      <c r="AQ14" s="29">
        <v>661</v>
      </c>
      <c r="AR14" s="30">
        <v>1070</v>
      </c>
      <c r="AS14" s="30">
        <v>1263</v>
      </c>
      <c r="AT14" s="30">
        <v>1253</v>
      </c>
      <c r="AU14" s="21">
        <f t="shared" si="6"/>
        <v>4247</v>
      </c>
      <c r="AV14" s="30">
        <v>1027</v>
      </c>
      <c r="AW14" s="30">
        <v>1344</v>
      </c>
      <c r="AX14" s="30">
        <v>1226</v>
      </c>
      <c r="AY14" s="30">
        <v>1361</v>
      </c>
      <c r="AZ14" s="21">
        <f t="shared" si="7"/>
        <v>4958</v>
      </c>
      <c r="BA14" s="30">
        <v>1262</v>
      </c>
      <c r="BB14" s="30">
        <v>1260</v>
      </c>
      <c r="BC14" s="30">
        <v>1313</v>
      </c>
      <c r="BD14" s="189">
        <f>AY14*(1+'Assumptions + Estimates'!J17)</f>
        <v>1429.05</v>
      </c>
      <c r="BE14" s="141">
        <f t="shared" si="8"/>
        <v>5264.05</v>
      </c>
      <c r="BF14" s="189">
        <f>BA14*(1+'Assumptions + Estimates'!K17)</f>
        <v>1325.1000000000001</v>
      </c>
      <c r="BG14" s="189">
        <f>BB14*(1+'Assumptions + Estimates'!L17)</f>
        <v>1323</v>
      </c>
      <c r="BH14" s="189">
        <f>BC14*(1+'Assumptions + Estimates'!M17)</f>
        <v>1378.65</v>
      </c>
      <c r="BI14" s="189">
        <f>BD14*(1+'Assumptions + Estimates'!N17)</f>
        <v>1500.5025000000001</v>
      </c>
      <c r="BJ14" s="141">
        <f t="shared" si="9"/>
        <v>5527.2525000000005</v>
      </c>
      <c r="BK14" s="141">
        <f>BJ14*(1+'Assumptions + Estimates'!P17)</f>
        <v>5803.6151250000012</v>
      </c>
      <c r="BL14" s="141">
        <f>BK14*(1+'Assumptions + Estimates'!Q17)</f>
        <v>6093.7958812500019</v>
      </c>
      <c r="BM14" s="141">
        <f>BL14*(1+'Assumptions + Estimates'!R17)</f>
        <v>6398.4856753125023</v>
      </c>
      <c r="BO14" s="43"/>
    </row>
    <row r="15" spans="1:67" s="167" customFormat="1" ht="16.5" x14ac:dyDescent="0.3">
      <c r="A15" s="162" t="s">
        <v>56</v>
      </c>
      <c r="B15" s="162"/>
      <c r="C15" s="163"/>
      <c r="D15" s="163"/>
      <c r="E15" s="164">
        <v>19166</v>
      </c>
      <c r="F15" s="164">
        <v>24509</v>
      </c>
      <c r="G15" s="164">
        <v>34204</v>
      </c>
      <c r="H15" s="164">
        <v>48077</v>
      </c>
      <c r="I15" s="164">
        <v>61093</v>
      </c>
      <c r="J15" s="164">
        <v>74452</v>
      </c>
      <c r="K15" s="165">
        <f>SUM(K8:K14)</f>
        <v>88988</v>
      </c>
      <c r="L15" s="165">
        <f>SUM(L8:L14)</f>
        <v>107006</v>
      </c>
      <c r="M15" s="166">
        <f>SUM(M8:M14)</f>
        <v>29128</v>
      </c>
      <c r="N15" s="166">
        <f t="shared" ref="N15:O15" si="10">SUM(N8:N14)</f>
        <v>30404</v>
      </c>
      <c r="O15" s="166">
        <f t="shared" si="10"/>
        <v>32714</v>
      </c>
      <c r="P15" s="166">
        <f>SUM(P8:P14)</f>
        <v>43741</v>
      </c>
      <c r="Q15" s="165">
        <f>SUM(Q8:Q14)</f>
        <v>135987</v>
      </c>
      <c r="R15" s="166">
        <f t="shared" ref="R15" si="11">SUM(R8:R14)</f>
        <v>35714</v>
      </c>
      <c r="S15" s="166">
        <f t="shared" ref="S15" si="12">SUM(S8:S14)</f>
        <v>37955</v>
      </c>
      <c r="T15" s="166">
        <f t="shared" ref="T15:W15" si="13">SUM(T8:T14)</f>
        <v>43744</v>
      </c>
      <c r="U15" s="166">
        <f t="shared" si="13"/>
        <v>60453</v>
      </c>
      <c r="V15" s="165">
        <f t="shared" si="13"/>
        <v>177866</v>
      </c>
      <c r="W15" s="166">
        <f t="shared" si="13"/>
        <v>51042</v>
      </c>
      <c r="X15" s="166">
        <f t="shared" ref="X15" si="14">SUM(X8:X14)</f>
        <v>52886</v>
      </c>
      <c r="Y15" s="166">
        <f t="shared" ref="Y15:AB15" si="15">SUM(Y8:Y14)</f>
        <v>56576</v>
      </c>
      <c r="Z15" s="166">
        <f t="shared" si="15"/>
        <v>72383</v>
      </c>
      <c r="AA15" s="165">
        <f t="shared" si="15"/>
        <v>232887</v>
      </c>
      <c r="AB15" s="166">
        <f t="shared" si="15"/>
        <v>59700</v>
      </c>
      <c r="AC15" s="166">
        <f t="shared" ref="AC15" si="16">SUM(AC8:AC14)</f>
        <v>63404</v>
      </c>
      <c r="AD15" s="166">
        <f t="shared" ref="AD15:AG15" si="17">SUM(AD8:AD14)</f>
        <v>69981</v>
      </c>
      <c r="AE15" s="166">
        <f t="shared" si="17"/>
        <v>87437</v>
      </c>
      <c r="AF15" s="165">
        <f t="shared" si="17"/>
        <v>280522</v>
      </c>
      <c r="AG15" s="166">
        <f t="shared" si="17"/>
        <v>75452</v>
      </c>
      <c r="AH15" s="166">
        <f t="shared" ref="AH15" si="18">SUM(AH8:AH14)</f>
        <v>88912</v>
      </c>
      <c r="AI15" s="166">
        <f t="shared" ref="AI15:AL15" si="19">SUM(AI8:AI14)</f>
        <v>96145</v>
      </c>
      <c r="AJ15" s="166">
        <f t="shared" si="19"/>
        <v>125555</v>
      </c>
      <c r="AK15" s="165">
        <f t="shared" si="19"/>
        <v>386064</v>
      </c>
      <c r="AL15" s="166">
        <f t="shared" si="19"/>
        <v>108518</v>
      </c>
      <c r="AM15" s="166">
        <f t="shared" ref="AM15" si="20">SUM(AM8:AM14)</f>
        <v>113080</v>
      </c>
      <c r="AN15" s="166">
        <f t="shared" ref="AN15:AQ15" si="21">SUM(AN8:AN14)</f>
        <v>110812</v>
      </c>
      <c r="AO15" s="166">
        <f t="shared" si="21"/>
        <v>137412</v>
      </c>
      <c r="AP15" s="165">
        <f t="shared" si="21"/>
        <v>469822</v>
      </c>
      <c r="AQ15" s="166">
        <f t="shared" si="21"/>
        <v>116444</v>
      </c>
      <c r="AR15" s="166">
        <f t="shared" ref="AR15" si="22">SUM(AR8:AR14)</f>
        <v>121234</v>
      </c>
      <c r="AS15" s="166">
        <f t="shared" ref="AS15:AV15" si="23">SUM(AS8:AS14)</f>
        <v>127101</v>
      </c>
      <c r="AT15" s="166">
        <f t="shared" si="23"/>
        <v>149204</v>
      </c>
      <c r="AU15" s="165">
        <f t="shared" si="23"/>
        <v>513983</v>
      </c>
      <c r="AV15" s="166">
        <f t="shared" si="23"/>
        <v>127358</v>
      </c>
      <c r="AW15" s="166">
        <f t="shared" ref="AW15" si="24">SUM(AW8:AW14)</f>
        <v>134383</v>
      </c>
      <c r="AX15" s="166">
        <f t="shared" ref="AX15:AY15" si="25">SUM(AX8:AX14)</f>
        <v>143083</v>
      </c>
      <c r="AY15" s="166">
        <f t="shared" si="25"/>
        <v>169961</v>
      </c>
      <c r="AZ15" s="165">
        <f>SUM(AZ8:AZ14)</f>
        <v>574785</v>
      </c>
      <c r="BA15" s="166">
        <f t="shared" ref="BA15" si="26">SUM(BA8:BA14)</f>
        <v>143313</v>
      </c>
      <c r="BB15" s="166">
        <f t="shared" ref="BB15" si="27">SUM(BB8:BB14)</f>
        <v>147977</v>
      </c>
      <c r="BC15" s="166">
        <f t="shared" ref="BC15" si="28">SUM(BC8:BC14)</f>
        <v>158877</v>
      </c>
      <c r="BD15" s="195">
        <f t="shared" ref="BD15" si="29">SUM(BD8:BD14)</f>
        <v>187876.36872679205</v>
      </c>
      <c r="BE15" s="243">
        <f>SUM(BE8:BE14)</f>
        <v>638043.36872679216</v>
      </c>
      <c r="BF15" s="195">
        <f t="shared" ref="BF15" si="30">SUM(BF8:BF14)</f>
        <v>157536.48000000001</v>
      </c>
      <c r="BG15" s="195">
        <f t="shared" ref="BG15" si="31">SUM(BG8:BG14)</f>
        <v>162805.96000000002</v>
      </c>
      <c r="BH15" s="195">
        <f t="shared" ref="BH15" si="32">SUM(BH8:BH14)</f>
        <v>174709.74</v>
      </c>
      <c r="BI15" s="195">
        <f t="shared" ref="BI15:BK15" si="33">SUM(BI8:BI14)</f>
        <v>206304.46277872135</v>
      </c>
      <c r="BJ15" s="243">
        <f>SUM(BJ8:BJ14)</f>
        <v>701356.64277872129</v>
      </c>
      <c r="BK15" s="243">
        <f t="shared" si="33"/>
        <v>766881.77609459031</v>
      </c>
      <c r="BL15" s="243">
        <f t="shared" ref="BL15:BM15" si="34">SUM(BL8:BL14)</f>
        <v>839695.29613399704</v>
      </c>
      <c r="BM15" s="243">
        <f t="shared" si="34"/>
        <v>920707.79522990016</v>
      </c>
      <c r="BO15" s="168"/>
    </row>
    <row r="16" spans="1:67" ht="16.5" x14ac:dyDescent="0.3">
      <c r="A16" s="17" t="s">
        <v>59</v>
      </c>
      <c r="B16" s="17"/>
      <c r="C16" s="17"/>
      <c r="D16" s="4"/>
      <c r="E16" s="18">
        <v>14896</v>
      </c>
      <c r="F16" s="18">
        <v>18978</v>
      </c>
      <c r="G16" s="18">
        <v>26561</v>
      </c>
      <c r="H16" s="18">
        <v>37288</v>
      </c>
      <c r="I16" s="18">
        <v>45971</v>
      </c>
      <c r="J16" s="18">
        <v>54181</v>
      </c>
      <c r="K16" s="18">
        <v>62752</v>
      </c>
      <c r="L16" s="18">
        <v>71651</v>
      </c>
      <c r="M16" s="32">
        <v>18866</v>
      </c>
      <c r="N16" s="32">
        <v>19180</v>
      </c>
      <c r="O16" s="32">
        <v>21260</v>
      </c>
      <c r="P16" s="32">
        <v>28958</v>
      </c>
      <c r="Q16" s="18">
        <v>88264</v>
      </c>
      <c r="R16" s="32">
        <v>22440</v>
      </c>
      <c r="S16" s="32">
        <v>23451</v>
      </c>
      <c r="T16" s="32">
        <v>27549</v>
      </c>
      <c r="U16" s="32">
        <v>38494</v>
      </c>
      <c r="V16" s="18">
        <v>111934</v>
      </c>
      <c r="W16" s="32">
        <v>30735</v>
      </c>
      <c r="X16" s="32">
        <v>30632</v>
      </c>
      <c r="Y16" s="32">
        <v>33003</v>
      </c>
      <c r="Z16" s="32">
        <v>44786</v>
      </c>
      <c r="AA16" s="18">
        <v>139156</v>
      </c>
      <c r="AB16" s="32">
        <v>33920</v>
      </c>
      <c r="AC16" s="32">
        <v>36337</v>
      </c>
      <c r="AD16" s="32">
        <v>41302</v>
      </c>
      <c r="AE16" s="32">
        <v>53977</v>
      </c>
      <c r="AF16" s="18">
        <v>165536</v>
      </c>
      <c r="AG16" s="32">
        <v>44257</v>
      </c>
      <c r="AH16" s="32">
        <v>52660</v>
      </c>
      <c r="AI16" s="32">
        <v>57106</v>
      </c>
      <c r="AJ16" s="32">
        <v>79284</v>
      </c>
      <c r="AK16" s="18">
        <v>233307</v>
      </c>
      <c r="AL16" s="32">
        <v>62403</v>
      </c>
      <c r="AM16" s="32">
        <v>64176</v>
      </c>
      <c r="AN16" s="32">
        <v>62930</v>
      </c>
      <c r="AO16" s="32">
        <v>82835</v>
      </c>
      <c r="AP16" s="18">
        <v>272344</v>
      </c>
      <c r="AQ16" s="32">
        <v>66499</v>
      </c>
      <c r="AR16" s="32">
        <v>66424</v>
      </c>
      <c r="AS16" s="32">
        <v>70268</v>
      </c>
      <c r="AT16" s="32">
        <v>85640</v>
      </c>
      <c r="AU16" s="18">
        <v>288831</v>
      </c>
      <c r="AV16" s="32">
        <v>67791</v>
      </c>
      <c r="AW16" s="32">
        <v>69373</v>
      </c>
      <c r="AX16" s="32">
        <v>75022</v>
      </c>
      <c r="AY16" s="32">
        <v>92553</v>
      </c>
      <c r="AZ16" s="18">
        <v>304739</v>
      </c>
      <c r="BA16" s="32">
        <v>72633</v>
      </c>
      <c r="BB16" s="32">
        <v>73785</v>
      </c>
      <c r="BC16" s="32">
        <v>80977</v>
      </c>
      <c r="BD16" s="196">
        <f>BD$15*'Assumptions + Estimates'!J23</f>
        <v>99574.475425199795</v>
      </c>
      <c r="BE16" s="244">
        <f t="shared" si="8"/>
        <v>326969.47542519978</v>
      </c>
      <c r="BF16" s="196">
        <f>BF$15*'Assumptions + Estimates'!$O23</f>
        <v>81918.969600000011</v>
      </c>
      <c r="BG16" s="196">
        <f>BG$15*'Assumptions + Estimates'!$O23</f>
        <v>84659.099200000011</v>
      </c>
      <c r="BH16" s="196">
        <f>BH$15*'Assumptions + Estimates'!$O23</f>
        <v>90849.064799999993</v>
      </c>
      <c r="BI16" s="196">
        <f>BI$15*'Assumptions + Estimates'!$O23</f>
        <v>107278.32064493511</v>
      </c>
      <c r="BJ16" s="244">
        <f t="shared" ref="BJ16" si="35">SUM(BF16:BI16)</f>
        <v>364705.45424493513</v>
      </c>
      <c r="BK16" s="244">
        <f>BK$15*'Assumptions + Estimates'!P23</f>
        <v>391109.70580824109</v>
      </c>
      <c r="BL16" s="244">
        <f>BL$15*'Assumptions + Estimates'!Q23</f>
        <v>419847.64806699852</v>
      </c>
      <c r="BM16" s="244">
        <f>BM$15*'Assumptions + Estimates'!R23</f>
        <v>451146.81966265105</v>
      </c>
    </row>
    <row r="17" spans="1:65" ht="16.5" x14ac:dyDescent="0.3">
      <c r="A17" s="36" t="s">
        <v>106</v>
      </c>
      <c r="B17" s="36"/>
      <c r="C17" s="9"/>
      <c r="D17" s="4"/>
      <c r="E17" s="20">
        <f>E15-E16</f>
        <v>4270</v>
      </c>
      <c r="F17" s="20">
        <f t="shared" ref="F17:P17" si="36">F15-F16</f>
        <v>5531</v>
      </c>
      <c r="G17" s="20">
        <f t="shared" si="36"/>
        <v>7643</v>
      </c>
      <c r="H17" s="20">
        <f t="shared" si="36"/>
        <v>10789</v>
      </c>
      <c r="I17" s="20">
        <f t="shared" si="36"/>
        <v>15122</v>
      </c>
      <c r="J17" s="20">
        <f t="shared" si="36"/>
        <v>20271</v>
      </c>
      <c r="K17" s="20">
        <f t="shared" si="36"/>
        <v>26236</v>
      </c>
      <c r="L17" s="20">
        <f t="shared" si="36"/>
        <v>35355</v>
      </c>
      <c r="M17" s="31">
        <f t="shared" si="36"/>
        <v>10262</v>
      </c>
      <c r="N17" s="31">
        <f t="shared" si="36"/>
        <v>11224</v>
      </c>
      <c r="O17" s="31">
        <f t="shared" si="36"/>
        <v>11454</v>
      </c>
      <c r="P17" s="31">
        <f t="shared" si="36"/>
        <v>14783</v>
      </c>
      <c r="Q17" s="20">
        <f>Q15-Q16</f>
        <v>47723</v>
      </c>
      <c r="R17" s="31">
        <f t="shared" ref="R17" si="37">R15-R16</f>
        <v>13274</v>
      </c>
      <c r="S17" s="31">
        <f t="shared" ref="S17" si="38">S15-S16</f>
        <v>14504</v>
      </c>
      <c r="T17" s="31">
        <f t="shared" ref="T17" si="39">T15-T16</f>
        <v>16195</v>
      </c>
      <c r="U17" s="31">
        <f t="shared" ref="U17:V17" si="40">U15-U16</f>
        <v>21959</v>
      </c>
      <c r="V17" s="20">
        <f t="shared" si="40"/>
        <v>65932</v>
      </c>
      <c r="W17" s="31">
        <f t="shared" ref="W17" si="41">W15-W16</f>
        <v>20307</v>
      </c>
      <c r="X17" s="31">
        <f t="shared" ref="X17" si="42">X15-X16</f>
        <v>22254</v>
      </c>
      <c r="Y17" s="31">
        <f t="shared" ref="Y17" si="43">Y15-Y16</f>
        <v>23573</v>
      </c>
      <c r="Z17" s="31">
        <f t="shared" ref="Z17:AA17" si="44">Z15-Z16</f>
        <v>27597</v>
      </c>
      <c r="AA17" s="20">
        <f t="shared" si="44"/>
        <v>93731</v>
      </c>
      <c r="AB17" s="31">
        <f t="shared" ref="AB17" si="45">AB15-AB16</f>
        <v>25780</v>
      </c>
      <c r="AC17" s="31">
        <f t="shared" ref="AC17" si="46">AC15-AC16</f>
        <v>27067</v>
      </c>
      <c r="AD17" s="31">
        <f t="shared" ref="AD17" si="47">AD15-AD16</f>
        <v>28679</v>
      </c>
      <c r="AE17" s="31">
        <f t="shared" ref="AE17:AF17" si="48">AE15-AE16</f>
        <v>33460</v>
      </c>
      <c r="AF17" s="20">
        <f t="shared" si="48"/>
        <v>114986</v>
      </c>
      <c r="AG17" s="31">
        <f t="shared" ref="AG17" si="49">AG15-AG16</f>
        <v>31195</v>
      </c>
      <c r="AH17" s="31">
        <f t="shared" ref="AH17" si="50">AH15-AH16</f>
        <v>36252</v>
      </c>
      <c r="AI17" s="31">
        <f t="shared" ref="AI17" si="51">AI15-AI16</f>
        <v>39039</v>
      </c>
      <c r="AJ17" s="31">
        <f t="shared" ref="AJ17:AK17" si="52">AJ15-AJ16</f>
        <v>46271</v>
      </c>
      <c r="AK17" s="20">
        <f t="shared" si="52"/>
        <v>152757</v>
      </c>
      <c r="AL17" s="31">
        <f t="shared" ref="AL17" si="53">AL15-AL16</f>
        <v>46115</v>
      </c>
      <c r="AM17" s="31">
        <f t="shared" ref="AM17" si="54">AM15-AM16</f>
        <v>48904</v>
      </c>
      <c r="AN17" s="31">
        <f t="shared" ref="AN17" si="55">AN15-AN16</f>
        <v>47882</v>
      </c>
      <c r="AO17" s="31">
        <f t="shared" ref="AO17:AP17" si="56">AO15-AO16</f>
        <v>54577</v>
      </c>
      <c r="AP17" s="20">
        <f t="shared" si="56"/>
        <v>197478</v>
      </c>
      <c r="AQ17" s="31">
        <f t="shared" ref="AQ17" si="57">AQ15-AQ16</f>
        <v>49945</v>
      </c>
      <c r="AR17" s="31">
        <f t="shared" ref="AR17" si="58">AR15-AR16</f>
        <v>54810</v>
      </c>
      <c r="AS17" s="31">
        <f t="shared" ref="AS17" si="59">AS15-AS16</f>
        <v>56833</v>
      </c>
      <c r="AT17" s="31">
        <f t="shared" ref="AT17:AU17" si="60">AT15-AT16</f>
        <v>63564</v>
      </c>
      <c r="AU17" s="20">
        <f t="shared" si="60"/>
        <v>225152</v>
      </c>
      <c r="AV17" s="31">
        <f t="shared" ref="AV17" si="61">AV15-AV16</f>
        <v>59567</v>
      </c>
      <c r="AW17" s="31">
        <f t="shared" ref="AW17" si="62">AW15-AW16</f>
        <v>65010</v>
      </c>
      <c r="AX17" s="31">
        <f t="shared" ref="AX17" si="63">AX15-AX16</f>
        <v>68061</v>
      </c>
      <c r="AY17" s="31">
        <f t="shared" ref="AY17" si="64">AY15-AY16</f>
        <v>77408</v>
      </c>
      <c r="AZ17" s="20">
        <f>AZ15-AZ16</f>
        <v>270046</v>
      </c>
      <c r="BA17" s="31">
        <f t="shared" ref="BA17" si="65">BA15-BA16</f>
        <v>70680</v>
      </c>
      <c r="BB17" s="31">
        <f t="shared" ref="BB17" si="66">BB15-BB16</f>
        <v>74192</v>
      </c>
      <c r="BC17" s="31">
        <f t="shared" ref="BC17" si="67">BC15-BC16</f>
        <v>77900</v>
      </c>
      <c r="BD17" s="190">
        <f>BD15-BD16</f>
        <v>88301.893301592252</v>
      </c>
      <c r="BE17" s="245">
        <f>BE15-BE16</f>
        <v>311073.89330159238</v>
      </c>
      <c r="BF17" s="190">
        <f t="shared" ref="BF17" si="68">BF15-BF16</f>
        <v>75617.510399999999</v>
      </c>
      <c r="BG17" s="190">
        <f t="shared" ref="BG17" si="69">BG15-BG16</f>
        <v>78146.860800000009</v>
      </c>
      <c r="BH17" s="190">
        <f t="shared" ref="BH17" si="70">BH15-BH16</f>
        <v>83860.675199999998</v>
      </c>
      <c r="BI17" s="190">
        <f t="shared" ref="BI17:BK17" si="71">BI15-BI16</f>
        <v>99026.142133786241</v>
      </c>
      <c r="BJ17" s="245">
        <f>BJ15-BJ16</f>
        <v>336651.18853378616</v>
      </c>
      <c r="BK17" s="245">
        <f t="shared" si="71"/>
        <v>375772.07028634922</v>
      </c>
      <c r="BL17" s="245">
        <f t="shared" ref="BL17:BM17" si="72">BL15-BL16</f>
        <v>419847.64806699852</v>
      </c>
      <c r="BM17" s="245">
        <f t="shared" si="72"/>
        <v>469560.97556724912</v>
      </c>
    </row>
    <row r="18" spans="1:65" ht="16.5" x14ac:dyDescent="0.3">
      <c r="A18" s="4" t="s">
        <v>60</v>
      </c>
      <c r="B18" s="4"/>
      <c r="C18" s="4"/>
      <c r="D18" s="4"/>
      <c r="E18" s="21">
        <v>1658</v>
      </c>
      <c r="F18" s="21">
        <v>2052</v>
      </c>
      <c r="G18" s="21">
        <v>2898</v>
      </c>
      <c r="H18" s="21">
        <v>4576</v>
      </c>
      <c r="I18" s="21">
        <v>6419</v>
      </c>
      <c r="J18" s="21">
        <v>8585</v>
      </c>
      <c r="K18" s="21">
        <v>10766</v>
      </c>
      <c r="L18" s="21">
        <v>13410</v>
      </c>
      <c r="M18" s="30">
        <v>3687</v>
      </c>
      <c r="N18" s="30">
        <v>3878</v>
      </c>
      <c r="O18" s="30">
        <v>4335</v>
      </c>
      <c r="P18" s="30">
        <v>5719</v>
      </c>
      <c r="Q18" s="21">
        <v>17619</v>
      </c>
      <c r="R18" s="30">
        <v>4697</v>
      </c>
      <c r="S18" s="30">
        <v>5158</v>
      </c>
      <c r="T18" s="30">
        <v>6420</v>
      </c>
      <c r="U18" s="30">
        <v>8974</v>
      </c>
      <c r="V18" s="21">
        <v>25249</v>
      </c>
      <c r="W18" s="30">
        <v>7792</v>
      </c>
      <c r="X18" s="30">
        <v>7932</v>
      </c>
      <c r="Y18" s="30">
        <v>8275</v>
      </c>
      <c r="Z18" s="30">
        <v>10028</v>
      </c>
      <c r="AA18" s="21">
        <v>34027</v>
      </c>
      <c r="AB18" s="30">
        <v>8601</v>
      </c>
      <c r="AC18" s="30">
        <v>9271</v>
      </c>
      <c r="AD18" s="30">
        <v>10167</v>
      </c>
      <c r="AE18" s="30">
        <v>12192</v>
      </c>
      <c r="AF18" s="21">
        <v>40231</v>
      </c>
      <c r="AG18" s="30">
        <v>11531</v>
      </c>
      <c r="AH18" s="30">
        <v>13806</v>
      </c>
      <c r="AI18" s="30">
        <v>14705</v>
      </c>
      <c r="AJ18" s="30">
        <v>18474</v>
      </c>
      <c r="AK18" s="21">
        <v>58516</v>
      </c>
      <c r="AL18" s="30">
        <v>16530</v>
      </c>
      <c r="AM18" s="30">
        <v>17638</v>
      </c>
      <c r="AN18" s="30">
        <v>18498</v>
      </c>
      <c r="AO18" s="30">
        <v>22445</v>
      </c>
      <c r="AP18" s="21">
        <v>75111</v>
      </c>
      <c r="AQ18" s="30">
        <v>20271</v>
      </c>
      <c r="AR18" s="30">
        <v>20342</v>
      </c>
      <c r="AS18" s="30">
        <v>20583</v>
      </c>
      <c r="AT18" s="30">
        <v>23103</v>
      </c>
      <c r="AU18" s="21">
        <v>84299</v>
      </c>
      <c r="AV18" s="30">
        <v>20905</v>
      </c>
      <c r="AW18" s="30">
        <v>21305</v>
      </c>
      <c r="AX18" s="30">
        <v>22314</v>
      </c>
      <c r="AY18" s="30">
        <v>26095</v>
      </c>
      <c r="AZ18" s="21">
        <v>90619</v>
      </c>
      <c r="BA18" s="30">
        <v>22317</v>
      </c>
      <c r="BB18" s="30">
        <v>23566</v>
      </c>
      <c r="BC18" s="30">
        <v>24660</v>
      </c>
      <c r="BD18" s="189">
        <f>BD$15*'Assumptions + Estimates'!J25</f>
        <v>28932.960783925973</v>
      </c>
      <c r="BE18" s="141">
        <f t="shared" si="8"/>
        <v>99475.96078392597</v>
      </c>
      <c r="BF18" s="189">
        <f>BF$15*'Assumptions + Estimates'!$O25</f>
        <v>24260.617920000001</v>
      </c>
      <c r="BG18" s="189">
        <f>BG$15*'Assumptions + Estimates'!$O25</f>
        <v>25072.117840000003</v>
      </c>
      <c r="BH18" s="189">
        <f>BH$15*'Assumptions + Estimates'!$O25</f>
        <v>26905.299959999997</v>
      </c>
      <c r="BI18" s="189">
        <f>BI$15*'Assumptions + Estimates'!$O25</f>
        <v>31770.887267923088</v>
      </c>
      <c r="BJ18" s="141">
        <f t="shared" ref="BJ18:BJ22" si="73">SUM(BF18:BI18)</f>
        <v>108008.92298792308</v>
      </c>
      <c r="BK18" s="141">
        <f>BK$15*'Assumptions + Estimates'!P25</f>
        <v>115032.26641418855</v>
      </c>
      <c r="BL18" s="141">
        <f>BL$15*'Assumptions + Estimates'!Q25</f>
        <v>125954.29442009956</v>
      </c>
      <c r="BM18" s="141">
        <f>BM$15*'Assumptions + Estimates'!R25</f>
        <v>138106.16928448502</v>
      </c>
    </row>
    <row r="19" spans="1:65" ht="16.5" x14ac:dyDescent="0.3">
      <c r="A19" s="4" t="s">
        <v>61</v>
      </c>
      <c r="B19" s="4"/>
      <c r="C19" s="4"/>
      <c r="D19" s="4"/>
      <c r="E19" s="13">
        <v>482</v>
      </c>
      <c r="F19" s="13">
        <v>680</v>
      </c>
      <c r="G19" s="21">
        <v>1029</v>
      </c>
      <c r="H19" s="21">
        <v>1630</v>
      </c>
      <c r="I19" s="21">
        <v>2408</v>
      </c>
      <c r="J19" s="21">
        <v>3133</v>
      </c>
      <c r="K19" s="21">
        <v>4332</v>
      </c>
      <c r="L19" s="21">
        <v>5254</v>
      </c>
      <c r="M19" s="30">
        <v>1436</v>
      </c>
      <c r="N19" s="30">
        <v>1546</v>
      </c>
      <c r="O19" s="30">
        <v>1738</v>
      </c>
      <c r="P19" s="30">
        <v>2513</v>
      </c>
      <c r="Q19" s="21">
        <v>7233</v>
      </c>
      <c r="R19" s="30">
        <v>1920</v>
      </c>
      <c r="S19" s="30">
        <v>2229</v>
      </c>
      <c r="T19" s="30">
        <v>2479</v>
      </c>
      <c r="U19" s="30">
        <v>3440</v>
      </c>
      <c r="V19" s="21">
        <v>10068</v>
      </c>
      <c r="W19" s="30">
        <v>2699</v>
      </c>
      <c r="X19" s="30">
        <v>2901</v>
      </c>
      <c r="Y19" s="30">
        <v>3303</v>
      </c>
      <c r="Z19" s="30">
        <v>7669</v>
      </c>
      <c r="AA19" s="21">
        <v>16572</v>
      </c>
      <c r="AB19" s="30">
        <v>7927</v>
      </c>
      <c r="AC19" s="30">
        <v>9065</v>
      </c>
      <c r="AD19" s="30">
        <v>9200</v>
      </c>
      <c r="AE19" s="30">
        <v>9740</v>
      </c>
      <c r="AF19" s="21">
        <v>35932</v>
      </c>
      <c r="AG19" s="30">
        <v>9325</v>
      </c>
      <c r="AH19" s="30">
        <v>10388</v>
      </c>
      <c r="AI19" s="30">
        <v>10976</v>
      </c>
      <c r="AJ19" s="30">
        <v>12049</v>
      </c>
      <c r="AK19" s="21">
        <v>42738</v>
      </c>
      <c r="AL19" s="30">
        <v>12488</v>
      </c>
      <c r="AM19" s="30">
        <v>13871</v>
      </c>
      <c r="AN19" s="30">
        <v>14380</v>
      </c>
      <c r="AO19" s="30">
        <v>15313</v>
      </c>
      <c r="AP19" s="21">
        <v>56052</v>
      </c>
      <c r="AQ19" s="30">
        <v>14842</v>
      </c>
      <c r="AR19" s="30">
        <v>18072</v>
      </c>
      <c r="AS19" s="30">
        <v>19485</v>
      </c>
      <c r="AT19" s="30">
        <v>20814</v>
      </c>
      <c r="AU19" s="21">
        <v>73213</v>
      </c>
      <c r="AV19" s="30">
        <v>20450</v>
      </c>
      <c r="AW19" s="30">
        <v>21931</v>
      </c>
      <c r="AX19" s="30">
        <v>21203</v>
      </c>
      <c r="AY19" s="30">
        <v>22038</v>
      </c>
      <c r="AZ19" s="21">
        <v>85622</v>
      </c>
      <c r="BA19" s="30">
        <v>20424</v>
      </c>
      <c r="BB19" s="30">
        <v>22304</v>
      </c>
      <c r="BC19" s="30">
        <v>22245</v>
      </c>
      <c r="BD19" s="189">
        <f>BD$15*'Assumptions + Estimates'!J26</f>
        <v>24423.927934482967</v>
      </c>
      <c r="BE19" s="141">
        <f t="shared" si="8"/>
        <v>89396.92793448297</v>
      </c>
      <c r="BF19" s="189">
        <f>BF$15*'Assumptions + Estimates'!$O26</f>
        <v>20479.742400000003</v>
      </c>
      <c r="BG19" s="189">
        <f>BG$15*'Assumptions + Estimates'!$O26</f>
        <v>21164.774800000003</v>
      </c>
      <c r="BH19" s="189">
        <f>BH$15*'Assumptions + Estimates'!$O26</f>
        <v>22712.266199999998</v>
      </c>
      <c r="BI19" s="189">
        <f>BI$15*'Assumptions + Estimates'!$O26</f>
        <v>26819.580161233778</v>
      </c>
      <c r="BJ19" s="141">
        <f t="shared" si="73"/>
        <v>91176.363561233782</v>
      </c>
      <c r="BK19" s="141">
        <f>BK$15*'Assumptions + Estimates'!P26</f>
        <v>99694.630892296744</v>
      </c>
      <c r="BL19" s="141">
        <f>BL$15*'Assumptions + Estimates'!Q26</f>
        <v>117557.34145875959</v>
      </c>
      <c r="BM19" s="141">
        <f>BM$15*'Assumptions + Estimates'!R26</f>
        <v>138106.16928448502</v>
      </c>
    </row>
    <row r="20" spans="1:65" ht="16.5" x14ac:dyDescent="0.3">
      <c r="A20" s="4" t="s">
        <v>62</v>
      </c>
      <c r="B20" s="4"/>
      <c r="C20" s="4"/>
      <c r="D20" s="4"/>
      <c r="E20" s="21">
        <v>1033</v>
      </c>
      <c r="F20" s="21">
        <v>1240</v>
      </c>
      <c r="G20" s="21">
        <v>1734</v>
      </c>
      <c r="H20" s="21">
        <v>2909</v>
      </c>
      <c r="I20" s="21">
        <v>4564</v>
      </c>
      <c r="J20" s="21">
        <v>6565</v>
      </c>
      <c r="K20" s="21">
        <v>9275</v>
      </c>
      <c r="L20" s="21">
        <v>12540</v>
      </c>
      <c r="M20" s="30">
        <v>3526</v>
      </c>
      <c r="N20" s="30">
        <v>3880</v>
      </c>
      <c r="O20" s="30">
        <v>4135</v>
      </c>
      <c r="P20" s="30">
        <v>4545</v>
      </c>
      <c r="Q20" s="21">
        <v>16086</v>
      </c>
      <c r="R20" s="30">
        <v>4813</v>
      </c>
      <c r="S20" s="30">
        <v>5549</v>
      </c>
      <c r="T20" s="30">
        <v>5944</v>
      </c>
      <c r="U20" s="30">
        <v>6314</v>
      </c>
      <c r="V20" s="21">
        <v>22620</v>
      </c>
      <c r="W20" s="30">
        <v>6759</v>
      </c>
      <c r="X20" s="30">
        <v>7247</v>
      </c>
      <c r="Y20" s="30">
        <v>7162</v>
      </c>
      <c r="Z20" s="30">
        <v>4911</v>
      </c>
      <c r="AA20" s="21">
        <v>26079</v>
      </c>
      <c r="AB20" s="30">
        <v>3664</v>
      </c>
      <c r="AC20" s="30">
        <v>4291</v>
      </c>
      <c r="AD20" s="30">
        <v>4752</v>
      </c>
      <c r="AE20" s="30">
        <v>6172</v>
      </c>
      <c r="AF20" s="21">
        <v>18879</v>
      </c>
      <c r="AG20" s="30">
        <v>4828</v>
      </c>
      <c r="AH20" s="30">
        <v>4345</v>
      </c>
      <c r="AI20" s="30">
        <v>5434</v>
      </c>
      <c r="AJ20" s="30">
        <v>7403</v>
      </c>
      <c r="AK20" s="21">
        <v>22010</v>
      </c>
      <c r="AL20" s="30">
        <v>6207</v>
      </c>
      <c r="AM20" s="30">
        <v>7524</v>
      </c>
      <c r="AN20" s="30">
        <v>8010</v>
      </c>
      <c r="AO20" s="30">
        <v>10810</v>
      </c>
      <c r="AP20" s="21">
        <v>32551</v>
      </c>
      <c r="AQ20" s="30">
        <v>8320</v>
      </c>
      <c r="AR20" s="30">
        <v>10086</v>
      </c>
      <c r="AS20" s="30">
        <v>11014</v>
      </c>
      <c r="AT20" s="30">
        <v>12818</v>
      </c>
      <c r="AU20" s="21">
        <v>42238</v>
      </c>
      <c r="AV20" s="30">
        <v>10172</v>
      </c>
      <c r="AW20" s="30">
        <v>10745</v>
      </c>
      <c r="AX20" s="30">
        <v>10551</v>
      </c>
      <c r="AY20" s="30">
        <v>12902</v>
      </c>
      <c r="AZ20" s="21">
        <v>44370</v>
      </c>
      <c r="BA20" s="30">
        <v>9662</v>
      </c>
      <c r="BB20" s="30">
        <v>10512</v>
      </c>
      <c r="BC20" s="30">
        <v>10609</v>
      </c>
      <c r="BD20" s="189">
        <f>BD$15*'Assumptions + Estimates'!J27</f>
        <v>13151.345810875444</v>
      </c>
      <c r="BE20" s="141">
        <f t="shared" si="8"/>
        <v>43934.345810875442</v>
      </c>
      <c r="BF20" s="189">
        <f>BF$15*'Assumptions + Estimates'!$O27</f>
        <v>11027.553600000001</v>
      </c>
      <c r="BG20" s="189">
        <f>BG$15*'Assumptions + Estimates'!$O27</f>
        <v>11396.417200000002</v>
      </c>
      <c r="BH20" s="189">
        <f>BH$15*'Assumptions + Estimates'!$O27</f>
        <v>12229.6818</v>
      </c>
      <c r="BI20" s="189">
        <f>BI$15*'Assumptions + Estimates'!$O27</f>
        <v>14441.312394510496</v>
      </c>
      <c r="BJ20" s="141">
        <f t="shared" si="73"/>
        <v>49094.964994510497</v>
      </c>
      <c r="BK20" s="141">
        <f>BK$15*'Assumptions + Estimates'!P27</f>
        <v>61350.542087567228</v>
      </c>
      <c r="BL20" s="141">
        <f>BL$15*'Assumptions + Estimates'!Q27</f>
        <v>67175.62369071976</v>
      </c>
      <c r="BM20" s="141">
        <f>BM$15*'Assumptions + Estimates'!R27</f>
        <v>73656.623618392012</v>
      </c>
    </row>
    <row r="21" spans="1:65" ht="16.5" x14ac:dyDescent="0.3">
      <c r="A21" s="4" t="s">
        <v>63</v>
      </c>
      <c r="B21" s="4"/>
      <c r="C21" s="4"/>
      <c r="D21" s="4"/>
      <c r="E21" s="13">
        <v>279</v>
      </c>
      <c r="F21" s="13">
        <v>328</v>
      </c>
      <c r="G21" s="13">
        <v>470</v>
      </c>
      <c r="H21" s="13">
        <v>658</v>
      </c>
      <c r="I21" s="13">
        <v>896</v>
      </c>
      <c r="J21" s="21">
        <v>1129</v>
      </c>
      <c r="K21" s="21">
        <v>1552</v>
      </c>
      <c r="L21" s="21">
        <v>1747</v>
      </c>
      <c r="M21" s="29">
        <v>497</v>
      </c>
      <c r="N21" s="29">
        <v>580</v>
      </c>
      <c r="O21" s="29">
        <v>639</v>
      </c>
      <c r="P21" s="29">
        <v>717</v>
      </c>
      <c r="Q21" s="21">
        <v>2433</v>
      </c>
      <c r="R21" s="29">
        <v>795</v>
      </c>
      <c r="S21" s="29">
        <v>874</v>
      </c>
      <c r="T21" s="29">
        <v>960</v>
      </c>
      <c r="U21" s="30">
        <v>1044</v>
      </c>
      <c r="V21" s="21">
        <v>3673</v>
      </c>
      <c r="W21" s="30">
        <v>1067</v>
      </c>
      <c r="X21" s="30">
        <v>1111</v>
      </c>
      <c r="Y21" s="30">
        <v>1041</v>
      </c>
      <c r="Z21" s="30">
        <v>1117</v>
      </c>
      <c r="AA21" s="21">
        <v>4336</v>
      </c>
      <c r="AB21" s="30">
        <v>1173</v>
      </c>
      <c r="AC21" s="30">
        <v>1270</v>
      </c>
      <c r="AD21" s="30">
        <v>1348</v>
      </c>
      <c r="AE21" s="30">
        <v>1412</v>
      </c>
      <c r="AF21" s="21">
        <v>5203</v>
      </c>
      <c r="AG21" s="30">
        <v>1452</v>
      </c>
      <c r="AH21" s="30">
        <v>1580</v>
      </c>
      <c r="AI21" s="30">
        <v>1668</v>
      </c>
      <c r="AJ21" s="30">
        <v>1968</v>
      </c>
      <c r="AK21" s="21">
        <v>6668</v>
      </c>
      <c r="AL21" s="30">
        <v>1987</v>
      </c>
      <c r="AM21" s="30">
        <v>2158</v>
      </c>
      <c r="AN21" s="30">
        <v>2153</v>
      </c>
      <c r="AO21" s="30">
        <v>2525</v>
      </c>
      <c r="AP21" s="21">
        <v>8823</v>
      </c>
      <c r="AQ21" s="30">
        <v>2594</v>
      </c>
      <c r="AR21" s="30">
        <v>2903</v>
      </c>
      <c r="AS21" s="30">
        <v>3061</v>
      </c>
      <c r="AT21" s="30">
        <v>3333</v>
      </c>
      <c r="AU21" s="21">
        <v>11891</v>
      </c>
      <c r="AV21" s="30">
        <v>3043</v>
      </c>
      <c r="AW21" s="30">
        <v>3202</v>
      </c>
      <c r="AX21" s="30">
        <v>2561</v>
      </c>
      <c r="AY21" s="30">
        <v>3010</v>
      </c>
      <c r="AZ21" s="21">
        <v>11816</v>
      </c>
      <c r="BA21" s="30">
        <v>2742</v>
      </c>
      <c r="BB21" s="30">
        <v>3041</v>
      </c>
      <c r="BC21" s="30">
        <v>2713</v>
      </c>
      <c r="BD21" s="189">
        <f>BD$15*'Assumptions + Estimates'!J28</f>
        <v>3757.5273745358409</v>
      </c>
      <c r="BE21" s="141">
        <f t="shared" si="8"/>
        <v>12253.527374535841</v>
      </c>
      <c r="BF21" s="189">
        <f>BF$15*'Assumptions + Estimates'!$O28</f>
        <v>3150.7296000000001</v>
      </c>
      <c r="BG21" s="189">
        <f>BG$15*'Assumptions + Estimates'!$O28</f>
        <v>3256.1192000000005</v>
      </c>
      <c r="BH21" s="189">
        <f>BH$15*'Assumptions + Estimates'!$O28</f>
        <v>3494.1947999999998</v>
      </c>
      <c r="BI21" s="189">
        <f>BI$15*'Assumptions + Estimates'!$O28</f>
        <v>4126.0892555744267</v>
      </c>
      <c r="BJ21" s="141">
        <f t="shared" si="73"/>
        <v>14027.132855574428</v>
      </c>
      <c r="BK21" s="141">
        <f>BK$15*'Assumptions + Estimates'!P28</f>
        <v>19172.044402364758</v>
      </c>
      <c r="BL21" s="141">
        <f>BL$15*'Assumptions + Estimates'!Q28</f>
        <v>25190.858884019912</v>
      </c>
      <c r="BM21" s="141">
        <f>BM$15*'Assumptions + Estimates'!R28</f>
        <v>27621.233856897004</v>
      </c>
    </row>
    <row r="22" spans="1:65" ht="16.5" x14ac:dyDescent="0.3">
      <c r="A22" s="17" t="s">
        <v>64</v>
      </c>
      <c r="B22" s="17"/>
      <c r="C22" s="17"/>
      <c r="D22" s="17"/>
      <c r="E22" s="33">
        <v>-24</v>
      </c>
      <c r="F22" s="33">
        <v>102</v>
      </c>
      <c r="G22" s="33">
        <v>106</v>
      </c>
      <c r="H22" s="33">
        <v>154</v>
      </c>
      <c r="I22" s="33">
        <v>159</v>
      </c>
      <c r="J22" s="33">
        <v>114</v>
      </c>
      <c r="K22" s="33">
        <v>133</v>
      </c>
      <c r="L22" s="33">
        <v>171</v>
      </c>
      <c r="M22" s="34">
        <v>45</v>
      </c>
      <c r="N22" s="34">
        <v>55</v>
      </c>
      <c r="O22" s="34">
        <v>32</v>
      </c>
      <c r="P22" s="34">
        <v>34</v>
      </c>
      <c r="Q22" s="33">
        <v>166</v>
      </c>
      <c r="R22" s="34">
        <v>44</v>
      </c>
      <c r="S22" s="34">
        <v>66</v>
      </c>
      <c r="T22" s="34">
        <v>45</v>
      </c>
      <c r="U22" s="34">
        <v>60</v>
      </c>
      <c r="V22" s="33">
        <v>215</v>
      </c>
      <c r="W22" s="34">
        <v>63</v>
      </c>
      <c r="X22" s="34">
        <v>80</v>
      </c>
      <c r="Y22" s="34">
        <v>68</v>
      </c>
      <c r="Z22" s="34">
        <v>86</v>
      </c>
      <c r="AA22" s="33">
        <v>297</v>
      </c>
      <c r="AB22" s="34">
        <v>-5</v>
      </c>
      <c r="AC22" s="34">
        <v>86</v>
      </c>
      <c r="AD22" s="34">
        <v>55</v>
      </c>
      <c r="AE22" s="34">
        <v>65</v>
      </c>
      <c r="AF22" s="33">
        <v>201</v>
      </c>
      <c r="AG22" s="34">
        <v>70</v>
      </c>
      <c r="AH22" s="34">
        <v>290</v>
      </c>
      <c r="AI22" s="34">
        <v>62</v>
      </c>
      <c r="AJ22" s="34">
        <v>-496</v>
      </c>
      <c r="AK22" s="33">
        <v>-74</v>
      </c>
      <c r="AL22" s="34">
        <v>38</v>
      </c>
      <c r="AM22" s="34">
        <v>11</v>
      </c>
      <c r="AN22" s="34">
        <v>-11</v>
      </c>
      <c r="AO22" s="34">
        <v>24</v>
      </c>
      <c r="AP22" s="33">
        <v>62</v>
      </c>
      <c r="AQ22" s="34">
        <v>249</v>
      </c>
      <c r="AR22" s="34">
        <v>90</v>
      </c>
      <c r="AS22" s="34">
        <v>165</v>
      </c>
      <c r="AT22" s="34">
        <v>759</v>
      </c>
      <c r="AU22" s="35">
        <v>1263</v>
      </c>
      <c r="AV22" s="34">
        <v>223</v>
      </c>
      <c r="AW22" s="34">
        <v>146</v>
      </c>
      <c r="AX22" s="34">
        <v>244</v>
      </c>
      <c r="AY22" s="34">
        <v>154</v>
      </c>
      <c r="AZ22" s="33">
        <v>767</v>
      </c>
      <c r="BA22" s="34">
        <v>228</v>
      </c>
      <c r="BB22" s="34">
        <v>97</v>
      </c>
      <c r="BC22" s="34">
        <v>262</v>
      </c>
      <c r="BD22" s="206">
        <f>BD$15*'Assumptions + Estimates'!J29</f>
        <v>187.87636872679204</v>
      </c>
      <c r="BE22" s="246">
        <f t="shared" si="8"/>
        <v>774.87636872679207</v>
      </c>
      <c r="BF22" s="206">
        <f>BF$15*'Assumptions + Estimates'!$O29</f>
        <v>157.53648000000001</v>
      </c>
      <c r="BG22" s="206">
        <f>BG$15*'Assumptions + Estimates'!$O29</f>
        <v>162.80596000000003</v>
      </c>
      <c r="BH22" s="206">
        <f>BH$15*'Assumptions + Estimates'!$O29</f>
        <v>174.70973999999998</v>
      </c>
      <c r="BI22" s="206">
        <f>BI$15*'Assumptions + Estimates'!$O29</f>
        <v>206.30446277872136</v>
      </c>
      <c r="BJ22" s="246">
        <f t="shared" si="73"/>
        <v>701.35664277872138</v>
      </c>
      <c r="BK22" s="246">
        <f>BK$15*'Assumptions + Estimates'!P29</f>
        <v>766.88177609459035</v>
      </c>
      <c r="BL22" s="246">
        <f>BL$15*'Assumptions + Estimates'!Q29</f>
        <v>839.69529613399709</v>
      </c>
      <c r="BM22" s="246">
        <f>BM$15*'Assumptions + Estimates'!R29</f>
        <v>920.70779522990017</v>
      </c>
    </row>
    <row r="23" spans="1:65" ht="16.5" x14ac:dyDescent="0.3">
      <c r="A23" s="17" t="s">
        <v>107</v>
      </c>
      <c r="B23" s="17"/>
      <c r="C23" s="17"/>
      <c r="D23" s="4"/>
      <c r="E23" s="18">
        <f>SUM(E18:E22)</f>
        <v>3428</v>
      </c>
      <c r="F23" s="18">
        <f t="shared" ref="F23:L23" si="74">SUM(F18:F22)</f>
        <v>4402</v>
      </c>
      <c r="G23" s="18">
        <f t="shared" si="74"/>
        <v>6237</v>
      </c>
      <c r="H23" s="18">
        <f t="shared" si="74"/>
        <v>9927</v>
      </c>
      <c r="I23" s="18">
        <f t="shared" si="74"/>
        <v>14446</v>
      </c>
      <c r="J23" s="18">
        <f t="shared" si="74"/>
        <v>19526</v>
      </c>
      <c r="K23" s="18">
        <f t="shared" si="74"/>
        <v>26058</v>
      </c>
      <c r="L23" s="18">
        <f t="shared" si="74"/>
        <v>33122</v>
      </c>
      <c r="M23" s="32">
        <f>SUM(M18:M22)</f>
        <v>9191</v>
      </c>
      <c r="N23" s="32">
        <f t="shared" ref="N23:P23" si="75">SUM(N18:N22)</f>
        <v>9939</v>
      </c>
      <c r="O23" s="32">
        <f t="shared" si="75"/>
        <v>10879</v>
      </c>
      <c r="P23" s="32">
        <f t="shared" si="75"/>
        <v>13528</v>
      </c>
      <c r="Q23" s="18">
        <f>SUM(Q18:Q22)</f>
        <v>43537</v>
      </c>
      <c r="R23" s="32">
        <f t="shared" ref="R23" si="76">SUM(R18:R22)</f>
        <v>12269</v>
      </c>
      <c r="S23" s="32">
        <f t="shared" ref="S23" si="77">SUM(S18:S22)</f>
        <v>13876</v>
      </c>
      <c r="T23" s="32">
        <f t="shared" ref="T23" si="78">SUM(T18:T22)</f>
        <v>15848</v>
      </c>
      <c r="U23" s="32">
        <f t="shared" ref="U23:W23" si="79">SUM(U18:U22)</f>
        <v>19832</v>
      </c>
      <c r="V23" s="18">
        <f t="shared" si="79"/>
        <v>61825</v>
      </c>
      <c r="W23" s="32">
        <f t="shared" si="79"/>
        <v>18380</v>
      </c>
      <c r="X23" s="32">
        <f t="shared" ref="X23" si="80">SUM(X18:X22)</f>
        <v>19271</v>
      </c>
      <c r="Y23" s="32">
        <f t="shared" ref="Y23" si="81">SUM(Y18:Y22)</f>
        <v>19849</v>
      </c>
      <c r="Z23" s="32">
        <f t="shared" ref="Z23:AB23" si="82">SUM(Z18:Z22)</f>
        <v>23811</v>
      </c>
      <c r="AA23" s="18">
        <f t="shared" si="82"/>
        <v>81311</v>
      </c>
      <c r="AB23" s="32">
        <f t="shared" si="82"/>
        <v>21360</v>
      </c>
      <c r="AC23" s="32">
        <f t="shared" ref="AC23" si="83">SUM(AC18:AC22)</f>
        <v>23983</v>
      </c>
      <c r="AD23" s="32">
        <f t="shared" ref="AD23" si="84">SUM(AD18:AD22)</f>
        <v>25522</v>
      </c>
      <c r="AE23" s="32">
        <f t="shared" ref="AE23:AG23" si="85">SUM(AE18:AE22)</f>
        <v>29581</v>
      </c>
      <c r="AF23" s="18">
        <f t="shared" si="85"/>
        <v>100446</v>
      </c>
      <c r="AG23" s="32">
        <f t="shared" si="85"/>
        <v>27206</v>
      </c>
      <c r="AH23" s="32">
        <f t="shared" ref="AH23" si="86">SUM(AH18:AH22)</f>
        <v>30409</v>
      </c>
      <c r="AI23" s="32">
        <f t="shared" ref="AI23" si="87">SUM(AI18:AI22)</f>
        <v>32845</v>
      </c>
      <c r="AJ23" s="32">
        <f t="shared" ref="AJ23:AL23" si="88">SUM(AJ18:AJ22)</f>
        <v>39398</v>
      </c>
      <c r="AK23" s="18">
        <f t="shared" si="88"/>
        <v>129858</v>
      </c>
      <c r="AL23" s="32">
        <f t="shared" si="88"/>
        <v>37250</v>
      </c>
      <c r="AM23" s="32">
        <f t="shared" ref="AM23" si="89">SUM(AM18:AM22)</f>
        <v>41202</v>
      </c>
      <c r="AN23" s="32">
        <f t="shared" ref="AN23" si="90">SUM(AN18:AN22)</f>
        <v>43030</v>
      </c>
      <c r="AO23" s="32">
        <f t="shared" ref="AO23:AQ23" si="91">SUM(AO18:AO22)</f>
        <v>51117</v>
      </c>
      <c r="AP23" s="18">
        <f t="shared" si="91"/>
        <v>172599</v>
      </c>
      <c r="AQ23" s="32">
        <f t="shared" si="91"/>
        <v>46276</v>
      </c>
      <c r="AR23" s="32">
        <f t="shared" ref="AR23" si="92">SUM(AR18:AR22)</f>
        <v>51493</v>
      </c>
      <c r="AS23" s="32">
        <f t="shared" ref="AS23" si="93">SUM(AS18:AS22)</f>
        <v>54308</v>
      </c>
      <c r="AT23" s="32">
        <f t="shared" ref="AT23:AV23" si="94">SUM(AT18:AT22)</f>
        <v>60827</v>
      </c>
      <c r="AU23" s="18">
        <f t="shared" si="94"/>
        <v>212904</v>
      </c>
      <c r="AV23" s="32">
        <f t="shared" si="94"/>
        <v>54793</v>
      </c>
      <c r="AW23" s="32">
        <f t="shared" ref="AW23" si="95">SUM(AW18:AW22)</f>
        <v>57329</v>
      </c>
      <c r="AX23" s="32">
        <f t="shared" ref="AX23" si="96">SUM(AX18:AX22)</f>
        <v>56873</v>
      </c>
      <c r="AY23" s="32">
        <f t="shared" ref="AY23:AZ23" si="97">SUM(AY18:AY22)</f>
        <v>64199</v>
      </c>
      <c r="AZ23" s="18">
        <f t="shared" si="97"/>
        <v>233194</v>
      </c>
      <c r="BA23" s="32">
        <f t="shared" ref="BA23" si="98">SUM(BA18:BA22)</f>
        <v>55373</v>
      </c>
      <c r="BB23" s="32">
        <f t="shared" ref="BB23" si="99">SUM(BB18:BB22)</f>
        <v>59520</v>
      </c>
      <c r="BC23" s="32">
        <f t="shared" ref="BC23" si="100">SUM(BC18:BC22)</f>
        <v>60489</v>
      </c>
      <c r="BD23" s="196">
        <f t="shared" ref="BD23" si="101">SUM(BD18:BD22)</f>
        <v>70453.638272547018</v>
      </c>
      <c r="BE23" s="244">
        <f t="shared" ref="BE23" si="102">SUM(BE18:BE22)</f>
        <v>245835.63827254699</v>
      </c>
      <c r="BF23" s="196">
        <f t="shared" ref="BF23" si="103">SUM(BF18:BF22)</f>
        <v>59076.180000000008</v>
      </c>
      <c r="BG23" s="196">
        <f t="shared" ref="BG23" si="104">SUM(BG18:BG22)</f>
        <v>61052.235000000008</v>
      </c>
      <c r="BH23" s="196">
        <f t="shared" ref="BH23" si="105">SUM(BH18:BH22)</f>
        <v>65516.152499999989</v>
      </c>
      <c r="BI23" s="196">
        <f t="shared" ref="BI23:BJ23" si="106">SUM(BI18:BI22)</f>
        <v>77364.173542020508</v>
      </c>
      <c r="BJ23" s="244">
        <f t="shared" si="106"/>
        <v>263008.74104202056</v>
      </c>
      <c r="BK23" s="244">
        <f t="shared" ref="BK23:BL23" si="107">SUM(BK18:BK22)</f>
        <v>296016.36557251186</v>
      </c>
      <c r="BL23" s="244">
        <f t="shared" si="107"/>
        <v>336717.8137497328</v>
      </c>
      <c r="BM23" s="244">
        <f t="shared" ref="BM23" si="108">SUM(BM18:BM22)</f>
        <v>378410.90383948892</v>
      </c>
    </row>
    <row r="24" spans="1:65" ht="16.5" x14ac:dyDescent="0.3">
      <c r="A24" s="36" t="s">
        <v>108</v>
      </c>
      <c r="B24" s="36"/>
      <c r="C24" s="9"/>
      <c r="D24" s="4"/>
      <c r="E24" s="20">
        <f>E17-E23</f>
        <v>842</v>
      </c>
      <c r="F24" s="20">
        <f t="shared" ref="F24:L24" si="109">F17-F23</f>
        <v>1129</v>
      </c>
      <c r="G24" s="20">
        <f t="shared" si="109"/>
        <v>1406</v>
      </c>
      <c r="H24" s="20">
        <f t="shared" si="109"/>
        <v>862</v>
      </c>
      <c r="I24" s="20">
        <f t="shared" si="109"/>
        <v>676</v>
      </c>
      <c r="J24" s="20">
        <f t="shared" si="109"/>
        <v>745</v>
      </c>
      <c r="K24" s="20">
        <f t="shared" si="109"/>
        <v>178</v>
      </c>
      <c r="L24" s="20">
        <f t="shared" si="109"/>
        <v>2233</v>
      </c>
      <c r="M24" s="31">
        <f>M17-M23</f>
        <v>1071</v>
      </c>
      <c r="N24" s="31">
        <f t="shared" ref="N24:R24" si="110">N17-N23</f>
        <v>1285</v>
      </c>
      <c r="O24" s="31">
        <f t="shared" si="110"/>
        <v>575</v>
      </c>
      <c r="P24" s="31">
        <f t="shared" si="110"/>
        <v>1255</v>
      </c>
      <c r="Q24" s="20">
        <f t="shared" si="110"/>
        <v>4186</v>
      </c>
      <c r="R24" s="31">
        <f t="shared" si="110"/>
        <v>1005</v>
      </c>
      <c r="S24" s="31">
        <f t="shared" ref="S24" si="111">S17-S23</f>
        <v>628</v>
      </c>
      <c r="T24" s="31">
        <f t="shared" ref="T24" si="112">T17-T23</f>
        <v>347</v>
      </c>
      <c r="U24" s="31">
        <f t="shared" ref="U24" si="113">U17-U23</f>
        <v>2127</v>
      </c>
      <c r="V24" s="20">
        <f t="shared" ref="V24:W24" si="114">V17-V23</f>
        <v>4107</v>
      </c>
      <c r="W24" s="31">
        <f t="shared" si="114"/>
        <v>1927</v>
      </c>
      <c r="X24" s="31">
        <f t="shared" ref="X24" si="115">X17-X23</f>
        <v>2983</v>
      </c>
      <c r="Y24" s="31">
        <f t="shared" ref="Y24" si="116">Y17-Y23</f>
        <v>3724</v>
      </c>
      <c r="Z24" s="31">
        <f t="shared" ref="Z24" si="117">Z17-Z23</f>
        <v>3786</v>
      </c>
      <c r="AA24" s="20">
        <f t="shared" ref="AA24:AB24" si="118">AA17-AA23</f>
        <v>12420</v>
      </c>
      <c r="AB24" s="31">
        <f t="shared" si="118"/>
        <v>4420</v>
      </c>
      <c r="AC24" s="31">
        <f t="shared" ref="AC24" si="119">AC17-AC23</f>
        <v>3084</v>
      </c>
      <c r="AD24" s="31">
        <f t="shared" ref="AD24" si="120">AD17-AD23</f>
        <v>3157</v>
      </c>
      <c r="AE24" s="31">
        <f t="shared" ref="AE24" si="121">AE17-AE23</f>
        <v>3879</v>
      </c>
      <c r="AF24" s="20">
        <f t="shared" ref="AF24:AG24" si="122">AF17-AF23</f>
        <v>14540</v>
      </c>
      <c r="AG24" s="31">
        <f t="shared" si="122"/>
        <v>3989</v>
      </c>
      <c r="AH24" s="31">
        <f t="shared" ref="AH24" si="123">AH17-AH23</f>
        <v>5843</v>
      </c>
      <c r="AI24" s="31">
        <f t="shared" ref="AI24" si="124">AI17-AI23</f>
        <v>6194</v>
      </c>
      <c r="AJ24" s="31">
        <f t="shared" ref="AJ24" si="125">AJ17-AJ23</f>
        <v>6873</v>
      </c>
      <c r="AK24" s="20">
        <f t="shared" ref="AK24:AL24" si="126">AK17-AK23</f>
        <v>22899</v>
      </c>
      <c r="AL24" s="31">
        <f t="shared" si="126"/>
        <v>8865</v>
      </c>
      <c r="AM24" s="31">
        <f t="shared" ref="AM24" si="127">AM17-AM23</f>
        <v>7702</v>
      </c>
      <c r="AN24" s="31">
        <f t="shared" ref="AN24" si="128">AN17-AN23</f>
        <v>4852</v>
      </c>
      <c r="AO24" s="31">
        <f t="shared" ref="AO24" si="129">AO17-AO23</f>
        <v>3460</v>
      </c>
      <c r="AP24" s="20">
        <f t="shared" ref="AP24:AQ24" si="130">AP17-AP23</f>
        <v>24879</v>
      </c>
      <c r="AQ24" s="31">
        <f t="shared" si="130"/>
        <v>3669</v>
      </c>
      <c r="AR24" s="31">
        <f t="shared" ref="AR24" si="131">AR17-AR23</f>
        <v>3317</v>
      </c>
      <c r="AS24" s="31">
        <f t="shared" ref="AS24" si="132">AS17-AS23</f>
        <v>2525</v>
      </c>
      <c r="AT24" s="31">
        <f t="shared" ref="AT24" si="133">AT17-AT23</f>
        <v>2737</v>
      </c>
      <c r="AU24" s="20">
        <f t="shared" ref="AU24:AV24" si="134">AU17-AU23</f>
        <v>12248</v>
      </c>
      <c r="AV24" s="31">
        <f t="shared" si="134"/>
        <v>4774</v>
      </c>
      <c r="AW24" s="31">
        <f t="shared" ref="AW24" si="135">AW17-AW23</f>
        <v>7681</v>
      </c>
      <c r="AX24" s="31">
        <f t="shared" ref="AX24" si="136">AX17-AX23</f>
        <v>11188</v>
      </c>
      <c r="AY24" s="31">
        <f t="shared" ref="AY24" si="137">AY17-AY23</f>
        <v>13209</v>
      </c>
      <c r="AZ24" s="20">
        <f t="shared" ref="AZ24:BA24" si="138">AZ17-AZ23</f>
        <v>36852</v>
      </c>
      <c r="BA24" s="31">
        <f t="shared" si="138"/>
        <v>15307</v>
      </c>
      <c r="BB24" s="31">
        <f t="shared" ref="BB24" si="139">BB17-BB23</f>
        <v>14672</v>
      </c>
      <c r="BC24" s="31">
        <f t="shared" ref="BC24" si="140">BC17-BC23</f>
        <v>17411</v>
      </c>
      <c r="BD24" s="190">
        <f t="shared" ref="BD24" si="141">BD17-BD23</f>
        <v>17848.255029045235</v>
      </c>
      <c r="BE24" s="245">
        <f>BE17-BE23</f>
        <v>65238.255029045395</v>
      </c>
      <c r="BF24" s="190">
        <f t="shared" ref="BF24" si="142">BF17-BF23</f>
        <v>16541.330399999992</v>
      </c>
      <c r="BG24" s="190">
        <f t="shared" ref="BG24" si="143">BG17-BG23</f>
        <v>17094.625800000002</v>
      </c>
      <c r="BH24" s="190">
        <f t="shared" ref="BH24" si="144">BH17-BH23</f>
        <v>18344.522700000009</v>
      </c>
      <c r="BI24" s="190">
        <f t="shared" ref="BI24:BK24" si="145">BI17-BI23</f>
        <v>21661.968591765733</v>
      </c>
      <c r="BJ24" s="245">
        <f>BJ17-BJ23</f>
        <v>73642.447491765604</v>
      </c>
      <c r="BK24" s="245">
        <f t="shared" si="145"/>
        <v>79755.70471383736</v>
      </c>
      <c r="BL24" s="245">
        <f t="shared" ref="BL24:BM24" si="146">BL17-BL23</f>
        <v>83129.834317265719</v>
      </c>
      <c r="BM24" s="245">
        <f t="shared" si="146"/>
        <v>91150.071727760194</v>
      </c>
    </row>
    <row r="25" spans="1:65" ht="16.5" x14ac:dyDescent="0.3">
      <c r="A25" s="4" t="s">
        <v>65</v>
      </c>
      <c r="B25" s="4"/>
      <c r="C25" s="4"/>
      <c r="D25" s="4"/>
      <c r="E25" s="13">
        <v>83</v>
      </c>
      <c r="F25" s="13">
        <v>37</v>
      </c>
      <c r="G25" s="13">
        <v>51</v>
      </c>
      <c r="H25" s="13">
        <v>61</v>
      </c>
      <c r="I25" s="13">
        <v>40</v>
      </c>
      <c r="J25" s="13">
        <v>38</v>
      </c>
      <c r="K25" s="13">
        <v>39</v>
      </c>
      <c r="L25" s="13">
        <v>50</v>
      </c>
      <c r="M25" s="29">
        <v>21</v>
      </c>
      <c r="N25" s="29">
        <v>24</v>
      </c>
      <c r="O25" s="29">
        <v>26</v>
      </c>
      <c r="P25" s="29">
        <v>30</v>
      </c>
      <c r="Q25" s="13">
        <v>101</v>
      </c>
      <c r="R25" s="29">
        <v>39</v>
      </c>
      <c r="S25" s="29">
        <v>44</v>
      </c>
      <c r="T25" s="29">
        <v>54</v>
      </c>
      <c r="U25" s="29">
        <v>66</v>
      </c>
      <c r="V25" s="13">
        <v>203</v>
      </c>
      <c r="W25" s="29">
        <v>80</v>
      </c>
      <c r="X25" s="29">
        <v>94</v>
      </c>
      <c r="Y25" s="29">
        <v>117</v>
      </c>
      <c r="Z25" s="29">
        <v>150</v>
      </c>
      <c r="AA25" s="13">
        <v>441</v>
      </c>
      <c r="AB25" s="29">
        <v>183</v>
      </c>
      <c r="AC25" s="29">
        <v>215</v>
      </c>
      <c r="AD25" s="29">
        <v>224</v>
      </c>
      <c r="AE25" s="29">
        <v>211</v>
      </c>
      <c r="AF25" s="13">
        <v>833</v>
      </c>
      <c r="AG25" s="29">
        <v>202</v>
      </c>
      <c r="AH25" s="29">
        <v>135</v>
      </c>
      <c r="AI25" s="29">
        <v>118</v>
      </c>
      <c r="AJ25" s="29">
        <v>100</v>
      </c>
      <c r="AK25" s="13">
        <v>555</v>
      </c>
      <c r="AL25" s="29">
        <v>105</v>
      </c>
      <c r="AM25" s="29">
        <v>106</v>
      </c>
      <c r="AN25" s="29">
        <v>119</v>
      </c>
      <c r="AO25" s="29">
        <v>118</v>
      </c>
      <c r="AP25" s="13">
        <v>448</v>
      </c>
      <c r="AQ25" s="29">
        <v>108</v>
      </c>
      <c r="AR25" s="29">
        <v>159</v>
      </c>
      <c r="AS25" s="29">
        <v>277</v>
      </c>
      <c r="AT25" s="29">
        <v>445</v>
      </c>
      <c r="AU25" s="13">
        <v>989</v>
      </c>
      <c r="AV25" s="29">
        <v>611</v>
      </c>
      <c r="AW25" s="29">
        <v>661</v>
      </c>
      <c r="AX25" s="29">
        <v>776</v>
      </c>
      <c r="AY25" s="29">
        <v>901</v>
      </c>
      <c r="AZ25" s="21">
        <v>2949</v>
      </c>
      <c r="BA25" s="29">
        <v>993</v>
      </c>
      <c r="BB25" s="29">
        <v>1180</v>
      </c>
      <c r="BC25" s="29">
        <v>1256</v>
      </c>
      <c r="BD25" s="201">
        <f>BD$15*'Assumptions + Estimates'!J32</f>
        <v>939.38184363396022</v>
      </c>
      <c r="BE25" s="141">
        <f t="shared" ref="BE25:BE27" si="147">SUM(BA25:BD25)</f>
        <v>4368.3818436339607</v>
      </c>
      <c r="BF25" s="201">
        <f>BF$15*'Assumptions + Estimates'!$O32</f>
        <v>787.68240000000003</v>
      </c>
      <c r="BG25" s="201">
        <f>BG$15*'Assumptions + Estimates'!$O32</f>
        <v>814.02980000000014</v>
      </c>
      <c r="BH25" s="201">
        <f>BH$15*'Assumptions + Estimates'!$O32</f>
        <v>873.54869999999994</v>
      </c>
      <c r="BI25" s="201">
        <f>BI$15*'Assumptions + Estimates'!$O32</f>
        <v>1031.5223138936067</v>
      </c>
      <c r="BJ25" s="141">
        <f t="shared" ref="BJ25:BJ27" si="148">SUM(BF25:BI25)</f>
        <v>3506.7832138936069</v>
      </c>
      <c r="BK25" s="141">
        <f>BK$15*'Assumptions + Estimates'!P32</f>
        <v>3834.4088804729518</v>
      </c>
      <c r="BL25" s="141">
        <f>BL$15*'Assumptions + Estimates'!Q32</f>
        <v>4198.476480669985</v>
      </c>
      <c r="BM25" s="141">
        <f>BM$15*'Assumptions + Estimates'!R32</f>
        <v>4603.5389761495007</v>
      </c>
    </row>
    <row r="26" spans="1:65" ht="16.5" x14ac:dyDescent="0.3">
      <c r="A26" s="4" t="s">
        <v>66</v>
      </c>
      <c r="B26" s="4"/>
      <c r="C26" s="4"/>
      <c r="D26" s="4"/>
      <c r="E26" s="13">
        <v>-71</v>
      </c>
      <c r="F26" s="13">
        <v>-34</v>
      </c>
      <c r="G26" s="13">
        <v>-39</v>
      </c>
      <c r="H26" s="13">
        <v>-65</v>
      </c>
      <c r="I26" s="13">
        <v>-92</v>
      </c>
      <c r="J26" s="13">
        <v>-141</v>
      </c>
      <c r="K26" s="13">
        <v>-210</v>
      </c>
      <c r="L26" s="13">
        <v>-459</v>
      </c>
      <c r="M26" s="29">
        <v>-117</v>
      </c>
      <c r="N26" s="29">
        <v>-116</v>
      </c>
      <c r="O26" s="29">
        <v>-118</v>
      </c>
      <c r="P26" s="29">
        <v>-133</v>
      </c>
      <c r="Q26" s="13">
        <v>-484</v>
      </c>
      <c r="R26" s="29">
        <v>-139</v>
      </c>
      <c r="S26" s="29">
        <v>-143</v>
      </c>
      <c r="T26" s="29">
        <v>-228</v>
      </c>
      <c r="U26" s="29">
        <v>-339</v>
      </c>
      <c r="V26" s="13">
        <v>-849</v>
      </c>
      <c r="W26" s="29">
        <v>-330</v>
      </c>
      <c r="X26" s="29">
        <v>-343</v>
      </c>
      <c r="Y26" s="29">
        <v>-358</v>
      </c>
      <c r="Z26" s="29">
        <v>-387</v>
      </c>
      <c r="AA26" s="21">
        <v>-1418</v>
      </c>
      <c r="AB26" s="29">
        <v>-366</v>
      </c>
      <c r="AC26" s="29">
        <v>-383</v>
      </c>
      <c r="AD26" s="29">
        <v>-396</v>
      </c>
      <c r="AE26" s="29">
        <v>-455</v>
      </c>
      <c r="AF26" s="21">
        <v>-1600</v>
      </c>
      <c r="AG26" s="29">
        <v>-402</v>
      </c>
      <c r="AH26" s="29">
        <v>-403</v>
      </c>
      <c r="AI26" s="29">
        <v>-428</v>
      </c>
      <c r="AJ26" s="29">
        <v>-414</v>
      </c>
      <c r="AK26" s="21">
        <v>-1647</v>
      </c>
      <c r="AL26" s="29">
        <v>-399</v>
      </c>
      <c r="AM26" s="29">
        <v>-435</v>
      </c>
      <c r="AN26" s="29">
        <v>-493</v>
      </c>
      <c r="AO26" s="29">
        <v>-482</v>
      </c>
      <c r="AP26" s="21">
        <v>-1809</v>
      </c>
      <c r="AQ26" s="29">
        <v>-472</v>
      </c>
      <c r="AR26" s="29">
        <v>-584</v>
      </c>
      <c r="AS26" s="29">
        <v>-617</v>
      </c>
      <c r="AT26" s="29">
        <v>-694</v>
      </c>
      <c r="AU26" s="21">
        <v>-2367</v>
      </c>
      <c r="AV26" s="29">
        <v>-823</v>
      </c>
      <c r="AW26" s="29">
        <v>-840</v>
      </c>
      <c r="AX26" s="29">
        <v>-806</v>
      </c>
      <c r="AY26" s="29">
        <v>-713</v>
      </c>
      <c r="AZ26" s="21">
        <v>-3182</v>
      </c>
      <c r="BA26" s="29">
        <v>-644</v>
      </c>
      <c r="BB26" s="29">
        <v>-589</v>
      </c>
      <c r="BC26" s="29">
        <v>-603</v>
      </c>
      <c r="BD26" s="201">
        <f>BD$15*'Assumptions + Estimates'!J33</f>
        <v>-1878.7636872679204</v>
      </c>
      <c r="BE26" s="141">
        <f t="shared" si="147"/>
        <v>-3714.7636872679204</v>
      </c>
      <c r="BF26" s="201">
        <f>BF$15*'Assumptions + Estimates'!$O33</f>
        <v>-1575.3648000000001</v>
      </c>
      <c r="BG26" s="201">
        <f>BG$15*'Assumptions + Estimates'!$O33</f>
        <v>-1628.0596000000003</v>
      </c>
      <c r="BH26" s="201">
        <f>BH$15*'Assumptions + Estimates'!$O33</f>
        <v>-1747.0973999999999</v>
      </c>
      <c r="BI26" s="201">
        <f>BI$15*'Assumptions + Estimates'!$O33</f>
        <v>-2063.0446277872134</v>
      </c>
      <c r="BJ26" s="141">
        <f t="shared" si="148"/>
        <v>-7013.5664277872138</v>
      </c>
      <c r="BK26" s="141">
        <f>BK$15*'Assumptions + Estimates'!P33</f>
        <v>-7668.8177609459035</v>
      </c>
      <c r="BL26" s="141">
        <f>BL$15*'Assumptions + Estimates'!Q33</f>
        <v>-8396.95296133997</v>
      </c>
      <c r="BM26" s="141">
        <f>BM$15*'Assumptions + Estimates'!R33</f>
        <v>-9207.0779522990015</v>
      </c>
    </row>
    <row r="27" spans="1:65" ht="16.5" x14ac:dyDescent="0.3">
      <c r="A27" s="17" t="s">
        <v>67</v>
      </c>
      <c r="B27" s="17"/>
      <c r="C27" s="17"/>
      <c r="D27" s="17"/>
      <c r="E27" s="33">
        <v>47</v>
      </c>
      <c r="F27" s="33">
        <v>29</v>
      </c>
      <c r="G27" s="33">
        <v>79</v>
      </c>
      <c r="H27" s="33">
        <v>76</v>
      </c>
      <c r="I27" s="33">
        <v>-80</v>
      </c>
      <c r="J27" s="33">
        <v>-136</v>
      </c>
      <c r="K27" s="33">
        <v>-118</v>
      </c>
      <c r="L27" s="33">
        <v>-256</v>
      </c>
      <c r="M27" s="34">
        <v>81</v>
      </c>
      <c r="N27" s="34">
        <v>-14</v>
      </c>
      <c r="O27" s="34">
        <v>8</v>
      </c>
      <c r="P27" s="34">
        <v>14</v>
      </c>
      <c r="Q27" s="33">
        <v>89</v>
      </c>
      <c r="R27" s="34">
        <v>48</v>
      </c>
      <c r="S27" s="34">
        <v>137</v>
      </c>
      <c r="T27" s="34">
        <v>143</v>
      </c>
      <c r="U27" s="34">
        <v>18</v>
      </c>
      <c r="V27" s="33">
        <v>346</v>
      </c>
      <c r="W27" s="34">
        <v>239</v>
      </c>
      <c r="X27" s="34">
        <v>-129</v>
      </c>
      <c r="Y27" s="34">
        <v>-93</v>
      </c>
      <c r="Z27" s="34">
        <v>-199</v>
      </c>
      <c r="AA27" s="33">
        <v>-182</v>
      </c>
      <c r="AB27" s="34">
        <v>164</v>
      </c>
      <c r="AC27" s="34">
        <v>-27</v>
      </c>
      <c r="AD27" s="34">
        <v>-353</v>
      </c>
      <c r="AE27" s="34">
        <v>418</v>
      </c>
      <c r="AF27" s="33">
        <v>202</v>
      </c>
      <c r="AG27" s="34">
        <v>-406</v>
      </c>
      <c r="AH27" s="34">
        <v>646</v>
      </c>
      <c r="AI27" s="34">
        <v>925</v>
      </c>
      <c r="AJ27" s="37">
        <v>1206</v>
      </c>
      <c r="AK27" s="35">
        <v>2371</v>
      </c>
      <c r="AL27" s="37">
        <v>1697</v>
      </c>
      <c r="AM27" s="37">
        <v>1261</v>
      </c>
      <c r="AN27" s="34">
        <v>-163</v>
      </c>
      <c r="AO27" s="37">
        <v>11838</v>
      </c>
      <c r="AP27" s="35">
        <v>14633</v>
      </c>
      <c r="AQ27" s="37">
        <v>-8570</v>
      </c>
      <c r="AR27" s="37">
        <v>-5545</v>
      </c>
      <c r="AS27" s="34">
        <v>759</v>
      </c>
      <c r="AT27" s="37">
        <v>-3450</v>
      </c>
      <c r="AU27" s="35">
        <v>-16806</v>
      </c>
      <c r="AV27" s="34">
        <v>-443</v>
      </c>
      <c r="AW27" s="34">
        <v>61</v>
      </c>
      <c r="AX27" s="37">
        <v>1031</v>
      </c>
      <c r="AY27" s="34">
        <v>289</v>
      </c>
      <c r="AZ27" s="33">
        <v>938</v>
      </c>
      <c r="BA27" s="34">
        <v>-2673</v>
      </c>
      <c r="BB27" s="34">
        <v>-18</v>
      </c>
      <c r="BC27" s="37">
        <v>-27</v>
      </c>
      <c r="BD27" s="206">
        <f>BD$15*'Assumptions + Estimates'!J34</f>
        <v>375.75273745358407</v>
      </c>
      <c r="BE27" s="246">
        <f t="shared" si="147"/>
        <v>-2342.2472625464161</v>
      </c>
      <c r="BF27" s="206">
        <f>BF$15*'Assumptions + Estimates'!$O34</f>
        <v>315.07296000000002</v>
      </c>
      <c r="BG27" s="206">
        <f>BG$15*'Assumptions + Estimates'!$O34</f>
        <v>325.61192000000005</v>
      </c>
      <c r="BH27" s="206">
        <f>BH$15*'Assumptions + Estimates'!$O34</f>
        <v>349.41947999999996</v>
      </c>
      <c r="BI27" s="206">
        <f>BI$15*'Assumptions + Estimates'!$O34</f>
        <v>412.60892555744272</v>
      </c>
      <c r="BJ27" s="246">
        <f t="shared" si="148"/>
        <v>1402.7132855574428</v>
      </c>
      <c r="BK27" s="246">
        <f>BK$15*'Assumptions + Estimates'!P34</f>
        <v>1533.7635521891807</v>
      </c>
      <c r="BL27" s="246">
        <f>BL$15*'Assumptions + Estimates'!Q34</f>
        <v>1679.3905922679942</v>
      </c>
      <c r="BM27" s="246">
        <f>BM$15*'Assumptions + Estimates'!R34</f>
        <v>1841.4155904598003</v>
      </c>
    </row>
    <row r="28" spans="1:65" ht="16.5" x14ac:dyDescent="0.3">
      <c r="A28" s="36" t="s">
        <v>109</v>
      </c>
      <c r="B28" s="36"/>
      <c r="C28" s="9"/>
      <c r="D28" s="9"/>
      <c r="E28" s="22">
        <f>E24+E25+E26+E27</f>
        <v>901</v>
      </c>
      <c r="F28" s="22">
        <f t="shared" ref="F28:L28" si="149">F24+F25+F26+F27</f>
        <v>1161</v>
      </c>
      <c r="G28" s="22">
        <f t="shared" si="149"/>
        <v>1497</v>
      </c>
      <c r="H28" s="22">
        <f t="shared" si="149"/>
        <v>934</v>
      </c>
      <c r="I28" s="22">
        <f t="shared" si="149"/>
        <v>544</v>
      </c>
      <c r="J28" s="22">
        <f t="shared" si="149"/>
        <v>506</v>
      </c>
      <c r="K28" s="22">
        <f t="shared" si="149"/>
        <v>-111</v>
      </c>
      <c r="L28" s="22">
        <f t="shared" si="149"/>
        <v>1568</v>
      </c>
      <c r="M28" s="31">
        <f>M24+M25+M26+M27</f>
        <v>1056</v>
      </c>
      <c r="N28" s="31">
        <f t="shared" ref="N28:R28" si="150">N24+N25+N26+N27</f>
        <v>1179</v>
      </c>
      <c r="O28" s="31">
        <f t="shared" si="150"/>
        <v>491</v>
      </c>
      <c r="P28" s="31">
        <f t="shared" si="150"/>
        <v>1166</v>
      </c>
      <c r="Q28" s="22">
        <f t="shared" si="150"/>
        <v>3892</v>
      </c>
      <c r="R28" s="31">
        <f t="shared" si="150"/>
        <v>953</v>
      </c>
      <c r="S28" s="31">
        <f t="shared" ref="S28" si="151">S24+S25+S26+S27</f>
        <v>666</v>
      </c>
      <c r="T28" s="31">
        <f t="shared" ref="T28" si="152">T24+T25+T26+T27</f>
        <v>316</v>
      </c>
      <c r="U28" s="31">
        <f t="shared" ref="U28" si="153">U24+U25+U26+U27</f>
        <v>1872</v>
      </c>
      <c r="V28" s="22">
        <f t="shared" ref="V28:W28" si="154">V24+V25+V26+V27</f>
        <v>3807</v>
      </c>
      <c r="W28" s="31">
        <f t="shared" si="154"/>
        <v>1916</v>
      </c>
      <c r="X28" s="31">
        <f t="shared" ref="X28" si="155">X24+X25+X26+X27</f>
        <v>2605</v>
      </c>
      <c r="Y28" s="31">
        <f t="shared" ref="Y28" si="156">Y24+Y25+Y26+Y27</f>
        <v>3390</v>
      </c>
      <c r="Z28" s="31">
        <f t="shared" ref="Z28" si="157">Z24+Z25+Z26+Z27</f>
        <v>3350</v>
      </c>
      <c r="AA28" s="22">
        <f t="shared" ref="AA28:AB28" si="158">AA24+AA25+AA26+AA27</f>
        <v>11261</v>
      </c>
      <c r="AB28" s="31">
        <f t="shared" si="158"/>
        <v>4401</v>
      </c>
      <c r="AC28" s="31">
        <f t="shared" ref="AC28" si="159">AC24+AC25+AC26+AC27</f>
        <v>2889</v>
      </c>
      <c r="AD28" s="31">
        <f t="shared" ref="AD28" si="160">AD24+AD25+AD26+AD27</f>
        <v>2632</v>
      </c>
      <c r="AE28" s="31">
        <f t="shared" ref="AE28" si="161">AE24+AE25+AE26+AE27</f>
        <v>4053</v>
      </c>
      <c r="AF28" s="22">
        <f t="shared" ref="AF28:AG28" si="162">AF24+AF25+AF26+AF27</f>
        <v>13975</v>
      </c>
      <c r="AG28" s="31">
        <f t="shared" si="162"/>
        <v>3383</v>
      </c>
      <c r="AH28" s="31">
        <f t="shared" ref="AH28" si="163">AH24+AH25+AH26+AH27</f>
        <v>6221</v>
      </c>
      <c r="AI28" s="31">
        <f t="shared" ref="AI28" si="164">AI24+AI25+AI26+AI27</f>
        <v>6809</v>
      </c>
      <c r="AJ28" s="31">
        <f t="shared" ref="AJ28" si="165">AJ24+AJ25+AJ26+AJ27</f>
        <v>7765</v>
      </c>
      <c r="AK28" s="22">
        <f t="shared" ref="AK28:AL28" si="166">AK24+AK25+AK26+AK27</f>
        <v>24178</v>
      </c>
      <c r="AL28" s="31">
        <f t="shared" si="166"/>
        <v>10268</v>
      </c>
      <c r="AM28" s="31">
        <f t="shared" ref="AM28" si="167">AM24+AM25+AM26+AM27</f>
        <v>8634</v>
      </c>
      <c r="AN28" s="31">
        <f t="shared" ref="AN28" si="168">AN24+AN25+AN26+AN27</f>
        <v>4315</v>
      </c>
      <c r="AO28" s="31">
        <f t="shared" ref="AO28" si="169">AO24+AO25+AO26+AO27</f>
        <v>14934</v>
      </c>
      <c r="AP28" s="22">
        <f t="shared" ref="AP28:AQ28" si="170">AP24+AP25+AP26+AP27</f>
        <v>38151</v>
      </c>
      <c r="AQ28" s="31">
        <f t="shared" si="170"/>
        <v>-5265</v>
      </c>
      <c r="AR28" s="31">
        <f t="shared" ref="AR28" si="171">AR24+AR25+AR26+AR27</f>
        <v>-2653</v>
      </c>
      <c r="AS28" s="31">
        <f t="shared" ref="AS28" si="172">AS24+AS25+AS26+AS27</f>
        <v>2944</v>
      </c>
      <c r="AT28" s="31">
        <f t="shared" ref="AT28:AU28" si="173">AT24+AT25+AT26+AT27</f>
        <v>-962</v>
      </c>
      <c r="AU28" s="22">
        <f t="shared" si="173"/>
        <v>-5936</v>
      </c>
      <c r="AV28" s="31">
        <f t="shared" ref="AV28" si="174">AV24+AV25+AV26+AV27</f>
        <v>4119</v>
      </c>
      <c r="AW28" s="31">
        <f t="shared" ref="AW28" si="175">AW24+AW25+AW26+AW27</f>
        <v>7563</v>
      </c>
      <c r="AX28" s="31">
        <f t="shared" ref="AX28" si="176">AX24+AX25+AX26+AX27</f>
        <v>12189</v>
      </c>
      <c r="AY28" s="31">
        <f t="shared" ref="AY28:AZ28" si="177">AY24+AY25+AY26+AY27</f>
        <v>13686</v>
      </c>
      <c r="AZ28" s="22">
        <f t="shared" si="177"/>
        <v>37557</v>
      </c>
      <c r="BA28" s="31">
        <f t="shared" ref="BA28" si="178">BA24+BA25+BA26+BA27</f>
        <v>12983</v>
      </c>
      <c r="BB28" s="31">
        <f t="shared" ref="BB28" si="179">BB24+BB25+BB26+BB27</f>
        <v>15245</v>
      </c>
      <c r="BC28" s="31">
        <f t="shared" ref="BC28" si="180">BC24+BC25+BC26+BC27</f>
        <v>18037</v>
      </c>
      <c r="BD28" s="190">
        <f t="shared" ref="BD28" si="181">BD24+BD25+BD26+BD27</f>
        <v>17284.62592286486</v>
      </c>
      <c r="BE28" s="141">
        <f t="shared" ref="BE28" si="182">BE24+BE25+BE26+BE27</f>
        <v>63549.625922865031</v>
      </c>
      <c r="BF28" s="190">
        <f t="shared" ref="BF28" si="183">BF24+BF25+BF26+BF27</f>
        <v>16068.720959999993</v>
      </c>
      <c r="BG28" s="190">
        <f t="shared" ref="BG28" si="184">BG24+BG25+BG26+BG27</f>
        <v>16606.207920000001</v>
      </c>
      <c r="BH28" s="190">
        <f t="shared" ref="BH28" si="185">BH24+BH25+BH26+BH27</f>
        <v>17820.39348000001</v>
      </c>
      <c r="BI28" s="190">
        <f t="shared" ref="BI28:BJ28" si="186">BI24+BI25+BI26+BI27</f>
        <v>21043.055203429569</v>
      </c>
      <c r="BJ28" s="141">
        <f t="shared" si="186"/>
        <v>71538.377563429443</v>
      </c>
      <c r="BK28" s="141">
        <f t="shared" ref="BK28:BL28" si="187">BK24+BK25+BK26+BK27</f>
        <v>77455.059385553584</v>
      </c>
      <c r="BL28" s="141">
        <f t="shared" si="187"/>
        <v>80610.748428863735</v>
      </c>
      <c r="BM28" s="141">
        <f t="shared" ref="BM28" si="188">BM24+BM25+BM26+BM27</f>
        <v>88387.948342070493</v>
      </c>
    </row>
    <row r="29" spans="1:65" ht="16.5" x14ac:dyDescent="0.3">
      <c r="A29" s="4" t="s">
        <v>110</v>
      </c>
      <c r="B29" s="4"/>
      <c r="C29" s="4"/>
      <c r="D29" s="4"/>
      <c r="E29" s="13">
        <v>-247</v>
      </c>
      <c r="F29" s="13">
        <v>-253</v>
      </c>
      <c r="G29" s="13">
        <v>-352</v>
      </c>
      <c r="H29" s="13">
        <v>-291</v>
      </c>
      <c r="I29" s="13">
        <v>-428</v>
      </c>
      <c r="J29" s="13">
        <v>-161</v>
      </c>
      <c r="K29" s="13">
        <v>-167</v>
      </c>
      <c r="L29" s="13">
        <v>-950</v>
      </c>
      <c r="M29" s="29">
        <v>-475</v>
      </c>
      <c r="N29" s="29">
        <v>-307</v>
      </c>
      <c r="O29" s="29">
        <v>-229</v>
      </c>
      <c r="P29" s="29">
        <v>-414</v>
      </c>
      <c r="Q29" s="13">
        <v>-1425</v>
      </c>
      <c r="R29" s="29">
        <v>-229</v>
      </c>
      <c r="S29" s="29">
        <v>-467</v>
      </c>
      <c r="T29" s="29">
        <v>-58</v>
      </c>
      <c r="U29" s="29">
        <v>-16</v>
      </c>
      <c r="V29" s="13">
        <v>-770</v>
      </c>
      <c r="W29" s="29">
        <v>-287</v>
      </c>
      <c r="X29" s="29">
        <v>-74</v>
      </c>
      <c r="Y29" s="29">
        <v>-508</v>
      </c>
      <c r="Z29" s="29">
        <v>-327</v>
      </c>
      <c r="AA29" s="13">
        <v>-1196</v>
      </c>
      <c r="AB29" s="29">
        <v>-836</v>
      </c>
      <c r="AC29" s="29">
        <v>-257</v>
      </c>
      <c r="AD29" s="29">
        <v>-494</v>
      </c>
      <c r="AE29" s="29">
        <v>-786</v>
      </c>
      <c r="AF29" s="13">
        <v>-2373</v>
      </c>
      <c r="AG29" s="29">
        <v>-744</v>
      </c>
      <c r="AH29" s="29">
        <v>-984</v>
      </c>
      <c r="AI29" s="29">
        <v>-569</v>
      </c>
      <c r="AJ29" s="29">
        <v>-566</v>
      </c>
      <c r="AK29" s="13">
        <v>-2863</v>
      </c>
      <c r="AL29" s="29">
        <v>-2156</v>
      </c>
      <c r="AM29" s="29">
        <v>-868</v>
      </c>
      <c r="AN29" s="29">
        <v>-1155</v>
      </c>
      <c r="AO29" s="29">
        <v>-612</v>
      </c>
      <c r="AP29" s="13">
        <v>-4791</v>
      </c>
      <c r="AQ29" s="29">
        <v>1422</v>
      </c>
      <c r="AR29" s="29">
        <v>637</v>
      </c>
      <c r="AS29" s="29">
        <v>-69</v>
      </c>
      <c r="AT29" s="29">
        <v>1227</v>
      </c>
      <c r="AU29" s="21">
        <f>SUM(AQ29:AT29)</f>
        <v>3217</v>
      </c>
      <c r="AV29" s="29">
        <v>-948</v>
      </c>
      <c r="AW29" s="29">
        <v>-804</v>
      </c>
      <c r="AX29" s="29">
        <v>-2306</v>
      </c>
      <c r="AY29" s="29">
        <v>-3062</v>
      </c>
      <c r="AZ29" s="21">
        <f>SUM(AV29:AY29)</f>
        <v>-7120</v>
      </c>
      <c r="BA29" s="29">
        <v>-2467</v>
      </c>
      <c r="BB29" s="29">
        <v>-1767</v>
      </c>
      <c r="BC29" s="29">
        <v>-2706</v>
      </c>
      <c r="BD29" s="201">
        <f>IF(BD28&gt;0,BD28*-'Assumptions + Estimates'!J39)</f>
        <v>-3629.7714438016205</v>
      </c>
      <c r="BE29" s="141">
        <f>SUM(BA29:BD29)</f>
        <v>-10569.771443801621</v>
      </c>
      <c r="BF29" s="201">
        <f>IF(BF28&gt;0,BF28*-'Assumptions + Estimates'!$O39,0)</f>
        <v>-3374.4314015999985</v>
      </c>
      <c r="BG29" s="201">
        <f>IF(BG28&gt;0,BG28*-'Assumptions + Estimates'!$O39,0)</f>
        <v>-3487.3036631999998</v>
      </c>
      <c r="BH29" s="201">
        <f>IF(BH28&gt;0,BH28*-'Assumptions + Estimates'!$O39,0)</f>
        <v>-3742.2826308000017</v>
      </c>
      <c r="BI29" s="201">
        <f>IF(BI28&gt;0,BI28*-'Assumptions + Estimates'!$O39,0)</f>
        <v>-4419.0415927202093</v>
      </c>
      <c r="BJ29" s="141">
        <f>SUM(BF29:BI29)</f>
        <v>-15023.059288320208</v>
      </c>
      <c r="BK29" s="141">
        <f>IF(BK28&gt;0,BK28*-'Assumptions + Estimates'!P39,0)</f>
        <v>-16265.562470966252</v>
      </c>
      <c r="BL29" s="141">
        <f>IF(BL28&gt;0,BL28*-'Assumptions + Estimates'!Q39,0)</f>
        <v>-16928.257170061384</v>
      </c>
      <c r="BM29" s="141">
        <f>IF(BM28&gt;0,BM28*-'Assumptions + Estimates'!R39,0)</f>
        <v>-18561.469151834805</v>
      </c>
    </row>
    <row r="30" spans="1:65" ht="16.5" x14ac:dyDescent="0.3">
      <c r="A30" s="17" t="s">
        <v>111</v>
      </c>
      <c r="B30" s="17"/>
      <c r="C30" s="17"/>
      <c r="D30" s="17"/>
      <c r="E30" s="33">
        <v>-9</v>
      </c>
      <c r="F30" s="33">
        <v>-6</v>
      </c>
      <c r="G30" s="33">
        <v>7</v>
      </c>
      <c r="H30" s="33">
        <v>-12</v>
      </c>
      <c r="I30" s="33">
        <v>-155</v>
      </c>
      <c r="J30" s="33">
        <v>-71</v>
      </c>
      <c r="K30" s="33">
        <v>37</v>
      </c>
      <c r="L30" s="33">
        <v>-22</v>
      </c>
      <c r="M30" s="34">
        <v>-68</v>
      </c>
      <c r="N30" s="34">
        <v>-15</v>
      </c>
      <c r="O30" s="34">
        <v>-10</v>
      </c>
      <c r="P30" s="34">
        <v>-3</v>
      </c>
      <c r="Q30" s="33">
        <v>-96</v>
      </c>
      <c r="R30" s="34">
        <v>0</v>
      </c>
      <c r="S30" s="34">
        <v>-2</v>
      </c>
      <c r="T30" s="34">
        <v>-2</v>
      </c>
      <c r="U30" s="34">
        <v>0</v>
      </c>
      <c r="V30" s="33">
        <v>-4</v>
      </c>
      <c r="W30" s="34">
        <v>0</v>
      </c>
      <c r="X30" s="34">
        <v>3</v>
      </c>
      <c r="Y30" s="34">
        <v>1</v>
      </c>
      <c r="Z30" s="34">
        <v>4</v>
      </c>
      <c r="AA30" s="33">
        <v>8</v>
      </c>
      <c r="AB30" s="34">
        <v>-4</v>
      </c>
      <c r="AC30" s="34">
        <v>-7</v>
      </c>
      <c r="AD30" s="34">
        <v>-4</v>
      </c>
      <c r="AE30" s="34">
        <v>1</v>
      </c>
      <c r="AF30" s="33">
        <v>-14</v>
      </c>
      <c r="AG30" s="34">
        <v>-104</v>
      </c>
      <c r="AH30" s="34">
        <v>6</v>
      </c>
      <c r="AI30" s="34">
        <v>91</v>
      </c>
      <c r="AJ30" s="37">
        <v>23</v>
      </c>
      <c r="AK30" s="35">
        <v>16</v>
      </c>
      <c r="AL30" s="37">
        <v>-5</v>
      </c>
      <c r="AM30" s="37">
        <v>12</v>
      </c>
      <c r="AN30" s="34">
        <v>-4</v>
      </c>
      <c r="AO30" s="37">
        <v>1</v>
      </c>
      <c r="AP30" s="35">
        <v>4</v>
      </c>
      <c r="AQ30" s="37">
        <v>-1</v>
      </c>
      <c r="AR30" s="37">
        <v>-12</v>
      </c>
      <c r="AS30" s="34">
        <v>-3</v>
      </c>
      <c r="AT30" s="37">
        <v>13</v>
      </c>
      <c r="AU30" s="35">
        <f>SUM(AQ30:AT30)</f>
        <v>-3</v>
      </c>
      <c r="AV30" s="34">
        <v>1</v>
      </c>
      <c r="AW30" s="34">
        <v>-9</v>
      </c>
      <c r="AX30" s="37">
        <v>-4</v>
      </c>
      <c r="AY30" s="34">
        <v>0</v>
      </c>
      <c r="AZ30" s="35">
        <f>SUM(AV30:AY30)</f>
        <v>-12</v>
      </c>
      <c r="BA30" s="34">
        <v>-85</v>
      </c>
      <c r="BB30" s="34">
        <v>7</v>
      </c>
      <c r="BC30" s="37">
        <v>-3</v>
      </c>
      <c r="BD30" s="197">
        <v>0</v>
      </c>
      <c r="BE30" s="247">
        <f>SUM(BA30:BD30)</f>
        <v>-81</v>
      </c>
      <c r="BF30" s="197">
        <v>0</v>
      </c>
      <c r="BG30" s="197">
        <v>0</v>
      </c>
      <c r="BH30" s="202">
        <v>0</v>
      </c>
      <c r="BI30" s="197">
        <v>0</v>
      </c>
      <c r="BJ30" s="247">
        <f>SUM(BF30:BI30)</f>
        <v>0</v>
      </c>
      <c r="BK30" s="247">
        <v>0</v>
      </c>
      <c r="BL30" s="247">
        <v>0</v>
      </c>
      <c r="BM30" s="247">
        <v>0</v>
      </c>
    </row>
    <row r="31" spans="1:65" s="175" customFormat="1" ht="16.5" x14ac:dyDescent="0.3">
      <c r="A31" s="181" t="s">
        <v>23</v>
      </c>
      <c r="B31" s="181"/>
      <c r="C31" s="182"/>
      <c r="D31" s="182"/>
      <c r="E31" s="183">
        <f>E28+E29+E30</f>
        <v>645</v>
      </c>
      <c r="F31" s="183">
        <f t="shared" ref="F31:L31" si="189">F28+F29+F30</f>
        <v>902</v>
      </c>
      <c r="G31" s="183">
        <f t="shared" si="189"/>
        <v>1152</v>
      </c>
      <c r="H31" s="183">
        <f t="shared" si="189"/>
        <v>631</v>
      </c>
      <c r="I31" s="183">
        <f t="shared" si="189"/>
        <v>-39</v>
      </c>
      <c r="J31" s="183">
        <f t="shared" si="189"/>
        <v>274</v>
      </c>
      <c r="K31" s="183">
        <f t="shared" si="189"/>
        <v>-241</v>
      </c>
      <c r="L31" s="183">
        <f t="shared" si="189"/>
        <v>596</v>
      </c>
      <c r="M31" s="184">
        <f>M28+M29+M30</f>
        <v>513</v>
      </c>
      <c r="N31" s="184">
        <f t="shared" ref="N31:R31" si="190">N28+N29+N30</f>
        <v>857</v>
      </c>
      <c r="O31" s="184">
        <f t="shared" si="190"/>
        <v>252</v>
      </c>
      <c r="P31" s="184">
        <f t="shared" si="190"/>
        <v>749</v>
      </c>
      <c r="Q31" s="183">
        <f t="shared" si="190"/>
        <v>2371</v>
      </c>
      <c r="R31" s="184">
        <f t="shared" si="190"/>
        <v>724</v>
      </c>
      <c r="S31" s="184">
        <f t="shared" ref="S31" si="191">S28+S29+S30</f>
        <v>197</v>
      </c>
      <c r="T31" s="184">
        <f t="shared" ref="T31" si="192">T28+T29+T30</f>
        <v>256</v>
      </c>
      <c r="U31" s="184">
        <f t="shared" ref="U31" si="193">U28+U29+U30</f>
        <v>1856</v>
      </c>
      <c r="V31" s="183">
        <f t="shared" ref="V31:W31" si="194">V28+V29+V30</f>
        <v>3033</v>
      </c>
      <c r="W31" s="184">
        <f t="shared" si="194"/>
        <v>1629</v>
      </c>
      <c r="X31" s="184">
        <f t="shared" ref="X31" si="195">X28+X29+X30</f>
        <v>2534</v>
      </c>
      <c r="Y31" s="184">
        <f t="shared" ref="Y31" si="196">Y28+Y29+Y30</f>
        <v>2883</v>
      </c>
      <c r="Z31" s="184">
        <f t="shared" ref="Z31" si="197">Z28+Z29+Z30</f>
        <v>3027</v>
      </c>
      <c r="AA31" s="183">
        <f t="shared" ref="AA31:AB31" si="198">AA28+AA29+AA30</f>
        <v>10073</v>
      </c>
      <c r="AB31" s="184">
        <f t="shared" si="198"/>
        <v>3561</v>
      </c>
      <c r="AC31" s="184">
        <f t="shared" ref="AC31" si="199">AC28+AC29+AC30</f>
        <v>2625</v>
      </c>
      <c r="AD31" s="184">
        <f t="shared" ref="AD31" si="200">AD28+AD29+AD30</f>
        <v>2134</v>
      </c>
      <c r="AE31" s="184">
        <f t="shared" ref="AE31" si="201">AE28+AE29+AE30</f>
        <v>3268</v>
      </c>
      <c r="AF31" s="183">
        <f t="shared" ref="AF31:AG31" si="202">AF28+AF29+AF30</f>
        <v>11588</v>
      </c>
      <c r="AG31" s="184">
        <f t="shared" si="202"/>
        <v>2535</v>
      </c>
      <c r="AH31" s="184">
        <f t="shared" ref="AH31" si="203">AH28+AH29+AH30</f>
        <v>5243</v>
      </c>
      <c r="AI31" s="184">
        <f t="shared" ref="AI31" si="204">AI28+AI29+AI30</f>
        <v>6331</v>
      </c>
      <c r="AJ31" s="184">
        <f t="shared" ref="AJ31" si="205">AJ28+AJ29+AJ30</f>
        <v>7222</v>
      </c>
      <c r="AK31" s="183">
        <f t="shared" ref="AK31:AL31" si="206">AK28+AK29+AK30</f>
        <v>21331</v>
      </c>
      <c r="AL31" s="184">
        <f t="shared" si="206"/>
        <v>8107</v>
      </c>
      <c r="AM31" s="184">
        <f t="shared" ref="AM31" si="207">AM28+AM29+AM30</f>
        <v>7778</v>
      </c>
      <c r="AN31" s="184">
        <f t="shared" ref="AN31" si="208">AN28+AN29+AN30</f>
        <v>3156</v>
      </c>
      <c r="AO31" s="184">
        <f t="shared" ref="AO31" si="209">AO28+AO29+AO30</f>
        <v>14323</v>
      </c>
      <c r="AP31" s="183">
        <f t="shared" ref="AP31:AQ31" si="210">AP28+AP29+AP30</f>
        <v>33364</v>
      </c>
      <c r="AQ31" s="184">
        <f t="shared" si="210"/>
        <v>-3844</v>
      </c>
      <c r="AR31" s="184">
        <f t="shared" ref="AR31" si="211">AR28+AR29+AR30</f>
        <v>-2028</v>
      </c>
      <c r="AS31" s="184">
        <f t="shared" ref="AS31" si="212">AS28+AS29+AS30</f>
        <v>2872</v>
      </c>
      <c r="AT31" s="184">
        <f t="shared" ref="AT31" si="213">AT28+AT29+AT30</f>
        <v>278</v>
      </c>
      <c r="AU31" s="183">
        <f t="shared" ref="AU31:AV31" si="214">AU28+AU29+AU30</f>
        <v>-2722</v>
      </c>
      <c r="AV31" s="184">
        <f t="shared" si="214"/>
        <v>3172</v>
      </c>
      <c r="AW31" s="184">
        <f t="shared" ref="AW31" si="215">AW28+AW29+AW30</f>
        <v>6750</v>
      </c>
      <c r="AX31" s="184">
        <f t="shared" ref="AX31" si="216">AX28+AX29+AX30</f>
        <v>9879</v>
      </c>
      <c r="AY31" s="184">
        <f t="shared" ref="AY31" si="217">AY28+AY29+AY30</f>
        <v>10624</v>
      </c>
      <c r="AZ31" s="183">
        <f t="shared" ref="AZ31:BA31" si="218">AZ28+AZ29+AZ30</f>
        <v>30425</v>
      </c>
      <c r="BA31" s="184">
        <f t="shared" si="218"/>
        <v>10431</v>
      </c>
      <c r="BB31" s="184">
        <f t="shared" ref="BB31" si="219">BB28+BB29+BB30</f>
        <v>13485</v>
      </c>
      <c r="BC31" s="184">
        <f t="shared" ref="BC31" si="220">BC28+BC29+BC30</f>
        <v>15328</v>
      </c>
      <c r="BD31" s="198">
        <f t="shared" ref="BD31" si="221">BD28+BD29+BD30</f>
        <v>13654.854479063239</v>
      </c>
      <c r="BE31" s="248">
        <f t="shared" ref="BE31:BF31" si="222">BE28+BE29+BE30</f>
        <v>52898.854479063411</v>
      </c>
      <c r="BF31" s="198">
        <f t="shared" si="222"/>
        <v>12694.289558399994</v>
      </c>
      <c r="BG31" s="198">
        <f t="shared" ref="BG31" si="223">BG28+BG29+BG30</f>
        <v>13118.9042568</v>
      </c>
      <c r="BH31" s="198">
        <f t="shared" ref="BH31" si="224">BH28+BH29+BH30</f>
        <v>14078.110849200008</v>
      </c>
      <c r="BI31" s="198">
        <f t="shared" ref="BI31:BK31" si="225">BI28+BI29+BI30</f>
        <v>16624.01361070936</v>
      </c>
      <c r="BJ31" s="248">
        <f t="shared" ref="BJ31" si="226">BJ28+BJ29+BJ30</f>
        <v>56515.318275109239</v>
      </c>
      <c r="BK31" s="248">
        <f t="shared" si="225"/>
        <v>61189.496914587333</v>
      </c>
      <c r="BL31" s="248">
        <f t="shared" ref="BL31:BM31" si="227">BL28+BL29+BL30</f>
        <v>63682.491258802351</v>
      </c>
      <c r="BM31" s="248">
        <f t="shared" si="227"/>
        <v>69826.479190235696</v>
      </c>
    </row>
    <row r="32" spans="1:65" ht="16.5" x14ac:dyDescent="0.3">
      <c r="A32" s="4" t="s">
        <v>112</v>
      </c>
      <c r="B32" s="4"/>
      <c r="C32" s="4"/>
      <c r="D32" s="4"/>
      <c r="E32" s="38">
        <f t="shared" ref="E32:L32" si="228">ROUND(E31/E35,2)</f>
        <v>0.08</v>
      </c>
      <c r="F32" s="106">
        <f t="shared" si="228"/>
        <v>0.1</v>
      </c>
      <c r="G32" s="106">
        <f t="shared" si="228"/>
        <v>0.13</v>
      </c>
      <c r="H32" s="106">
        <f t="shared" si="228"/>
        <v>7.0000000000000007E-2</v>
      </c>
      <c r="I32" s="106">
        <f t="shared" si="228"/>
        <v>0</v>
      </c>
      <c r="J32" s="106">
        <f t="shared" si="228"/>
        <v>0.03</v>
      </c>
      <c r="K32" s="106">
        <f t="shared" si="228"/>
        <v>-0.03</v>
      </c>
      <c r="L32" s="106">
        <f t="shared" si="228"/>
        <v>0.06</v>
      </c>
      <c r="M32" s="99"/>
      <c r="N32" s="99"/>
      <c r="O32" s="99"/>
      <c r="P32" s="99"/>
      <c r="Q32" s="106">
        <f>ROUND(Q31/Q35,2)</f>
        <v>0.25</v>
      </c>
      <c r="R32" s="99"/>
      <c r="S32" s="99"/>
      <c r="T32" s="99"/>
      <c r="U32" s="99"/>
      <c r="V32" s="106">
        <f>ROUND(V31/V35,2)</f>
        <v>0.32</v>
      </c>
      <c r="W32" s="99"/>
      <c r="X32" s="99"/>
      <c r="Y32" s="99"/>
      <c r="Z32" s="99"/>
      <c r="AA32" s="106">
        <f>ROUND(AA31/AA35,2)</f>
        <v>1.03</v>
      </c>
      <c r="AB32" s="99"/>
      <c r="AC32" s="99"/>
      <c r="AD32" s="99"/>
      <c r="AE32" s="99"/>
      <c r="AF32" s="106">
        <f>ROUND(AF31/AF35,2)</f>
        <v>1.17</v>
      </c>
      <c r="AG32" s="99"/>
      <c r="AH32" s="99"/>
      <c r="AI32" s="99"/>
      <c r="AJ32" s="99"/>
      <c r="AK32" s="106">
        <f>ROUND(AK31/AK35,2)</f>
        <v>2.13</v>
      </c>
      <c r="AL32" s="99"/>
      <c r="AM32" s="99"/>
      <c r="AN32" s="99"/>
      <c r="AO32" s="99"/>
      <c r="AP32" s="107">
        <f>ROUND(AP31/AP35,2)</f>
        <v>3.3</v>
      </c>
      <c r="AQ32" s="99"/>
      <c r="AR32" s="99"/>
      <c r="AS32" s="99"/>
      <c r="AT32" s="99"/>
      <c r="AU32" s="107">
        <f>ROUND(AU31/AU35,2)</f>
        <v>-0.27</v>
      </c>
      <c r="AV32" s="99"/>
      <c r="AW32" s="99"/>
      <c r="AX32" s="99"/>
      <c r="AY32" s="99"/>
      <c r="AZ32" s="107">
        <f>ROUND(AZ31/AZ35,2)</f>
        <v>2.95</v>
      </c>
      <c r="BA32" s="99"/>
      <c r="BB32" s="99"/>
      <c r="BC32" s="99"/>
      <c r="BD32" s="199"/>
      <c r="BE32" s="249">
        <f>ROUND(BE31/BE35,2)</f>
        <v>5.0199999999999996</v>
      </c>
      <c r="BF32" s="199"/>
      <c r="BG32" s="199"/>
      <c r="BH32" s="199"/>
      <c r="BI32" s="199"/>
      <c r="BJ32" s="249">
        <f>ROUND(BJ31/BJ35,2)</f>
        <v>5.31</v>
      </c>
      <c r="BK32" s="249">
        <f>ROUND(BK31/BK35,2)</f>
        <v>5.68</v>
      </c>
      <c r="BL32" s="249">
        <f>ROUND(BL31/BL35,2)</f>
        <v>5.85</v>
      </c>
      <c r="BM32" s="249">
        <f>ROUND(BM31/BM35,2)</f>
        <v>6.34</v>
      </c>
    </row>
    <row r="33" spans="1:66" ht="16.5" x14ac:dyDescent="0.3">
      <c r="A33" s="4" t="s">
        <v>113</v>
      </c>
      <c r="B33" s="4"/>
      <c r="C33" s="4"/>
      <c r="D33" s="4"/>
      <c r="E33" s="38">
        <f t="shared" ref="E33:AJ33" si="229">ROUND(E31/E36,2)</f>
        <v>7.0000000000000007E-2</v>
      </c>
      <c r="F33" s="38">
        <f t="shared" si="229"/>
        <v>0.1</v>
      </c>
      <c r="G33" s="38">
        <f t="shared" si="229"/>
        <v>0.13</v>
      </c>
      <c r="H33" s="38">
        <f t="shared" si="229"/>
        <v>7.0000000000000007E-2</v>
      </c>
      <c r="I33" s="38">
        <f t="shared" si="229"/>
        <v>0</v>
      </c>
      <c r="J33" s="38">
        <f t="shared" si="229"/>
        <v>0.03</v>
      </c>
      <c r="K33" s="38">
        <f t="shared" si="229"/>
        <v>-0.03</v>
      </c>
      <c r="L33" s="38">
        <f t="shared" si="229"/>
        <v>0.06</v>
      </c>
      <c r="M33" s="39">
        <f t="shared" si="229"/>
        <v>0.05</v>
      </c>
      <c r="N33" s="39">
        <f t="shared" si="229"/>
        <v>0.09</v>
      </c>
      <c r="O33" s="39">
        <f t="shared" si="229"/>
        <v>0.03</v>
      </c>
      <c r="P33" s="39">
        <f t="shared" si="229"/>
        <v>0.08</v>
      </c>
      <c r="Q33" s="38">
        <f t="shared" si="229"/>
        <v>0.24</v>
      </c>
      <c r="R33" s="39">
        <f t="shared" si="229"/>
        <v>7.0000000000000007E-2</v>
      </c>
      <c r="S33" s="39">
        <f t="shared" si="229"/>
        <v>0.02</v>
      </c>
      <c r="T33" s="39">
        <f t="shared" si="229"/>
        <v>0.03</v>
      </c>
      <c r="U33" s="39">
        <f t="shared" si="229"/>
        <v>0.19</v>
      </c>
      <c r="V33" s="38">
        <f t="shared" si="229"/>
        <v>0.31</v>
      </c>
      <c r="W33" s="39">
        <f t="shared" si="229"/>
        <v>0.16</v>
      </c>
      <c r="X33" s="39">
        <f t="shared" si="229"/>
        <v>0.25</v>
      </c>
      <c r="Y33" s="39">
        <f t="shared" si="229"/>
        <v>0.28999999999999998</v>
      </c>
      <c r="Z33" s="39">
        <f t="shared" si="229"/>
        <v>0.3</v>
      </c>
      <c r="AA33" s="38">
        <f t="shared" si="229"/>
        <v>1.01</v>
      </c>
      <c r="AB33" s="39">
        <f t="shared" si="229"/>
        <v>0.35</v>
      </c>
      <c r="AC33" s="39">
        <f t="shared" si="229"/>
        <v>0.26</v>
      </c>
      <c r="AD33" s="39">
        <f t="shared" si="229"/>
        <v>0.21</v>
      </c>
      <c r="AE33" s="39">
        <f t="shared" si="229"/>
        <v>0.32</v>
      </c>
      <c r="AF33" s="38">
        <f t="shared" si="229"/>
        <v>1.1499999999999999</v>
      </c>
      <c r="AG33" s="39">
        <f t="shared" si="229"/>
        <v>0.25</v>
      </c>
      <c r="AH33" s="39">
        <f t="shared" si="229"/>
        <v>0.52</v>
      </c>
      <c r="AI33" s="39">
        <f t="shared" si="229"/>
        <v>0.62</v>
      </c>
      <c r="AJ33" s="39">
        <f t="shared" si="229"/>
        <v>0.7</v>
      </c>
      <c r="AK33" s="38">
        <f t="shared" ref="AK33:BM33" si="230">ROUND(AK31/AK36,2)</f>
        <v>2.09</v>
      </c>
      <c r="AL33" s="39">
        <f t="shared" si="230"/>
        <v>0.79</v>
      </c>
      <c r="AM33" s="39">
        <f t="shared" si="230"/>
        <v>0.76</v>
      </c>
      <c r="AN33" s="39">
        <f t="shared" si="230"/>
        <v>0.31</v>
      </c>
      <c r="AO33" s="39">
        <f t="shared" si="230"/>
        <v>1.39</v>
      </c>
      <c r="AP33" s="38">
        <f t="shared" si="230"/>
        <v>3.24</v>
      </c>
      <c r="AQ33" s="39">
        <f t="shared" si="230"/>
        <v>-0.38</v>
      </c>
      <c r="AR33" s="39">
        <f t="shared" si="230"/>
        <v>-0.2</v>
      </c>
      <c r="AS33" s="39">
        <f t="shared" si="230"/>
        <v>0.28000000000000003</v>
      </c>
      <c r="AT33" s="39">
        <f t="shared" si="230"/>
        <v>0.03</v>
      </c>
      <c r="AU33" s="38">
        <f t="shared" si="230"/>
        <v>-0.27</v>
      </c>
      <c r="AV33" s="39">
        <f t="shared" si="230"/>
        <v>0.31</v>
      </c>
      <c r="AW33" s="39">
        <f t="shared" si="230"/>
        <v>0.65</v>
      </c>
      <c r="AX33" s="39">
        <f t="shared" si="230"/>
        <v>0.94</v>
      </c>
      <c r="AY33" s="39">
        <f t="shared" si="230"/>
        <v>1</v>
      </c>
      <c r="AZ33" s="38">
        <f t="shared" si="230"/>
        <v>2.9</v>
      </c>
      <c r="BA33" s="39">
        <f t="shared" si="230"/>
        <v>0.98</v>
      </c>
      <c r="BB33" s="39">
        <f t="shared" si="230"/>
        <v>1.26</v>
      </c>
      <c r="BC33" s="39">
        <f t="shared" si="230"/>
        <v>1.43</v>
      </c>
      <c r="BD33" s="200">
        <f t="shared" si="230"/>
        <v>1.27</v>
      </c>
      <c r="BE33" s="250">
        <f t="shared" si="230"/>
        <v>4.9400000000000004</v>
      </c>
      <c r="BF33" s="200">
        <f t="shared" si="230"/>
        <v>1.18</v>
      </c>
      <c r="BG33" s="200">
        <f t="shared" si="230"/>
        <v>1.21</v>
      </c>
      <c r="BH33" s="200">
        <f t="shared" si="230"/>
        <v>1.3</v>
      </c>
      <c r="BI33" s="200">
        <f t="shared" si="230"/>
        <v>1.53</v>
      </c>
      <c r="BJ33" s="250">
        <f t="shared" si="230"/>
        <v>5.22</v>
      </c>
      <c r="BK33" s="250">
        <f t="shared" si="230"/>
        <v>5.59</v>
      </c>
      <c r="BL33" s="250">
        <f t="shared" si="230"/>
        <v>5.75</v>
      </c>
      <c r="BM33" s="250">
        <f t="shared" si="230"/>
        <v>6.24</v>
      </c>
    </row>
    <row r="34" spans="1:66" ht="16.5" x14ac:dyDescent="0.3">
      <c r="A34" s="4" t="s">
        <v>114</v>
      </c>
      <c r="B34" s="4"/>
      <c r="C34" s="4"/>
      <c r="D34" s="4"/>
      <c r="E34" s="38"/>
      <c r="F34" s="38"/>
      <c r="G34" s="38"/>
      <c r="H34" s="38"/>
      <c r="I34" s="38"/>
      <c r="J34" s="38"/>
      <c r="K34" s="38"/>
      <c r="L34" s="38"/>
      <c r="M34" s="39"/>
      <c r="N34" s="39"/>
      <c r="O34" s="39"/>
      <c r="P34" s="39"/>
      <c r="Q34" s="38"/>
      <c r="R34" s="39"/>
      <c r="S34" s="39"/>
      <c r="T34" s="39"/>
      <c r="U34" s="39"/>
      <c r="V34" s="38"/>
      <c r="W34" s="39"/>
      <c r="X34" s="39"/>
      <c r="Y34" s="39"/>
      <c r="Z34" s="39"/>
      <c r="AA34" s="38"/>
      <c r="AB34" s="39"/>
      <c r="AC34" s="39"/>
      <c r="AD34" s="39"/>
      <c r="AE34" s="39"/>
      <c r="AF34" s="38"/>
      <c r="AG34" s="39"/>
      <c r="AH34" s="39"/>
      <c r="AI34" s="39"/>
      <c r="AJ34" s="39"/>
      <c r="AK34" s="38"/>
      <c r="AL34" s="39"/>
      <c r="AM34" s="39"/>
      <c r="AN34" s="39"/>
      <c r="AO34" s="39"/>
      <c r="AP34" s="38"/>
      <c r="AQ34" s="39"/>
      <c r="AR34" s="39"/>
      <c r="AS34" s="39"/>
      <c r="AT34" s="39"/>
      <c r="AU34" s="38"/>
      <c r="AV34" s="39"/>
      <c r="AW34" s="39"/>
      <c r="AX34" s="39"/>
      <c r="AY34" s="39"/>
      <c r="AZ34" s="39"/>
      <c r="BA34" s="39"/>
      <c r="BB34" s="39"/>
      <c r="BC34" s="39"/>
      <c r="BD34" s="200"/>
      <c r="BE34" s="200"/>
      <c r="BF34" s="200"/>
      <c r="BG34" s="200"/>
      <c r="BH34" s="200"/>
      <c r="BI34" s="200"/>
      <c r="BJ34" s="200"/>
      <c r="BK34" s="200"/>
      <c r="BL34" s="200"/>
      <c r="BM34" s="200"/>
    </row>
    <row r="35" spans="1:66" ht="16.5" x14ac:dyDescent="0.3">
      <c r="A35" s="111" t="s">
        <v>115</v>
      </c>
      <c r="B35" s="4"/>
      <c r="C35" s="4"/>
      <c r="D35" s="4"/>
      <c r="E35" s="22">
        <v>8460</v>
      </c>
      <c r="F35" s="22">
        <v>8660</v>
      </c>
      <c r="G35" s="22">
        <v>8940</v>
      </c>
      <c r="H35" s="22">
        <v>9060</v>
      </c>
      <c r="I35" s="22">
        <v>9060</v>
      </c>
      <c r="J35" s="22">
        <v>9140</v>
      </c>
      <c r="K35" s="22">
        <v>9240</v>
      </c>
      <c r="L35" s="22">
        <v>9340</v>
      </c>
      <c r="M35" s="30"/>
      <c r="N35" s="30"/>
      <c r="O35" s="30"/>
      <c r="P35" s="30"/>
      <c r="Q35" s="22">
        <v>9480</v>
      </c>
      <c r="R35" s="30"/>
      <c r="S35" s="30"/>
      <c r="T35" s="30"/>
      <c r="U35" s="30"/>
      <c r="V35" s="22">
        <v>9600</v>
      </c>
      <c r="W35" s="30"/>
      <c r="X35" s="30"/>
      <c r="Y35" s="30"/>
      <c r="Z35" s="30"/>
      <c r="AA35" s="22">
        <v>9740</v>
      </c>
      <c r="AB35" s="30"/>
      <c r="AC35" s="30"/>
      <c r="AD35" s="30"/>
      <c r="AE35" s="30"/>
      <c r="AF35" s="22">
        <v>9880</v>
      </c>
      <c r="AG35" s="30"/>
      <c r="AH35" s="30"/>
      <c r="AI35" s="30"/>
      <c r="AJ35" s="30"/>
      <c r="AK35" s="22">
        <v>10005</v>
      </c>
      <c r="AL35" s="30"/>
      <c r="AM35" s="30"/>
      <c r="AN35" s="30"/>
      <c r="AO35" s="30"/>
      <c r="AP35" s="21">
        <v>10117</v>
      </c>
      <c r="AQ35" s="30"/>
      <c r="AR35" s="30"/>
      <c r="AS35" s="30"/>
      <c r="AT35" s="30"/>
      <c r="AU35" s="21">
        <v>10189</v>
      </c>
      <c r="AV35" s="30"/>
      <c r="AW35" s="30"/>
      <c r="AX35" s="30">
        <v>10322</v>
      </c>
      <c r="AY35" s="99"/>
      <c r="AZ35" s="21">
        <v>10304</v>
      </c>
      <c r="BA35" s="30"/>
      <c r="BB35" s="30"/>
      <c r="BC35" s="30">
        <v>10501</v>
      </c>
      <c r="BD35" s="199"/>
      <c r="BE35" s="141">
        <f>BE36-(AZ36-AZ35)</f>
        <v>10530.25</v>
      </c>
      <c r="BF35" s="189"/>
      <c r="BG35" s="189"/>
      <c r="BH35" s="189"/>
      <c r="BI35" s="199"/>
      <c r="BJ35" s="141">
        <f>BJ36-(BE36-BE35)</f>
        <v>10647</v>
      </c>
      <c r="BK35" s="141">
        <f>BK36-(BJ36-BJ35)</f>
        <v>10767</v>
      </c>
      <c r="BL35" s="141">
        <f>BL36-(BK36-BK35)</f>
        <v>10887</v>
      </c>
      <c r="BM35" s="141">
        <f>BM36-(BL36-BL35)</f>
        <v>11007</v>
      </c>
    </row>
    <row r="36" spans="1:66" ht="16.5" x14ac:dyDescent="0.3">
      <c r="A36" s="111" t="s">
        <v>116</v>
      </c>
      <c r="B36" s="4"/>
      <c r="C36" s="4"/>
      <c r="D36" s="4"/>
      <c r="E36" s="22">
        <v>8640</v>
      </c>
      <c r="F36" s="22">
        <v>8840</v>
      </c>
      <c r="G36" s="22">
        <v>9120</v>
      </c>
      <c r="H36" s="22">
        <v>9220</v>
      </c>
      <c r="I36" s="22">
        <v>9060</v>
      </c>
      <c r="J36" s="22">
        <v>9300</v>
      </c>
      <c r="K36" s="22">
        <v>9240</v>
      </c>
      <c r="L36" s="22">
        <v>9540</v>
      </c>
      <c r="M36" s="30">
        <v>9620</v>
      </c>
      <c r="N36" s="30">
        <v>9656</v>
      </c>
      <c r="O36" s="30">
        <v>9700</v>
      </c>
      <c r="P36" s="30">
        <v>9720</v>
      </c>
      <c r="Q36" s="22">
        <v>9680</v>
      </c>
      <c r="R36" s="30">
        <v>9800</v>
      </c>
      <c r="S36" s="30">
        <v>9840</v>
      </c>
      <c r="T36" s="30">
        <v>9880</v>
      </c>
      <c r="U36" s="30">
        <v>9910</v>
      </c>
      <c r="V36" s="22">
        <v>9860</v>
      </c>
      <c r="W36" s="30">
        <v>9960</v>
      </c>
      <c r="X36" s="30">
        <v>10000</v>
      </c>
      <c r="Y36" s="30">
        <v>10020</v>
      </c>
      <c r="Z36" s="30">
        <v>10020</v>
      </c>
      <c r="AA36" s="22">
        <v>10002</v>
      </c>
      <c r="AB36" s="30">
        <v>10040</v>
      </c>
      <c r="AC36" s="30">
        <v>10060</v>
      </c>
      <c r="AD36" s="30">
        <v>10080</v>
      </c>
      <c r="AE36" s="30">
        <v>10100</v>
      </c>
      <c r="AF36" s="22">
        <v>10074</v>
      </c>
      <c r="AG36" s="30">
        <v>10120</v>
      </c>
      <c r="AH36" s="30">
        <v>10180</v>
      </c>
      <c r="AI36" s="30">
        <v>10240</v>
      </c>
      <c r="AJ36" s="30">
        <v>10264</v>
      </c>
      <c r="AK36" s="22">
        <v>10200</v>
      </c>
      <c r="AL36" s="30">
        <v>10266</v>
      </c>
      <c r="AM36" s="30">
        <v>10286</v>
      </c>
      <c r="AN36" s="30">
        <v>10306</v>
      </c>
      <c r="AO36" s="30">
        <v>10324</v>
      </c>
      <c r="AP36" s="21">
        <v>10296</v>
      </c>
      <c r="AQ36" s="30">
        <v>10180</v>
      </c>
      <c r="AR36" s="30">
        <v>10175</v>
      </c>
      <c r="AS36" s="30">
        <v>10331</v>
      </c>
      <c r="AT36" s="30">
        <v>10308</v>
      </c>
      <c r="AU36" s="21">
        <v>10189</v>
      </c>
      <c r="AV36" s="30">
        <v>10347</v>
      </c>
      <c r="AW36" s="30">
        <v>10449</v>
      </c>
      <c r="AX36" s="30">
        <v>10558</v>
      </c>
      <c r="AY36" s="30">
        <v>10610</v>
      </c>
      <c r="AZ36" s="21">
        <v>10492</v>
      </c>
      <c r="BA36" s="30">
        <v>10670</v>
      </c>
      <c r="BB36" s="30">
        <v>10708</v>
      </c>
      <c r="BC36" s="30">
        <v>10735</v>
      </c>
      <c r="BD36" s="189">
        <f>BC36+25</f>
        <v>10760</v>
      </c>
      <c r="BE36" s="141">
        <f>AVERAGE(BA36:BD36)</f>
        <v>10718.25</v>
      </c>
      <c r="BF36" s="189">
        <f>BD36+30</f>
        <v>10790</v>
      </c>
      <c r="BG36" s="189">
        <f>BF36+30</f>
        <v>10820</v>
      </c>
      <c r="BH36" s="189">
        <f t="shared" ref="BH36:BI36" si="231">BG36+30</f>
        <v>10850</v>
      </c>
      <c r="BI36" s="189">
        <f t="shared" si="231"/>
        <v>10880</v>
      </c>
      <c r="BJ36" s="141">
        <f>AVERAGE(BF36:BI36)</f>
        <v>10835</v>
      </c>
      <c r="BK36" s="141">
        <f>BJ36+120</f>
        <v>10955</v>
      </c>
      <c r="BL36" s="141">
        <f>BK36+120</f>
        <v>11075</v>
      </c>
      <c r="BM36" s="141">
        <f>BL36+120</f>
        <v>11195</v>
      </c>
    </row>
    <row r="37" spans="1:66" ht="16.5" x14ac:dyDescent="0.3">
      <c r="A37" s="4"/>
      <c r="B37" s="4"/>
      <c r="C37" s="4"/>
      <c r="D37" s="4"/>
      <c r="E37" s="4"/>
    </row>
    <row r="38" spans="1:66" ht="16.5" x14ac:dyDescent="0.3">
      <c r="A38" s="14" t="s">
        <v>117</v>
      </c>
      <c r="B38" s="11"/>
      <c r="C38" s="11"/>
      <c r="D38" s="11"/>
      <c r="E38" s="25" t="s">
        <v>0</v>
      </c>
      <c r="F38" s="25" t="s">
        <v>0</v>
      </c>
      <c r="G38" s="25" t="s">
        <v>0</v>
      </c>
      <c r="H38" s="25" t="s">
        <v>0</v>
      </c>
      <c r="I38" s="25" t="s">
        <v>0</v>
      </c>
      <c r="J38" s="25" t="s">
        <v>0</v>
      </c>
      <c r="K38" s="25" t="s">
        <v>0</v>
      </c>
      <c r="L38" s="25" t="s">
        <v>0</v>
      </c>
      <c r="M38" s="25" t="s">
        <v>0</v>
      </c>
      <c r="N38" s="25" t="s">
        <v>0</v>
      </c>
      <c r="O38" s="25" t="s">
        <v>0</v>
      </c>
      <c r="P38" s="25" t="s">
        <v>0</v>
      </c>
      <c r="Q38" s="25" t="s">
        <v>0</v>
      </c>
      <c r="R38" s="25" t="s">
        <v>0</v>
      </c>
      <c r="S38" s="25" t="s">
        <v>0</v>
      </c>
      <c r="T38" s="25" t="s">
        <v>0</v>
      </c>
      <c r="U38" s="25" t="s">
        <v>0</v>
      </c>
      <c r="V38" s="25" t="s">
        <v>0</v>
      </c>
      <c r="W38" s="25" t="s">
        <v>0</v>
      </c>
      <c r="X38" s="25" t="s">
        <v>0</v>
      </c>
      <c r="Y38" s="25" t="s">
        <v>0</v>
      </c>
      <c r="Z38" s="25" t="s">
        <v>0</v>
      </c>
      <c r="AA38" s="25" t="s">
        <v>0</v>
      </c>
      <c r="AB38" s="25" t="s">
        <v>0</v>
      </c>
      <c r="AC38" s="25" t="s">
        <v>0</v>
      </c>
      <c r="AD38" s="25" t="s">
        <v>0</v>
      </c>
      <c r="AE38" s="25" t="s">
        <v>0</v>
      </c>
      <c r="AF38" s="25" t="s">
        <v>0</v>
      </c>
      <c r="AG38" s="25" t="s">
        <v>0</v>
      </c>
      <c r="AH38" s="25" t="s">
        <v>0</v>
      </c>
      <c r="AI38" s="25" t="s">
        <v>0</v>
      </c>
      <c r="AJ38" s="25" t="s">
        <v>0</v>
      </c>
      <c r="AK38" s="25" t="s">
        <v>0</v>
      </c>
      <c r="AL38" s="25" t="s">
        <v>0</v>
      </c>
      <c r="AM38" s="25" t="s">
        <v>0</v>
      </c>
      <c r="AN38" s="25" t="s">
        <v>0</v>
      </c>
      <c r="AO38" s="25" t="s">
        <v>0</v>
      </c>
      <c r="AP38" s="25" t="s">
        <v>0</v>
      </c>
      <c r="AQ38" s="25" t="s">
        <v>0</v>
      </c>
      <c r="AR38" s="25" t="s">
        <v>0</v>
      </c>
      <c r="AS38" s="25" t="s">
        <v>0</v>
      </c>
      <c r="AT38" s="25" t="s">
        <v>0</v>
      </c>
      <c r="AU38" s="25" t="s">
        <v>0</v>
      </c>
      <c r="AV38" s="25" t="s">
        <v>0</v>
      </c>
      <c r="AW38" s="25" t="s">
        <v>0</v>
      </c>
      <c r="AX38" s="25" t="s">
        <v>0</v>
      </c>
      <c r="AY38" s="25" t="s">
        <v>0</v>
      </c>
      <c r="AZ38" s="25" t="s">
        <v>0</v>
      </c>
      <c r="BA38" s="25" t="s">
        <v>0</v>
      </c>
      <c r="BB38" s="25" t="s">
        <v>0</v>
      </c>
      <c r="BC38" s="25" t="s">
        <v>0</v>
      </c>
      <c r="BD38" s="25"/>
      <c r="BE38" s="25"/>
      <c r="BF38" s="25"/>
      <c r="BG38" s="25"/>
      <c r="BH38" s="25"/>
      <c r="BI38" s="25"/>
      <c r="BJ38" s="25"/>
      <c r="BK38" s="25"/>
      <c r="BL38" s="25"/>
      <c r="BM38" s="25"/>
    </row>
    <row r="39" spans="1:66" ht="16.5" x14ac:dyDescent="0.3">
      <c r="A39" s="4" t="s">
        <v>118</v>
      </c>
      <c r="B39" s="4"/>
      <c r="C39" s="4"/>
      <c r="D39" s="4"/>
      <c r="E39" s="13"/>
      <c r="P39" s="23"/>
      <c r="Q39" s="44">
        <f>Q8/L8-1</f>
        <v>0.18954503467207884</v>
      </c>
      <c r="R39" s="45">
        <f t="shared" ref="R39:AZ45" si="232">R8/M8-1</f>
        <v>0.14611367744527004</v>
      </c>
      <c r="S39" s="45">
        <f t="shared" si="232"/>
        <v>0.16566885857297087</v>
      </c>
      <c r="T39" s="45">
        <f t="shared" si="232"/>
        <v>0.22241778601204265</v>
      </c>
      <c r="U39" s="45">
        <f t="shared" si="232"/>
        <v>0.19747529443617173</v>
      </c>
      <c r="V39" s="44">
        <f t="shared" si="232"/>
        <v>0.18508837168606185</v>
      </c>
      <c r="W39" s="45">
        <f t="shared" si="232"/>
        <v>0.18018925786383955</v>
      </c>
      <c r="X39" s="45">
        <f t="shared" si="232"/>
        <v>0.1435968678959334</v>
      </c>
      <c r="Y39" s="45">
        <f t="shared" si="232"/>
        <v>0.10112913003940593</v>
      </c>
      <c r="Z39" s="45">
        <f t="shared" si="232"/>
        <v>0.12545572732668231</v>
      </c>
      <c r="AA39" s="44">
        <f t="shared" si="232"/>
        <v>0.13503760786304286</v>
      </c>
      <c r="AB39" s="45">
        <f t="shared" si="232"/>
        <v>9.4992390214930111E-2</v>
      </c>
      <c r="AC39" s="45">
        <f t="shared" si="232"/>
        <v>0.14312534511319708</v>
      </c>
      <c r="AD39" s="45">
        <f t="shared" si="232"/>
        <v>0.20570524070059526</v>
      </c>
      <c r="AE39" s="45">
        <f t="shared" si="232"/>
        <v>0.14652704535181549</v>
      </c>
      <c r="AF39" s="44">
        <f t="shared" si="232"/>
        <v>0.14847097660728359</v>
      </c>
      <c r="AG39" s="45">
        <f t="shared" si="232"/>
        <v>0.24252491694352152</v>
      </c>
      <c r="AH39" s="45">
        <f t="shared" si="232"/>
        <v>0.47798924419540789</v>
      </c>
      <c r="AI39" s="45">
        <f t="shared" si="232"/>
        <v>0.37989097862381915</v>
      </c>
      <c r="AJ39" s="45">
        <f t="shared" si="232"/>
        <v>0.45543947258908823</v>
      </c>
      <c r="AK39" s="44">
        <f t="shared" si="232"/>
        <v>0.39719073679440986</v>
      </c>
      <c r="AL39" s="45">
        <f t="shared" si="232"/>
        <v>0.44333187820582776</v>
      </c>
      <c r="AM39" s="45">
        <f t="shared" si="232"/>
        <v>0.15820550810528156</v>
      </c>
      <c r="AN39" s="45">
        <f t="shared" si="232"/>
        <v>3.2926577042399208E-2</v>
      </c>
      <c r="AO39" s="45">
        <f t="shared" si="232"/>
        <v>-5.6583046154309313E-3</v>
      </c>
      <c r="AP39" s="44">
        <f t="shared" si="232"/>
        <v>0.12529072860769497</v>
      </c>
      <c r="AQ39" s="45">
        <f t="shared" si="232"/>
        <v>-3.3496531256497986E-2</v>
      </c>
      <c r="AR39" s="45">
        <f t="shared" si="232"/>
        <v>-4.3305679402524611E-2</v>
      </c>
      <c r="AS39" s="45">
        <f t="shared" si="232"/>
        <v>7.102238596772259E-2</v>
      </c>
      <c r="AT39" s="45">
        <f t="shared" si="232"/>
        <v>-2.3367385546727237E-2</v>
      </c>
      <c r="AU39" s="44">
        <f t="shared" si="232"/>
        <v>-9.3256782618484912E-3</v>
      </c>
      <c r="AV39" s="45">
        <f t="shared" si="232"/>
        <v>-6.4542627471686487E-4</v>
      </c>
      <c r="AW39" s="45">
        <f t="shared" si="232"/>
        <v>4.1510175990561393E-2</v>
      </c>
      <c r="AX39" s="45">
        <f t="shared" si="232"/>
        <v>7.0631344762474457E-2</v>
      </c>
      <c r="AY39" s="45">
        <f t="shared" si="232"/>
        <v>9.3164525576854507E-2</v>
      </c>
      <c r="AZ39" s="44">
        <f>AZ8/AU8-1</f>
        <v>5.3944473736841081E-2</v>
      </c>
      <c r="BA39" s="45">
        <f t="shared" ref="BA39:BA62" si="233">BA8/AV8-1</f>
        <v>6.9946766870205179E-2</v>
      </c>
      <c r="BB39" s="45">
        <f t="shared" ref="BB39:BB62" si="234">BB8/AW8-1</f>
        <v>4.5802967941698469E-2</v>
      </c>
      <c r="BC39" s="45">
        <f t="shared" ref="BC39:BC62" si="235">BC8/AX8-1</f>
        <v>7.2362791834738927E-2</v>
      </c>
      <c r="BD39" s="210">
        <f t="shared" ref="BD39:BD62" si="236">BD8/AY8-1</f>
        <v>5.0602789470052478E-2</v>
      </c>
      <c r="BE39" s="211">
        <f>BE8/AZ8-1</f>
        <v>5.9143288441838138E-2</v>
      </c>
      <c r="BF39" s="210">
        <f t="shared" ref="BF39:BF62" si="237">BF8/BA8-1</f>
        <v>5.0000000000000044E-2</v>
      </c>
      <c r="BG39" s="210">
        <f t="shared" ref="BG39:BG62" si="238">BG8/BB8-1</f>
        <v>5.0000000000000044E-2</v>
      </c>
      <c r="BH39" s="210">
        <f t="shared" ref="BH39:BH62" si="239">BH8/BC8-1</f>
        <v>5.0000000000000044E-2</v>
      </c>
      <c r="BI39" s="210">
        <f t="shared" ref="BI39:BI62" si="240">BI8/BD8-1</f>
        <v>5.0000000000000044E-2</v>
      </c>
      <c r="BJ39" s="211">
        <f>BJ8/BE8-1</f>
        <v>5.0000000000000044E-2</v>
      </c>
      <c r="BK39" s="211">
        <f>BK8/BJ8-1</f>
        <v>5.0000000000000044E-2</v>
      </c>
      <c r="BL39" s="211">
        <f>BL8/BK8-1</f>
        <v>5.0000000000000044E-2</v>
      </c>
      <c r="BM39" s="211">
        <f>BM8/BL8-1</f>
        <v>5.0000000000000044E-2</v>
      </c>
    </row>
    <row r="40" spans="1:66" ht="16.5" x14ac:dyDescent="0.3">
      <c r="A40" s="4" t="s">
        <v>119</v>
      </c>
      <c r="B40" s="4"/>
      <c r="C40" s="4"/>
      <c r="D40" s="4"/>
      <c r="E40" s="13"/>
      <c r="P40" s="13"/>
      <c r="Q40" s="44"/>
      <c r="R40" s="45"/>
      <c r="S40" s="45"/>
      <c r="T40" s="45"/>
      <c r="U40" s="45"/>
      <c r="V40" s="44"/>
      <c r="W40" s="45"/>
      <c r="X40" s="45"/>
      <c r="Y40" s="45">
        <f t="shared" si="232"/>
        <v>2.3291536050156738</v>
      </c>
      <c r="Z40" s="45">
        <f t="shared" si="232"/>
        <v>-2.6758071649712556E-2</v>
      </c>
      <c r="AA40" s="44">
        <f t="shared" si="232"/>
        <v>1.9706795446705763</v>
      </c>
      <c r="AB40" s="45">
        <f t="shared" si="232"/>
        <v>1.0321369927281276E-2</v>
      </c>
      <c r="AC40" s="45">
        <f t="shared" si="232"/>
        <v>4.1743970315399892E-3</v>
      </c>
      <c r="AD40" s="45">
        <f t="shared" si="232"/>
        <v>-1.3182674199623379E-2</v>
      </c>
      <c r="AE40" s="45">
        <f t="shared" si="232"/>
        <v>-8.6344012724380859E-3</v>
      </c>
      <c r="AF40" s="44">
        <f t="shared" si="232"/>
        <v>-1.8578727357175806E-3</v>
      </c>
      <c r="AG40" s="45">
        <f t="shared" si="232"/>
        <v>7.7315997213837973E-2</v>
      </c>
      <c r="AH40" s="45">
        <f t="shared" si="232"/>
        <v>-0.12840646651270204</v>
      </c>
      <c r="AI40" s="45">
        <f t="shared" si="232"/>
        <v>-9.6374045801526753E-2</v>
      </c>
      <c r="AJ40" s="45">
        <f t="shared" si="232"/>
        <v>-7.8157231262892535E-2</v>
      </c>
      <c r="AK40" s="44">
        <f t="shared" si="232"/>
        <v>-5.6305258259655599E-2</v>
      </c>
      <c r="AL40" s="45">
        <f t="shared" si="232"/>
        <v>-0.15517241379310343</v>
      </c>
      <c r="AM40" s="45">
        <f t="shared" si="232"/>
        <v>0.11234764175940648</v>
      </c>
      <c r="AN40" s="45">
        <f t="shared" si="232"/>
        <v>0.12697993664202745</v>
      </c>
      <c r="AO40" s="45">
        <f t="shared" si="232"/>
        <v>0.16558925907508693</v>
      </c>
      <c r="AP40" s="44">
        <f t="shared" si="232"/>
        <v>5.2453155818540376E-2</v>
      </c>
      <c r="AQ40" s="45">
        <f t="shared" si="232"/>
        <v>0.17117346938775513</v>
      </c>
      <c r="AR40" s="45">
        <f t="shared" si="232"/>
        <v>0.12458313482610772</v>
      </c>
      <c r="AS40" s="45">
        <f t="shared" si="232"/>
        <v>9.9554930897165717E-2</v>
      </c>
      <c r="AT40" s="45">
        <f t="shared" si="232"/>
        <v>5.7380546075085359E-2</v>
      </c>
      <c r="AU40" s="44">
        <f t="shared" si="232"/>
        <v>0.11057101024890192</v>
      </c>
      <c r="AV40" s="45">
        <f t="shared" si="232"/>
        <v>6.6216510564147235E-2</v>
      </c>
      <c r="AW40" s="45">
        <f t="shared" si="232"/>
        <v>6.4181317517475023E-2</v>
      </c>
      <c r="AX40" s="45">
        <f t="shared" si="232"/>
        <v>5.6455048998721669E-2</v>
      </c>
      <c r="AY40" s="45">
        <f t="shared" si="232"/>
        <v>3.9338309461367738E-2</v>
      </c>
      <c r="AZ40" s="44">
        <f t="shared" si="232"/>
        <v>5.6267468227601203E-2</v>
      </c>
      <c r="BA40" s="45">
        <f t="shared" si="233"/>
        <v>6.2717058222676147E-2</v>
      </c>
      <c r="BB40" s="45">
        <f t="shared" si="234"/>
        <v>3.6226114649681618E-2</v>
      </c>
      <c r="BC40" s="45">
        <f t="shared" si="235"/>
        <v>5.4244807420851027E-2</v>
      </c>
      <c r="BD40" s="210">
        <f t="shared" si="236"/>
        <v>5.009585621567636E-2</v>
      </c>
      <c r="BE40" s="211">
        <f t="shared" ref="BE40:BE61" si="241">BE9/AZ9-1</f>
        <v>5.0728599661665763E-2</v>
      </c>
      <c r="BF40" s="210">
        <f t="shared" si="237"/>
        <v>5.0000000000000044E-2</v>
      </c>
      <c r="BG40" s="210">
        <f t="shared" si="238"/>
        <v>5.0000000000000044E-2</v>
      </c>
      <c r="BH40" s="210">
        <f t="shared" si="239"/>
        <v>5.0000000000000044E-2</v>
      </c>
      <c r="BI40" s="210">
        <f t="shared" si="240"/>
        <v>5.0000000000000044E-2</v>
      </c>
      <c r="BJ40" s="211">
        <f t="shared" ref="BJ40:BJ60" si="242">BJ9/BE9-1</f>
        <v>5.0000000000000044E-2</v>
      </c>
      <c r="BK40" s="211">
        <f t="shared" ref="BK40:BL63" si="243">BK9/BJ9-1</f>
        <v>5.0000000000000044E-2</v>
      </c>
      <c r="BL40" s="211">
        <f t="shared" si="243"/>
        <v>5.0000000000000044E-2</v>
      </c>
      <c r="BM40" s="211">
        <f t="shared" ref="BM40" si="244">BM9/BL9-1</f>
        <v>5.0000000000000044E-2</v>
      </c>
      <c r="BN40" t="s">
        <v>19</v>
      </c>
    </row>
    <row r="41" spans="1:66" ht="16.5" x14ac:dyDescent="0.3">
      <c r="A41" s="4" t="s">
        <v>120</v>
      </c>
      <c r="B41" s="4"/>
      <c r="C41" s="4"/>
      <c r="D41" s="4"/>
      <c r="E41" s="13"/>
      <c r="P41" s="23"/>
      <c r="Q41" s="44">
        <f>Q10/L10-1</f>
        <v>0.42931741887355468</v>
      </c>
      <c r="R41" s="45">
        <f t="shared" si="232"/>
        <v>0.340970631118517</v>
      </c>
      <c r="S41" s="45">
        <f t="shared" si="232"/>
        <v>0.37536887664764906</v>
      </c>
      <c r="T41" s="45">
        <f t="shared" si="232"/>
        <v>0.40268931351733905</v>
      </c>
      <c r="U41" s="45">
        <f t="shared" si="232"/>
        <v>0.41134656652360513</v>
      </c>
      <c r="V41" s="44">
        <f t="shared" si="232"/>
        <v>0.3865692414752957</v>
      </c>
      <c r="W41" s="45">
        <f t="shared" si="232"/>
        <v>0.4391115253184219</v>
      </c>
      <c r="X41" s="45">
        <f t="shared" si="232"/>
        <v>0.38778429409240456</v>
      </c>
      <c r="Y41" s="45">
        <f t="shared" si="232"/>
        <v>0.31117558022199798</v>
      </c>
      <c r="Z41" s="45">
        <f t="shared" si="232"/>
        <v>0.27178561246792743</v>
      </c>
      <c r="AA41" s="44">
        <f t="shared" si="232"/>
        <v>0.34080928481806771</v>
      </c>
      <c r="AB41" s="45">
        <f t="shared" si="232"/>
        <v>0.20248246087425792</v>
      </c>
      <c r="AC41" s="45">
        <f t="shared" si="232"/>
        <v>0.23294166151309015</v>
      </c>
      <c r="AD41" s="45">
        <f t="shared" si="232"/>
        <v>0.2709956709956709</v>
      </c>
      <c r="AE41" s="45">
        <f t="shared" si="232"/>
        <v>0.30359411193304942</v>
      </c>
      <c r="AF41" s="44">
        <f t="shared" si="232"/>
        <v>0.25771435255585451</v>
      </c>
      <c r="AG41" s="45">
        <f t="shared" si="232"/>
        <v>0.29961403823714217</v>
      </c>
      <c r="AH41" s="45">
        <f t="shared" si="232"/>
        <v>0.52106671125229886</v>
      </c>
      <c r="AI41" s="45">
        <f t="shared" si="232"/>
        <v>0.54677565849227983</v>
      </c>
      <c r="AJ41" s="45">
        <f t="shared" si="232"/>
        <v>0.56637624670411557</v>
      </c>
      <c r="AK41" s="44">
        <f t="shared" si="232"/>
        <v>0.4961961273041795</v>
      </c>
      <c r="AL41" s="45">
        <f t="shared" si="232"/>
        <v>0.63747496374058987</v>
      </c>
      <c r="AM41" s="45">
        <f t="shared" si="232"/>
        <v>0.37867546029128873</v>
      </c>
      <c r="AN41" s="45">
        <f t="shared" si="232"/>
        <v>0.18672930123311793</v>
      </c>
      <c r="AO41" s="45">
        <f t="shared" si="232"/>
        <v>0.10952537783144867</v>
      </c>
      <c r="AP41" s="44">
        <f t="shared" si="232"/>
        <v>0.28505538495965776</v>
      </c>
      <c r="AQ41" s="45">
        <f t="shared" si="232"/>
        <v>6.8581551309629285E-2</v>
      </c>
      <c r="AR41" s="45">
        <f t="shared" si="232"/>
        <v>9.1329479768786026E-2</v>
      </c>
      <c r="AS41" s="45">
        <f t="shared" si="232"/>
        <v>0.18200560778492503</v>
      </c>
      <c r="AT41" s="45">
        <f t="shared" si="232"/>
        <v>0.19851583113456472</v>
      </c>
      <c r="AU41" s="44">
        <f t="shared" si="232"/>
        <v>0.13882708047133496</v>
      </c>
      <c r="AV41" s="45">
        <f t="shared" si="232"/>
        <v>0.177027827116637</v>
      </c>
      <c r="AW41" s="45">
        <f t="shared" si="232"/>
        <v>0.18103448275862077</v>
      </c>
      <c r="AX41" s="45">
        <f t="shared" si="232"/>
        <v>0.19800460475825021</v>
      </c>
      <c r="AY41" s="45">
        <f t="shared" si="232"/>
        <v>0.19868460882247718</v>
      </c>
      <c r="AZ41" s="44">
        <f t="shared" si="232"/>
        <v>0.18975330456352579</v>
      </c>
      <c r="BA41" s="45">
        <f t="shared" si="233"/>
        <v>0.16016096579476868</v>
      </c>
      <c r="BB41" s="45">
        <f t="shared" si="234"/>
        <v>0.11966472844240994</v>
      </c>
      <c r="BC41" s="45">
        <f t="shared" si="235"/>
        <v>0.10255663618892319</v>
      </c>
      <c r="BD41" s="210">
        <f t="shared" si="236"/>
        <v>0.12781125716692965</v>
      </c>
      <c r="BE41" s="211">
        <f t="shared" si="241"/>
        <v>0.12662585271957272</v>
      </c>
      <c r="BF41" s="210">
        <f t="shared" si="237"/>
        <v>0.10000000000000009</v>
      </c>
      <c r="BG41" s="210">
        <f t="shared" si="238"/>
        <v>0.10000000000000009</v>
      </c>
      <c r="BH41" s="210">
        <f t="shared" si="239"/>
        <v>0.10000000000000009</v>
      </c>
      <c r="BI41" s="210">
        <f t="shared" si="240"/>
        <v>0.10000000000000009</v>
      </c>
      <c r="BJ41" s="211">
        <f t="shared" si="242"/>
        <v>0.10000000000000009</v>
      </c>
      <c r="BK41" s="211">
        <f t="shared" si="243"/>
        <v>0.10000000000000009</v>
      </c>
      <c r="BL41" s="211">
        <f t="shared" si="243"/>
        <v>0.10000000000000009</v>
      </c>
      <c r="BM41" s="211">
        <f t="shared" ref="BM41" si="245">BM10/BL10-1</f>
        <v>0.10000000000000009</v>
      </c>
    </row>
    <row r="42" spans="1:66" ht="16.5" x14ac:dyDescent="0.3">
      <c r="A42" s="4" t="s">
        <v>121</v>
      </c>
      <c r="B42" s="4"/>
      <c r="C42" s="4"/>
      <c r="D42" s="4"/>
      <c r="E42" s="13"/>
      <c r="P42" s="23"/>
      <c r="Q42" s="44">
        <f t="shared" ref="Q42:Q62" si="246">Q11/L11-1</f>
        <v>0.43116185359301551</v>
      </c>
      <c r="R42" s="45">
        <f t="shared" si="232"/>
        <v>0.49153846153846148</v>
      </c>
      <c r="S42" s="45">
        <f t="shared" si="232"/>
        <v>0.51292802236198454</v>
      </c>
      <c r="T42" s="45">
        <f t="shared" si="232"/>
        <v>0.59334203655352491</v>
      </c>
      <c r="U42" s="45">
        <f t="shared" si="232"/>
        <v>0.4915492957746479</v>
      </c>
      <c r="V42" s="44">
        <f t="shared" si="232"/>
        <v>0.52072579383700912</v>
      </c>
      <c r="W42" s="45">
        <f t="shared" si="232"/>
        <v>0.59979370809695709</v>
      </c>
      <c r="X42" s="45">
        <f t="shared" si="232"/>
        <v>0.57413394919168592</v>
      </c>
      <c r="Y42" s="45">
        <f t="shared" si="232"/>
        <v>0.51495288816058982</v>
      </c>
      <c r="Z42" s="45">
        <f t="shared" si="232"/>
        <v>0.24614416115832549</v>
      </c>
      <c r="AA42" s="44">
        <f t="shared" si="232"/>
        <v>0.45721045052458331</v>
      </c>
      <c r="AB42" s="45">
        <f t="shared" si="232"/>
        <v>0.39974210186976133</v>
      </c>
      <c r="AC42" s="45">
        <f t="shared" si="232"/>
        <v>0.3720657276995305</v>
      </c>
      <c r="AD42" s="45">
        <f t="shared" si="232"/>
        <v>0.34045429962141704</v>
      </c>
      <c r="AE42" s="45">
        <f t="shared" si="232"/>
        <v>0.3223036120232381</v>
      </c>
      <c r="AF42" s="44">
        <f t="shared" si="232"/>
        <v>0.35596809486835612</v>
      </c>
      <c r="AG42" s="45">
        <f t="shared" si="232"/>
        <v>0.27959465684016571</v>
      </c>
      <c r="AH42" s="45">
        <f t="shared" si="232"/>
        <v>0.28699743370402042</v>
      </c>
      <c r="AI42" s="45">
        <f t="shared" si="232"/>
        <v>0.32580189630825096</v>
      </c>
      <c r="AJ42" s="45">
        <f t="shared" si="232"/>
        <v>0.34880611270296091</v>
      </c>
      <c r="AK42" s="44">
        <f t="shared" si="232"/>
        <v>0.31218115564810001</v>
      </c>
      <c r="AL42" s="45">
        <f t="shared" si="232"/>
        <v>0.36429085673146155</v>
      </c>
      <c r="AM42" s="45">
        <f t="shared" si="232"/>
        <v>0.31555333998005985</v>
      </c>
      <c r="AN42" s="45">
        <f t="shared" si="232"/>
        <v>0.23980523432744971</v>
      </c>
      <c r="AO42" s="45">
        <f t="shared" si="232"/>
        <v>0.15040362554878905</v>
      </c>
      <c r="AP42" s="44">
        <f t="shared" si="232"/>
        <v>0.26028484151227826</v>
      </c>
      <c r="AQ42" s="45">
        <f t="shared" si="232"/>
        <v>0.10949868073878632</v>
      </c>
      <c r="AR42" s="45">
        <f t="shared" si="232"/>
        <v>0.10092206643930779</v>
      </c>
      <c r="AS42" s="45">
        <f t="shared" si="232"/>
        <v>9.2660775650466265E-2</v>
      </c>
      <c r="AT42" s="45">
        <f t="shared" si="232"/>
        <v>0.13123230333620572</v>
      </c>
      <c r="AU42" s="44">
        <f t="shared" si="232"/>
        <v>0.10859984890455809</v>
      </c>
      <c r="AV42" s="45">
        <f t="shared" si="232"/>
        <v>0.14827586206896548</v>
      </c>
      <c r="AW42" s="45">
        <f t="shared" si="232"/>
        <v>0.13515374024782001</v>
      </c>
      <c r="AX42" s="45">
        <f t="shared" si="232"/>
        <v>0.14231158036616876</v>
      </c>
      <c r="AY42" s="45">
        <f t="shared" si="232"/>
        <v>0.14136467515507678</v>
      </c>
      <c r="AZ42" s="44">
        <f t="shared" si="232"/>
        <v>0.14171730365154178</v>
      </c>
      <c r="BA42" s="45">
        <f t="shared" si="233"/>
        <v>0.1102826964895931</v>
      </c>
      <c r="BB42" s="45">
        <f t="shared" si="234"/>
        <v>9.824135839902981E-2</v>
      </c>
      <c r="BC42" s="45">
        <f t="shared" si="235"/>
        <v>0.10894788593903648</v>
      </c>
      <c r="BD42" s="210">
        <f t="shared" si="236"/>
        <v>0.11533388047452076</v>
      </c>
      <c r="BE42" s="211">
        <f t="shared" si="241"/>
        <v>0.10829967764472581</v>
      </c>
      <c r="BF42" s="210">
        <f t="shared" si="237"/>
        <v>0.10000000000000009</v>
      </c>
      <c r="BG42" s="210">
        <f t="shared" si="238"/>
        <v>0.10000000000000009</v>
      </c>
      <c r="BH42" s="210">
        <f t="shared" si="239"/>
        <v>0.10000000000000009</v>
      </c>
      <c r="BI42" s="210">
        <f t="shared" si="240"/>
        <v>0.10000000000000009</v>
      </c>
      <c r="BJ42" s="211">
        <f t="shared" si="242"/>
        <v>0.10000000000000009</v>
      </c>
      <c r="BK42" s="211">
        <f t="shared" si="243"/>
        <v>0.10000000000000009</v>
      </c>
      <c r="BL42" s="211">
        <f t="shared" si="243"/>
        <v>0.10000000000000009</v>
      </c>
      <c r="BM42" s="211">
        <f t="shared" ref="BM42" si="247">BM11/BL11-1</f>
        <v>0.10000000000000009</v>
      </c>
    </row>
    <row r="43" spans="1:66" ht="16.5" x14ac:dyDescent="0.3">
      <c r="A43" s="4" t="s">
        <v>122</v>
      </c>
      <c r="B43" s="4"/>
      <c r="C43" s="4"/>
      <c r="D43" s="4"/>
      <c r="E43" s="13"/>
      <c r="P43" s="13"/>
      <c r="Q43" s="44"/>
      <c r="R43" s="45"/>
      <c r="S43" s="45"/>
      <c r="T43" s="45"/>
      <c r="U43" s="45"/>
      <c r="V43" s="44"/>
      <c r="W43" s="45"/>
      <c r="X43" s="45"/>
      <c r="Y43" s="45"/>
      <c r="Z43" s="45"/>
      <c r="AA43" s="44"/>
      <c r="AB43" s="45"/>
      <c r="AC43" s="45"/>
      <c r="AD43" s="45"/>
      <c r="AE43" s="45"/>
      <c r="AF43" s="44"/>
      <c r="AG43" s="45"/>
      <c r="AH43" s="45"/>
      <c r="AI43" s="45"/>
      <c r="AJ43" s="45"/>
      <c r="AK43" s="44"/>
      <c r="AL43" s="45"/>
      <c r="AM43" s="45"/>
      <c r="AN43" s="45">
        <f t="shared" si="232"/>
        <v>0.52790044158972305</v>
      </c>
      <c r="AO43" s="45">
        <f t="shared" si="232"/>
        <v>0.32190476190476192</v>
      </c>
      <c r="AP43" s="44">
        <f t="shared" si="232"/>
        <v>1.5267596496918587</v>
      </c>
      <c r="AQ43" s="45">
        <f t="shared" si="232"/>
        <v>0.23444601159692846</v>
      </c>
      <c r="AR43" s="45">
        <f t="shared" si="232"/>
        <v>0.17527848610924712</v>
      </c>
      <c r="AS43" s="45">
        <f t="shared" si="232"/>
        <v>0.25433526011560703</v>
      </c>
      <c r="AT43" s="45">
        <f t="shared" si="232"/>
        <v>0.18948126801152743</v>
      </c>
      <c r="AU43" s="44">
        <f t="shared" si="232"/>
        <v>0.21113607188703476</v>
      </c>
      <c r="AV43" s="45">
        <f t="shared" si="232"/>
        <v>0.20718547670432907</v>
      </c>
      <c r="AW43" s="45">
        <f t="shared" si="232"/>
        <v>0.21993833504624871</v>
      </c>
      <c r="AX43" s="45">
        <f t="shared" si="232"/>
        <v>0.26309174696271476</v>
      </c>
      <c r="AY43" s="45">
        <f t="shared" si="232"/>
        <v>0.26797611836981905</v>
      </c>
      <c r="AZ43" s="44">
        <f t="shared" si="232"/>
        <v>0.24290521741434601</v>
      </c>
      <c r="BA43" s="45">
        <f t="shared" si="233"/>
        <v>0.24345357030181924</v>
      </c>
      <c r="BB43" s="45">
        <f t="shared" si="234"/>
        <v>0.19545071609098574</v>
      </c>
      <c r="BC43" s="45">
        <f t="shared" si="235"/>
        <v>0.18830845771144289</v>
      </c>
      <c r="BD43" s="210">
        <f t="shared" si="236"/>
        <v>0.19139044045537879</v>
      </c>
      <c r="BE43" s="211">
        <f t="shared" si="241"/>
        <v>0.20207725055287429</v>
      </c>
      <c r="BF43" s="210">
        <f t="shared" si="237"/>
        <v>0.17999999999999994</v>
      </c>
      <c r="BG43" s="210">
        <f t="shared" si="238"/>
        <v>0.17999999999999994</v>
      </c>
      <c r="BH43" s="210">
        <f t="shared" si="239"/>
        <v>0.17999999999999994</v>
      </c>
      <c r="BI43" s="210">
        <f t="shared" si="240"/>
        <v>0.17999999999999994</v>
      </c>
      <c r="BJ43" s="211">
        <f t="shared" si="242"/>
        <v>0.17999999999999972</v>
      </c>
      <c r="BK43" s="211">
        <f t="shared" si="243"/>
        <v>0.14999999999999991</v>
      </c>
      <c r="BL43" s="211">
        <f t="shared" si="243"/>
        <v>0.14999999999999991</v>
      </c>
      <c r="BM43" s="211">
        <f t="shared" ref="BM43" si="248">BM12/BL12-1</f>
        <v>0.14999999999999991</v>
      </c>
    </row>
    <row r="44" spans="1:66" ht="16.5" x14ac:dyDescent="0.3">
      <c r="A44" s="4" t="s">
        <v>123</v>
      </c>
      <c r="B44" s="4"/>
      <c r="C44" s="4"/>
      <c r="D44" s="4"/>
      <c r="E44" s="13"/>
      <c r="P44" s="23"/>
      <c r="Q44" s="44">
        <f t="shared" si="246"/>
        <v>0.55063451776649752</v>
      </c>
      <c r="R44" s="45">
        <f t="shared" si="232"/>
        <v>0.42673421667965705</v>
      </c>
      <c r="S44" s="45">
        <f t="shared" si="232"/>
        <v>0.42065142065142069</v>
      </c>
      <c r="T44" s="45">
        <f t="shared" si="232"/>
        <v>0.41875580315691741</v>
      </c>
      <c r="U44" s="45">
        <f t="shared" si="232"/>
        <v>0.44598416289592757</v>
      </c>
      <c r="V44" s="44">
        <f t="shared" si="232"/>
        <v>0.42875849087486695</v>
      </c>
      <c r="W44" s="45">
        <f t="shared" si="232"/>
        <v>0.48647910406992634</v>
      </c>
      <c r="X44" s="45">
        <f t="shared" si="232"/>
        <v>0.48902439024390243</v>
      </c>
      <c r="Y44" s="45">
        <f t="shared" si="232"/>
        <v>0.45702443280977323</v>
      </c>
      <c r="Z44" s="45">
        <f t="shared" si="232"/>
        <v>0.45315861529434764</v>
      </c>
      <c r="AA44" s="44">
        <f t="shared" si="232"/>
        <v>0.46958414480467403</v>
      </c>
      <c r="AB44" s="45">
        <f t="shared" si="232"/>
        <v>0.41418596104373395</v>
      </c>
      <c r="AC44" s="45">
        <f t="shared" si="232"/>
        <v>0.37280917280917292</v>
      </c>
      <c r="AD44" s="45">
        <f t="shared" si="232"/>
        <v>0.34675849678095516</v>
      </c>
      <c r="AE44" s="45">
        <f t="shared" si="232"/>
        <v>0.33970390309555865</v>
      </c>
      <c r="AF44" s="44">
        <f t="shared" si="232"/>
        <v>0.36521671343935136</v>
      </c>
      <c r="AG44" s="45">
        <f t="shared" si="232"/>
        <v>0.32783264033264037</v>
      </c>
      <c r="AH44" s="45">
        <f t="shared" si="232"/>
        <v>0.28958358191146649</v>
      </c>
      <c r="AI44" s="45">
        <f t="shared" si="232"/>
        <v>0.28971650917176217</v>
      </c>
      <c r="AJ44" s="45">
        <f t="shared" si="232"/>
        <v>0.28008840667068524</v>
      </c>
      <c r="AK44" s="44">
        <f t="shared" si="232"/>
        <v>0.29532347399074976</v>
      </c>
      <c r="AL44" s="45">
        <f t="shared" si="232"/>
        <v>0.32136216850963883</v>
      </c>
      <c r="AM44" s="45">
        <f t="shared" si="232"/>
        <v>0.37018874907475952</v>
      </c>
      <c r="AN44" s="45">
        <f t="shared" si="232"/>
        <v>0.3886733902249806</v>
      </c>
      <c r="AO44" s="45">
        <f t="shared" si="232"/>
        <v>0.39538533982106427</v>
      </c>
      <c r="AP44" s="44">
        <f t="shared" si="232"/>
        <v>0.37099404893101173</v>
      </c>
      <c r="AQ44" s="45">
        <f t="shared" si="232"/>
        <v>0.36569651188624741</v>
      </c>
      <c r="AR44" s="45">
        <f t="shared" si="232"/>
        <v>0.33290566547369838</v>
      </c>
      <c r="AS44" s="45">
        <f t="shared" si="232"/>
        <v>0.27486033519553077</v>
      </c>
      <c r="AT44" s="45">
        <f t="shared" si="232"/>
        <v>0.20236220472440936</v>
      </c>
      <c r="AU44" s="44">
        <f t="shared" si="232"/>
        <v>0.28767563743931057</v>
      </c>
      <c r="AV44" s="45">
        <f t="shared" si="232"/>
        <v>0.157963234097934</v>
      </c>
      <c r="AW44" s="45">
        <f t="shared" si="232"/>
        <v>0.12163736764780375</v>
      </c>
      <c r="AX44" s="45">
        <f t="shared" si="232"/>
        <v>0.1227480767358069</v>
      </c>
      <c r="AY44" s="45">
        <f t="shared" si="232"/>
        <v>0.13219197305641317</v>
      </c>
      <c r="AZ44" s="44">
        <f t="shared" si="232"/>
        <v>0.13310277666799841</v>
      </c>
      <c r="BA44" s="45">
        <f t="shared" si="233"/>
        <v>0.17247354125690739</v>
      </c>
      <c r="BB44" s="45">
        <f t="shared" si="234"/>
        <v>0.18703703703703711</v>
      </c>
      <c r="BC44" s="45">
        <f t="shared" si="235"/>
        <v>0.1905112971074201</v>
      </c>
      <c r="BD44" s="210">
        <f t="shared" si="236"/>
        <v>0.18335665568496085</v>
      </c>
      <c r="BE44" s="211">
        <f t="shared" si="241"/>
        <v>0.18351162438378088</v>
      </c>
      <c r="BF44" s="210">
        <f t="shared" si="237"/>
        <v>0.17999999999999994</v>
      </c>
      <c r="BG44" s="210">
        <f t="shared" si="238"/>
        <v>0.17999999999999994</v>
      </c>
      <c r="BH44" s="210">
        <f t="shared" si="239"/>
        <v>0.17999999999999994</v>
      </c>
      <c r="BI44" s="210">
        <f t="shared" si="240"/>
        <v>0.17999999999999994</v>
      </c>
      <c r="BJ44" s="211">
        <f t="shared" si="242"/>
        <v>0.17999999999999972</v>
      </c>
      <c r="BK44" s="211">
        <f t="shared" si="243"/>
        <v>0.14999999999999991</v>
      </c>
      <c r="BL44" s="211">
        <f t="shared" si="243"/>
        <v>0.14999999999999991</v>
      </c>
      <c r="BM44" s="211">
        <f t="shared" ref="BM44" si="249">BM13/BL13-1</f>
        <v>0.14999999999999991</v>
      </c>
    </row>
    <row r="45" spans="1:66" ht="16.5" x14ac:dyDescent="0.3">
      <c r="A45" s="4" t="s">
        <v>124</v>
      </c>
      <c r="B45" s="4"/>
      <c r="C45" s="4"/>
      <c r="D45" s="4"/>
      <c r="E45" s="13"/>
      <c r="P45" s="23"/>
      <c r="Q45" s="44">
        <f t="shared" si="246"/>
        <v>0.72573099415204689</v>
      </c>
      <c r="R45" s="45">
        <f t="shared" si="232"/>
        <v>0.55963302752293576</v>
      </c>
      <c r="S45" s="45">
        <f t="shared" si="232"/>
        <v>0.50958466453674123</v>
      </c>
      <c r="T45" s="45">
        <f t="shared" si="232"/>
        <v>0.58392101551480957</v>
      </c>
      <c r="U45" s="45">
        <f t="shared" si="232"/>
        <v>0.61998132586367882</v>
      </c>
      <c r="V45" s="44">
        <f t="shared" si="232"/>
        <v>0.57675364283293806</v>
      </c>
      <c r="W45" s="45">
        <f t="shared" si="232"/>
        <v>1.3894117647058826</v>
      </c>
      <c r="X45" s="45">
        <f t="shared" si="232"/>
        <v>1.3216931216931216</v>
      </c>
      <c r="Y45" s="45">
        <f t="shared" si="232"/>
        <v>1.2217275155832592</v>
      </c>
      <c r="Z45" s="45">
        <f t="shared" si="232"/>
        <v>0.95273775216138334</v>
      </c>
      <c r="AA45" s="44">
        <f t="shared" si="232"/>
        <v>1.1723619170427679</v>
      </c>
      <c r="AB45" s="45">
        <f t="shared" si="232"/>
        <v>0.33727227966518947</v>
      </c>
      <c r="AC45" s="45">
        <f t="shared" si="232"/>
        <v>0.3682771194165908</v>
      </c>
      <c r="AD45" s="45">
        <f t="shared" si="232"/>
        <v>0.43727454909819641</v>
      </c>
      <c r="AE45" s="45">
        <f t="shared" si="232"/>
        <v>0.41145218417945695</v>
      </c>
      <c r="AF45" s="44">
        <f t="shared" si="232"/>
        <v>0.39354966363276622</v>
      </c>
      <c r="AG45" s="45">
        <f t="shared" si="232"/>
        <v>0.43814432989690721</v>
      </c>
      <c r="AH45" s="45">
        <f t="shared" si="232"/>
        <v>0.40606262491672229</v>
      </c>
      <c r="AI45" s="45">
        <f t="shared" si="232"/>
        <v>-0.88399330730619075</v>
      </c>
      <c r="AJ45" s="45">
        <f t="shared" si="232"/>
        <v>-0.87411125052279381</v>
      </c>
      <c r="AK45" s="44">
        <f t="shared" si="232"/>
        <v>-0.35077381797529461</v>
      </c>
      <c r="AL45" s="45">
        <f t="shared" si="232"/>
        <v>-0.86584741423451095</v>
      </c>
      <c r="AM45" s="45">
        <f t="shared" si="232"/>
        <v>-0.89031035299692018</v>
      </c>
      <c r="AN45" s="45">
        <f t="shared" si="232"/>
        <v>0.15144230769230771</v>
      </c>
      <c r="AO45" s="45">
        <f t="shared" si="232"/>
        <v>0.17940199335548179</v>
      </c>
      <c r="AP45" s="44">
        <f t="shared" si="232"/>
        <v>-0.76205576817933296</v>
      </c>
      <c r="AQ45" s="45">
        <f t="shared" si="232"/>
        <v>0.26145038167938939</v>
      </c>
      <c r="AR45" s="45">
        <f t="shared" si="232"/>
        <v>1.3110151187904968</v>
      </c>
      <c r="AS45" s="45">
        <f t="shared" ref="AS45:AS62" si="250">AS14/AN14-1</f>
        <v>1.636743215031315</v>
      </c>
      <c r="AT45" s="45">
        <f t="shared" ref="AT45:AT62" si="251">AT14/AO14-1</f>
        <v>0.76478873239436629</v>
      </c>
      <c r="AU45" s="44">
        <f t="shared" ref="AU45:AU62" si="252">AU14/AP14-1</f>
        <v>0.95174632352941169</v>
      </c>
      <c r="AV45" s="45">
        <f t="shared" ref="AV45:AV62" si="253">AV14/AQ14-1</f>
        <v>0.55370650529500764</v>
      </c>
      <c r="AW45" s="45">
        <f t="shared" ref="AW45:AW62" si="254">AW14/AR14-1</f>
        <v>0.25607476635514015</v>
      </c>
      <c r="AX45" s="45">
        <f t="shared" ref="AX45:AX62" si="255">AX14/AS14-1</f>
        <v>-2.9295328582739533E-2</v>
      </c>
      <c r="AY45" s="45">
        <f t="shared" ref="AY45:AY62" si="256">AY14/AT14-1</f>
        <v>8.6193136472466181E-2</v>
      </c>
      <c r="AZ45" s="44">
        <f t="shared" ref="AZ45:AZ61" si="257">AZ14/AU14-1</f>
        <v>0.16741229102896171</v>
      </c>
      <c r="BA45" s="45">
        <f t="shared" si="233"/>
        <v>0.22882181110029221</v>
      </c>
      <c r="BB45" s="45">
        <f t="shared" si="234"/>
        <v>-6.25E-2</v>
      </c>
      <c r="BC45" s="45">
        <f t="shared" si="235"/>
        <v>7.0962479608482898E-2</v>
      </c>
      <c r="BD45" s="210">
        <f t="shared" si="236"/>
        <v>5.0000000000000044E-2</v>
      </c>
      <c r="BE45" s="211">
        <f t="shared" si="241"/>
        <v>6.1728519564340445E-2</v>
      </c>
      <c r="BF45" s="210">
        <f t="shared" si="237"/>
        <v>5.0000000000000044E-2</v>
      </c>
      <c r="BG45" s="210">
        <f t="shared" si="238"/>
        <v>5.0000000000000044E-2</v>
      </c>
      <c r="BH45" s="210">
        <f t="shared" si="239"/>
        <v>5.0000000000000044E-2</v>
      </c>
      <c r="BI45" s="210">
        <f t="shared" si="240"/>
        <v>5.0000000000000044E-2</v>
      </c>
      <c r="BJ45" s="211">
        <f t="shared" si="242"/>
        <v>5.0000000000000044E-2</v>
      </c>
      <c r="BK45" s="211">
        <f t="shared" si="243"/>
        <v>5.0000000000000044E-2</v>
      </c>
      <c r="BL45" s="211">
        <f t="shared" si="243"/>
        <v>5.0000000000000044E-2</v>
      </c>
      <c r="BM45" s="211">
        <f t="shared" ref="BM45" si="258">BM14/BL14-1</f>
        <v>5.0000000000000044E-2</v>
      </c>
    </row>
    <row r="46" spans="1:66" s="167" customFormat="1" ht="16.5" x14ac:dyDescent="0.3">
      <c r="A46" s="169" t="s">
        <v>56</v>
      </c>
      <c r="B46" s="169"/>
      <c r="C46" s="169"/>
      <c r="D46" s="169"/>
      <c r="E46" s="170" t="s">
        <v>0</v>
      </c>
      <c r="Q46" s="171">
        <f t="shared" si="246"/>
        <v>0.27083528026465808</v>
      </c>
      <c r="R46" s="172">
        <f t="shared" ref="R46:R62" si="259">R15/M15-1</f>
        <v>0.22610546553144739</v>
      </c>
      <c r="S46" s="172">
        <f t="shared" ref="S46:S62" si="260">S15/N15-1</f>
        <v>0.24835547954216541</v>
      </c>
      <c r="T46" s="172">
        <f t="shared" ref="T46:T62" si="261">T15/O15-1</f>
        <v>0.33716451672067005</v>
      </c>
      <c r="U46" s="172">
        <f t="shared" ref="U46:U62" si="262">U15/P15-1</f>
        <v>0.38206716810315267</v>
      </c>
      <c r="V46" s="171">
        <f t="shared" ref="V46:V62" si="263">V15/Q15-1</f>
        <v>0.30796326119408479</v>
      </c>
      <c r="W46" s="172">
        <f t="shared" ref="W46:W62" si="264">W15/R15-1</f>
        <v>0.42918743349946809</v>
      </c>
      <c r="X46" s="172">
        <f t="shared" ref="X46:X62" si="265">X15/S15-1</f>
        <v>0.39338690554604128</v>
      </c>
      <c r="Y46" s="172">
        <f t="shared" ref="Y46:Y62" si="266">Y15/T15-1</f>
        <v>0.29334308705193846</v>
      </c>
      <c r="Z46" s="172">
        <f t="shared" ref="Z46:Z62" si="267">Z15/U15-1</f>
        <v>0.19734339073329688</v>
      </c>
      <c r="AA46" s="171">
        <f t="shared" ref="AA46:AA62" si="268">AA15/V15-1</f>
        <v>0.3093396152159491</v>
      </c>
      <c r="AB46" s="172">
        <f t="shared" ref="AB46:AB62" si="269">AB15/W15-1</f>
        <v>0.16962501469378166</v>
      </c>
      <c r="AC46" s="172">
        <f t="shared" ref="AC46:AC62" si="270">AC15/X15-1</f>
        <v>0.1988806111258179</v>
      </c>
      <c r="AD46" s="172">
        <f t="shared" ref="AD46:AD62" si="271">AD15/Y15-1</f>
        <v>0.23693792420814486</v>
      </c>
      <c r="AE46" s="172">
        <f t="shared" ref="AE46:AE62" si="272">AE15/Z15-1</f>
        <v>0.20797701117665746</v>
      </c>
      <c r="AF46" s="171">
        <f t="shared" ref="AF46:AF62" si="273">AF15/AA15-1</f>
        <v>0.20454125820676983</v>
      </c>
      <c r="AG46" s="172">
        <f t="shared" ref="AG46:AG62" si="274">AG15/AB15-1</f>
        <v>0.26385259631490787</v>
      </c>
      <c r="AH46" s="172">
        <f t="shared" ref="AH46:AH62" si="275">AH15/AC15-1</f>
        <v>0.40230900258658764</v>
      </c>
      <c r="AI46" s="172">
        <f t="shared" ref="AI46:AI62" si="276">AI15/AD15-1</f>
        <v>0.37387290836084075</v>
      </c>
      <c r="AJ46" s="172">
        <f t="shared" ref="AJ46:AJ62" si="277">AJ15/AE15-1</f>
        <v>0.43594816839553041</v>
      </c>
      <c r="AK46" s="171">
        <f t="shared" ref="AK46:AK62" si="278">AK15/AF15-1</f>
        <v>0.37623430604373276</v>
      </c>
      <c r="AL46" s="172">
        <f t="shared" ref="AL46:AL62" si="279">AL15/AG15-1</f>
        <v>0.43823888034777081</v>
      </c>
      <c r="AM46" s="172">
        <f t="shared" ref="AM46:AM62" si="280">AM15/AH15-1</f>
        <v>0.27181932697498645</v>
      </c>
      <c r="AN46" s="172">
        <f t="shared" ref="AN46:AN62" si="281">AN15/AI15-1</f>
        <v>0.15255083467679031</v>
      </c>
      <c r="AO46" s="172">
        <f t="shared" ref="AO46:AO62" si="282">AO15/AJ15-1</f>
        <v>9.4436701047349692E-2</v>
      </c>
      <c r="AP46" s="171">
        <f t="shared" ref="AP46:AP62" si="283">AP15/AK15-1</f>
        <v>0.21695366571345676</v>
      </c>
      <c r="AQ46" s="172">
        <f t="shared" ref="AQ46:AQ62" si="284">AQ15/AL15-1</f>
        <v>7.3038574245747334E-2</v>
      </c>
      <c r="AR46" s="172">
        <f t="shared" ref="AR46:AR62" si="285">AR15/AM15-1</f>
        <v>7.2108241952600016E-2</v>
      </c>
      <c r="AS46" s="172">
        <f t="shared" si="250"/>
        <v>0.14699671515720314</v>
      </c>
      <c r="AT46" s="172">
        <f t="shared" si="251"/>
        <v>8.5814921549791867E-2</v>
      </c>
      <c r="AU46" s="171">
        <f t="shared" si="252"/>
        <v>9.399517263985091E-2</v>
      </c>
      <c r="AV46" s="172">
        <f t="shared" si="253"/>
        <v>9.3727456975026602E-2</v>
      </c>
      <c r="AW46" s="172">
        <f t="shared" si="254"/>
        <v>0.10845967302901816</v>
      </c>
      <c r="AX46" s="172">
        <f t="shared" si="255"/>
        <v>0.125742519728405</v>
      </c>
      <c r="AY46" s="172">
        <f t="shared" si="256"/>
        <v>0.13911825420230017</v>
      </c>
      <c r="AZ46" s="171">
        <f t="shared" si="257"/>
        <v>0.1182957412988368</v>
      </c>
      <c r="BA46" s="172">
        <f t="shared" si="233"/>
        <v>0.12527677884388888</v>
      </c>
      <c r="BB46" s="172">
        <f t="shared" si="234"/>
        <v>0.10115862869559389</v>
      </c>
      <c r="BC46" s="172">
        <f t="shared" si="235"/>
        <v>0.11038348371225104</v>
      </c>
      <c r="BD46" s="212">
        <f t="shared" si="236"/>
        <v>0.10540870391908763</v>
      </c>
      <c r="BE46" s="213">
        <f t="shared" si="241"/>
        <v>0.11005570557128697</v>
      </c>
      <c r="BF46" s="212">
        <f t="shared" si="237"/>
        <v>9.9247660714659514E-2</v>
      </c>
      <c r="BG46" s="212">
        <f t="shared" si="238"/>
        <v>0.10021124904545986</v>
      </c>
      <c r="BH46" s="212">
        <f t="shared" si="239"/>
        <v>9.9654072017976159E-2</v>
      </c>
      <c r="BI46" s="212">
        <f t="shared" si="240"/>
        <v>9.8086279699855394E-2</v>
      </c>
      <c r="BJ46" s="213">
        <f t="shared" si="242"/>
        <v>9.9230361375387321E-2</v>
      </c>
      <c r="BK46" s="213">
        <f t="shared" si="243"/>
        <v>9.3426267492475068E-2</v>
      </c>
      <c r="BL46" s="213">
        <f t="shared" si="243"/>
        <v>9.4947516434952473E-2</v>
      </c>
      <c r="BM46" s="213">
        <f t="shared" ref="BM46" si="286">BM15/BL15-1</f>
        <v>9.6478448157193641E-2</v>
      </c>
    </row>
    <row r="47" spans="1:66" ht="16.5" x14ac:dyDescent="0.3">
      <c r="A47" s="17" t="s">
        <v>59</v>
      </c>
      <c r="B47" s="17"/>
      <c r="C47" s="4"/>
      <c r="D47" s="4"/>
      <c r="E47" s="13"/>
      <c r="Q47" s="53">
        <f t="shared" si="246"/>
        <v>0.23185998799737617</v>
      </c>
      <c r="R47" s="54">
        <f t="shared" si="259"/>
        <v>0.18944132301494743</v>
      </c>
      <c r="S47" s="54">
        <f t="shared" si="260"/>
        <v>0.2226798748696559</v>
      </c>
      <c r="T47" s="54">
        <f t="shared" si="261"/>
        <v>0.29581373471307626</v>
      </c>
      <c r="U47" s="54">
        <f t="shared" si="262"/>
        <v>0.32930450997997096</v>
      </c>
      <c r="V47" s="53">
        <f t="shared" si="263"/>
        <v>0.268172754463881</v>
      </c>
      <c r="W47" s="54">
        <f t="shared" si="264"/>
        <v>0.36965240641711228</v>
      </c>
      <c r="X47" s="54">
        <f t="shared" si="265"/>
        <v>0.30621295467144249</v>
      </c>
      <c r="Y47" s="54">
        <f t="shared" si="266"/>
        <v>0.19797451813132971</v>
      </c>
      <c r="Z47" s="54">
        <f t="shared" si="267"/>
        <v>0.16345404478620051</v>
      </c>
      <c r="AA47" s="53">
        <f t="shared" si="268"/>
        <v>0.24319688387799943</v>
      </c>
      <c r="AB47" s="54">
        <f t="shared" si="269"/>
        <v>0.10362778591182686</v>
      </c>
      <c r="AC47" s="54">
        <f t="shared" si="270"/>
        <v>0.1862431444241317</v>
      </c>
      <c r="AD47" s="54">
        <f t="shared" si="271"/>
        <v>0.25146198830409361</v>
      </c>
      <c r="AE47" s="54">
        <f t="shared" si="272"/>
        <v>0.20522038136917797</v>
      </c>
      <c r="AF47" s="53">
        <f t="shared" si="273"/>
        <v>0.1895714162522637</v>
      </c>
      <c r="AG47" s="54">
        <f t="shared" si="274"/>
        <v>0.30474646226415092</v>
      </c>
      <c r="AH47" s="54">
        <f t="shared" si="275"/>
        <v>0.44921154745851344</v>
      </c>
      <c r="AI47" s="54">
        <f t="shared" si="276"/>
        <v>0.38264490823688924</v>
      </c>
      <c r="AJ47" s="54">
        <f t="shared" si="277"/>
        <v>0.46884784259962586</v>
      </c>
      <c r="AK47" s="53">
        <f t="shared" si="278"/>
        <v>0.40940339261550363</v>
      </c>
      <c r="AL47" s="54">
        <f t="shared" si="279"/>
        <v>0.41001423503626544</v>
      </c>
      <c r="AM47" s="54">
        <f t="shared" si="280"/>
        <v>0.21868590960881118</v>
      </c>
      <c r="AN47" s="54">
        <f t="shared" si="281"/>
        <v>0.10198578082863441</v>
      </c>
      <c r="AO47" s="54">
        <f t="shared" si="282"/>
        <v>4.4788355784269207E-2</v>
      </c>
      <c r="AP47" s="53">
        <f t="shared" si="283"/>
        <v>0.16732031186376739</v>
      </c>
      <c r="AQ47" s="54">
        <f t="shared" si="284"/>
        <v>6.5637869974199958E-2</v>
      </c>
      <c r="AR47" s="54">
        <f t="shared" si="285"/>
        <v>3.5028671154325508E-2</v>
      </c>
      <c r="AS47" s="54">
        <f t="shared" si="250"/>
        <v>0.11660575242332749</v>
      </c>
      <c r="AT47" s="54">
        <f t="shared" si="251"/>
        <v>3.3862497736464103E-2</v>
      </c>
      <c r="AU47" s="53">
        <f t="shared" si="252"/>
        <v>6.0537408571512463E-2</v>
      </c>
      <c r="AV47" s="54">
        <f t="shared" si="253"/>
        <v>1.9428863591933743E-2</v>
      </c>
      <c r="AW47" s="54">
        <f t="shared" si="254"/>
        <v>4.4396603637239629E-2</v>
      </c>
      <c r="AX47" s="54">
        <f t="shared" si="255"/>
        <v>6.7655262708487429E-2</v>
      </c>
      <c r="AY47" s="54">
        <f t="shared" si="256"/>
        <v>8.0721625408687547E-2</v>
      </c>
      <c r="AZ47" s="53">
        <f t="shared" si="257"/>
        <v>5.5077190467782255E-2</v>
      </c>
      <c r="BA47" s="54">
        <f t="shared" si="233"/>
        <v>7.1425410452714999E-2</v>
      </c>
      <c r="BB47" s="54">
        <f t="shared" si="234"/>
        <v>6.3598229858878863E-2</v>
      </c>
      <c r="BC47" s="54">
        <f t="shared" si="235"/>
        <v>7.9376716163258809E-2</v>
      </c>
      <c r="BD47" s="214">
        <f t="shared" si="236"/>
        <v>7.5864374198565176E-2</v>
      </c>
      <c r="BE47" s="215">
        <f t="shared" si="241"/>
        <v>7.2949230079510041E-2</v>
      </c>
      <c r="BF47" s="214">
        <f t="shared" si="237"/>
        <v>0.1278478047168643</v>
      </c>
      <c r="BG47" s="214">
        <f t="shared" si="238"/>
        <v>0.14737547197939982</v>
      </c>
      <c r="BH47" s="214">
        <f t="shared" si="239"/>
        <v>0.12191196018622552</v>
      </c>
      <c r="BI47" s="214">
        <f t="shared" si="240"/>
        <v>7.736767064891481E-2</v>
      </c>
      <c r="BJ47" s="215">
        <f t="shared" si="242"/>
        <v>0.11541132018719025</v>
      </c>
      <c r="BK47" s="215">
        <f t="shared" si="243"/>
        <v>7.2398839271465842E-2</v>
      </c>
      <c r="BL47" s="215">
        <f t="shared" si="243"/>
        <v>7.347795728916906E-2</v>
      </c>
      <c r="BM47" s="215">
        <f t="shared" ref="BM47" si="287">BM16/BL16-1</f>
        <v>7.4548879194049622E-2</v>
      </c>
    </row>
    <row r="48" spans="1:66" ht="16.5" x14ac:dyDescent="0.3">
      <c r="A48" s="4" t="s">
        <v>106</v>
      </c>
      <c r="B48" s="4"/>
      <c r="C48" s="7"/>
      <c r="D48" s="7"/>
      <c r="E48" s="19" t="s">
        <v>0</v>
      </c>
      <c r="Q48" s="51">
        <f t="shared" si="246"/>
        <v>0.34982322160939039</v>
      </c>
      <c r="R48" s="52">
        <f t="shared" si="259"/>
        <v>0.2935100370298187</v>
      </c>
      <c r="S48" s="52">
        <f t="shared" si="260"/>
        <v>0.2922309337134712</v>
      </c>
      <c r="T48" s="52">
        <f t="shared" si="261"/>
        <v>0.41391653570804965</v>
      </c>
      <c r="U48" s="52">
        <f t="shared" si="262"/>
        <v>0.48542244469999329</v>
      </c>
      <c r="V48" s="51">
        <f t="shared" si="263"/>
        <v>0.38155606311422163</v>
      </c>
      <c r="W48" s="52">
        <f t="shared" si="264"/>
        <v>0.52983275576314592</v>
      </c>
      <c r="X48" s="52">
        <f t="shared" si="265"/>
        <v>0.53433535576392721</v>
      </c>
      <c r="Y48" s="52">
        <f t="shared" si="266"/>
        <v>0.45557270762581048</v>
      </c>
      <c r="Z48" s="52">
        <f t="shared" si="267"/>
        <v>0.25675121817933411</v>
      </c>
      <c r="AA48" s="51">
        <f t="shared" si="268"/>
        <v>0.42163137778317061</v>
      </c>
      <c r="AB48" s="52">
        <f t="shared" si="269"/>
        <v>0.26951297582114542</v>
      </c>
      <c r="AC48" s="52">
        <f t="shared" si="270"/>
        <v>0.21627572571223141</v>
      </c>
      <c r="AD48" s="52">
        <f t="shared" si="271"/>
        <v>0.21660374156874385</v>
      </c>
      <c r="AE48" s="52">
        <f t="shared" si="272"/>
        <v>0.21245062869152442</v>
      </c>
      <c r="AF48" s="51">
        <f t="shared" si="273"/>
        <v>0.22676595790080123</v>
      </c>
      <c r="AG48" s="52">
        <f t="shared" si="274"/>
        <v>0.21004654771140419</v>
      </c>
      <c r="AH48" s="52">
        <f t="shared" si="275"/>
        <v>0.3393431115380352</v>
      </c>
      <c r="AI48" s="52">
        <f t="shared" si="276"/>
        <v>0.36123993165731028</v>
      </c>
      <c r="AJ48" s="52">
        <f t="shared" si="277"/>
        <v>0.38287507471607896</v>
      </c>
      <c r="AK48" s="51">
        <f t="shared" si="278"/>
        <v>0.32848346755257163</v>
      </c>
      <c r="AL48" s="52">
        <f t="shared" si="279"/>
        <v>0.47828177592562904</v>
      </c>
      <c r="AM48" s="52">
        <f t="shared" si="280"/>
        <v>0.34900143440361919</v>
      </c>
      <c r="AN48" s="52">
        <f t="shared" si="281"/>
        <v>0.22651707267091892</v>
      </c>
      <c r="AO48" s="52">
        <f t="shared" si="282"/>
        <v>0.17950768299799003</v>
      </c>
      <c r="AP48" s="51">
        <f t="shared" si="283"/>
        <v>0.2927590879632358</v>
      </c>
      <c r="AQ48" s="52">
        <f t="shared" si="284"/>
        <v>8.3053236474032399E-2</v>
      </c>
      <c r="AR48" s="52">
        <f t="shared" si="285"/>
        <v>0.1207672174055292</v>
      </c>
      <c r="AS48" s="52">
        <f t="shared" si="250"/>
        <v>0.18693872436406167</v>
      </c>
      <c r="AT48" s="52">
        <f t="shared" si="251"/>
        <v>0.16466643457866859</v>
      </c>
      <c r="AU48" s="51">
        <f t="shared" si="252"/>
        <v>0.14013712919920196</v>
      </c>
      <c r="AV48" s="52">
        <f t="shared" si="253"/>
        <v>0.19265191710881968</v>
      </c>
      <c r="AW48" s="52">
        <f t="shared" si="254"/>
        <v>0.18609742747673774</v>
      </c>
      <c r="AX48" s="52">
        <f t="shared" si="255"/>
        <v>0.19756127601921425</v>
      </c>
      <c r="AY48" s="52">
        <f t="shared" si="256"/>
        <v>0.21779623686363347</v>
      </c>
      <c r="AZ48" s="51">
        <f t="shared" si="257"/>
        <v>0.19939418703808975</v>
      </c>
      <c r="BA48" s="52">
        <f t="shared" si="233"/>
        <v>0.18656302986552964</v>
      </c>
      <c r="BB48" s="52">
        <f t="shared" si="234"/>
        <v>0.14123980926011392</v>
      </c>
      <c r="BC48" s="52">
        <f t="shared" si="235"/>
        <v>0.14456149630478543</v>
      </c>
      <c r="BD48" s="216">
        <f t="shared" si="236"/>
        <v>0.14073342938187583</v>
      </c>
      <c r="BE48" s="217">
        <f t="shared" si="241"/>
        <v>0.15192927612922391</v>
      </c>
      <c r="BF48" s="216">
        <f t="shared" si="237"/>
        <v>6.9857249575551839E-2</v>
      </c>
      <c r="BG48" s="216">
        <f t="shared" si="238"/>
        <v>5.3305758033211248E-2</v>
      </c>
      <c r="BH48" s="216">
        <f t="shared" si="239"/>
        <v>7.6517011553273395E-2</v>
      </c>
      <c r="BI48" s="216">
        <f t="shared" si="240"/>
        <v>0.12144981756580986</v>
      </c>
      <c r="BJ48" s="217">
        <f t="shared" si="242"/>
        <v>8.2222570851987475E-2</v>
      </c>
      <c r="BK48" s="217">
        <f t="shared" si="243"/>
        <v>0.1162059813985683</v>
      </c>
      <c r="BL48" s="217">
        <f t="shared" si="243"/>
        <v>0.11729338411729873</v>
      </c>
      <c r="BM48" s="217">
        <f t="shared" ref="BM48" si="288">BM17/BL17-1</f>
        <v>0.11840801712033744</v>
      </c>
    </row>
    <row r="49" spans="1:65" ht="16.5" x14ac:dyDescent="0.3">
      <c r="A49" s="4" t="s">
        <v>60</v>
      </c>
      <c r="B49" s="4"/>
      <c r="C49" s="4"/>
      <c r="D49" s="4"/>
      <c r="E49" s="13"/>
      <c r="Q49" s="44">
        <f t="shared" si="246"/>
        <v>0.31387024608501113</v>
      </c>
      <c r="R49" s="45">
        <f t="shared" si="259"/>
        <v>0.27393544887442367</v>
      </c>
      <c r="S49" s="45">
        <f t="shared" si="260"/>
        <v>0.33006704486848881</v>
      </c>
      <c r="T49" s="45">
        <f t="shared" si="261"/>
        <v>0.48096885813148793</v>
      </c>
      <c r="U49" s="45">
        <f t="shared" si="262"/>
        <v>0.56915544675642593</v>
      </c>
      <c r="V49" s="44">
        <f t="shared" si="263"/>
        <v>0.43305522447357969</v>
      </c>
      <c r="W49" s="45">
        <f t="shared" si="264"/>
        <v>0.65893123270172449</v>
      </c>
      <c r="X49" s="45">
        <f t="shared" si="265"/>
        <v>0.53780535091120596</v>
      </c>
      <c r="Y49" s="45">
        <f t="shared" si="266"/>
        <v>0.2889408099688473</v>
      </c>
      <c r="Z49" s="45">
        <f t="shared" si="267"/>
        <v>0.11745041230220643</v>
      </c>
      <c r="AA49" s="44">
        <f t="shared" si="268"/>
        <v>0.34765733296368162</v>
      </c>
      <c r="AB49" s="45">
        <f t="shared" si="269"/>
        <v>0.10382443531827512</v>
      </c>
      <c r="AC49" s="45">
        <f t="shared" si="270"/>
        <v>0.16880988401412012</v>
      </c>
      <c r="AD49" s="45">
        <f t="shared" si="271"/>
        <v>0.2286404833836857</v>
      </c>
      <c r="AE49" s="45">
        <f t="shared" si="272"/>
        <v>0.21579577183885124</v>
      </c>
      <c r="AF49" s="44">
        <f t="shared" si="273"/>
        <v>0.18232580009992061</v>
      </c>
      <c r="AG49" s="45">
        <f t="shared" si="274"/>
        <v>0.34065806301592838</v>
      </c>
      <c r="AH49" s="45">
        <f t="shared" si="275"/>
        <v>0.48915974544277852</v>
      </c>
      <c r="AI49" s="45">
        <f t="shared" si="276"/>
        <v>0.44634602144191993</v>
      </c>
      <c r="AJ49" s="45">
        <f t="shared" si="277"/>
        <v>0.51525590551181111</v>
      </c>
      <c r="AK49" s="44">
        <f t="shared" si="278"/>
        <v>0.45450026099276686</v>
      </c>
      <c r="AL49" s="45">
        <f t="shared" si="279"/>
        <v>0.43352701413580785</v>
      </c>
      <c r="AM49" s="45">
        <f t="shared" si="280"/>
        <v>0.27756048095031138</v>
      </c>
      <c r="AN49" s="45">
        <f t="shared" si="281"/>
        <v>0.25793947636858205</v>
      </c>
      <c r="AO49" s="45">
        <f t="shared" si="282"/>
        <v>0.21495074158276495</v>
      </c>
      <c r="AP49" s="44">
        <f t="shared" si="283"/>
        <v>0.28359764850639135</v>
      </c>
      <c r="AQ49" s="45">
        <f t="shared" si="284"/>
        <v>0.22631578947368425</v>
      </c>
      <c r="AR49" s="45">
        <f t="shared" si="285"/>
        <v>0.15330536341988887</v>
      </c>
      <c r="AS49" s="45">
        <f t="shared" si="250"/>
        <v>0.11271488809601049</v>
      </c>
      <c r="AT49" s="45">
        <f t="shared" si="251"/>
        <v>2.9316106036979317E-2</v>
      </c>
      <c r="AU49" s="44">
        <f t="shared" si="252"/>
        <v>0.12232562474204833</v>
      </c>
      <c r="AV49" s="45">
        <f t="shared" si="253"/>
        <v>3.1276207389867361E-2</v>
      </c>
      <c r="AW49" s="45">
        <f t="shared" si="254"/>
        <v>4.7340477829121985E-2</v>
      </c>
      <c r="AX49" s="45">
        <f t="shared" si="255"/>
        <v>8.4098527911383281E-2</v>
      </c>
      <c r="AY49" s="45">
        <f t="shared" si="256"/>
        <v>0.12950699043414282</v>
      </c>
      <c r="AZ49" s="44">
        <f t="shared" si="257"/>
        <v>7.4971233347963739E-2</v>
      </c>
      <c r="BA49" s="45">
        <f t="shared" si="233"/>
        <v>6.7543649844534759E-2</v>
      </c>
      <c r="BB49" s="45">
        <f t="shared" si="234"/>
        <v>0.10612532269420316</v>
      </c>
      <c r="BC49" s="45">
        <f t="shared" si="235"/>
        <v>0.10513578919064259</v>
      </c>
      <c r="BD49" s="210">
        <f t="shared" si="236"/>
        <v>0.10875496393661521</v>
      </c>
      <c r="BE49" s="211">
        <f t="shared" si="241"/>
        <v>9.7738452023592881E-2</v>
      </c>
      <c r="BF49" s="210">
        <f t="shared" si="237"/>
        <v>8.7091361742169582E-2</v>
      </c>
      <c r="BG49" s="210">
        <f t="shared" si="238"/>
        <v>6.3910627174743384E-2</v>
      </c>
      <c r="BH49" s="210">
        <f t="shared" si="239"/>
        <v>9.1050282238442692E-2</v>
      </c>
      <c r="BI49" s="210">
        <f t="shared" si="240"/>
        <v>9.8086279699855616E-2</v>
      </c>
      <c r="BJ49" s="211">
        <f t="shared" si="242"/>
        <v>8.5779138364209917E-2</v>
      </c>
      <c r="BK49" s="211">
        <f t="shared" si="243"/>
        <v>6.5025585219943061E-2</v>
      </c>
      <c r="BL49" s="211">
        <f t="shared" si="243"/>
        <v>9.4947516434952473E-2</v>
      </c>
      <c r="BM49" s="211">
        <f t="shared" ref="BM49" si="289">BM18/BL18-1</f>
        <v>9.6478448157193419E-2</v>
      </c>
    </row>
    <row r="50" spans="1:65" ht="16.5" x14ac:dyDescent="0.3">
      <c r="A50" s="4" t="s">
        <v>61</v>
      </c>
      <c r="B50" s="4"/>
      <c r="C50" s="4"/>
      <c r="D50" s="4"/>
      <c r="E50" s="13"/>
      <c r="Q50" s="44">
        <f t="shared" si="246"/>
        <v>0.37666539779215835</v>
      </c>
      <c r="R50" s="45">
        <f t="shared" si="259"/>
        <v>0.3370473537604457</v>
      </c>
      <c r="S50" s="45">
        <f t="shared" si="260"/>
        <v>0.44178525226390675</v>
      </c>
      <c r="T50" s="45">
        <f t="shared" si="261"/>
        <v>0.42635212888377438</v>
      </c>
      <c r="U50" s="45">
        <f t="shared" si="262"/>
        <v>0.36888181456426583</v>
      </c>
      <c r="V50" s="44">
        <f t="shared" si="263"/>
        <v>0.3919535462463708</v>
      </c>
      <c r="W50" s="45">
        <f t="shared" si="264"/>
        <v>0.4057291666666667</v>
      </c>
      <c r="X50" s="45">
        <f t="shared" si="265"/>
        <v>0.30148048452220721</v>
      </c>
      <c r="Y50" s="45">
        <f t="shared" si="266"/>
        <v>0.33239209358612354</v>
      </c>
      <c r="Z50" s="45">
        <f t="shared" si="267"/>
        <v>1.2293604651162791</v>
      </c>
      <c r="AA50" s="44">
        <f t="shared" si="268"/>
        <v>0.64600715137067932</v>
      </c>
      <c r="AB50" s="45">
        <f t="shared" si="269"/>
        <v>1.9370137087810302</v>
      </c>
      <c r="AC50" s="45">
        <f t="shared" si="270"/>
        <v>2.1247845570492934</v>
      </c>
      <c r="AD50" s="45">
        <f t="shared" si="271"/>
        <v>1.7853466545564638</v>
      </c>
      <c r="AE50" s="45">
        <f t="shared" si="272"/>
        <v>0.27004824618594347</v>
      </c>
      <c r="AF50" s="44">
        <f t="shared" si="273"/>
        <v>1.1682355780835145</v>
      </c>
      <c r="AG50" s="45">
        <f t="shared" si="274"/>
        <v>0.17635927841554189</v>
      </c>
      <c r="AH50" s="45">
        <f t="shared" si="275"/>
        <v>0.14594594594594601</v>
      </c>
      <c r="AI50" s="45">
        <f t="shared" si="276"/>
        <v>0.19304347826086965</v>
      </c>
      <c r="AJ50" s="45">
        <f t="shared" si="277"/>
        <v>0.23706365503080074</v>
      </c>
      <c r="AK50" s="44">
        <f t="shared" si="278"/>
        <v>0.18941333630190349</v>
      </c>
      <c r="AL50" s="45">
        <f t="shared" si="279"/>
        <v>0.33919571045576413</v>
      </c>
      <c r="AM50" s="45">
        <f t="shared" si="280"/>
        <v>0.33529072006160954</v>
      </c>
      <c r="AN50" s="45">
        <f t="shared" si="281"/>
        <v>0.310131195335277</v>
      </c>
      <c r="AO50" s="45">
        <f t="shared" si="282"/>
        <v>0.27089385011204259</v>
      </c>
      <c r="AP50" s="44">
        <f t="shared" si="283"/>
        <v>0.31152604239786608</v>
      </c>
      <c r="AQ50" s="45">
        <f t="shared" si="284"/>
        <v>0.18850096092248569</v>
      </c>
      <c r="AR50" s="45">
        <f t="shared" si="285"/>
        <v>0.3028620863672411</v>
      </c>
      <c r="AS50" s="45">
        <f t="shared" si="250"/>
        <v>0.35500695410292082</v>
      </c>
      <c r="AT50" s="45">
        <f t="shared" si="251"/>
        <v>0.35923724939593815</v>
      </c>
      <c r="AU50" s="44">
        <f t="shared" si="252"/>
        <v>0.3061621351602084</v>
      </c>
      <c r="AV50" s="45">
        <f t="shared" si="253"/>
        <v>0.37784665139469076</v>
      </c>
      <c r="AW50" s="45">
        <f t="shared" si="254"/>
        <v>0.21353474988933163</v>
      </c>
      <c r="AX50" s="45">
        <f t="shared" si="255"/>
        <v>8.8170387477546797E-2</v>
      </c>
      <c r="AY50" s="45">
        <f t="shared" si="256"/>
        <v>5.880657249927923E-2</v>
      </c>
      <c r="AZ50" s="44">
        <f t="shared" si="257"/>
        <v>0.16949175692841445</v>
      </c>
      <c r="BA50" s="45">
        <f t="shared" si="233"/>
        <v>-1.2713936430317485E-3</v>
      </c>
      <c r="BB50" s="45">
        <f t="shared" si="234"/>
        <v>1.7007888377182923E-2</v>
      </c>
      <c r="BC50" s="45">
        <f t="shared" si="235"/>
        <v>4.9143989058152204E-2</v>
      </c>
      <c r="BD50" s="210">
        <f t="shared" si="236"/>
        <v>0.10826426783206133</v>
      </c>
      <c r="BE50" s="211">
        <f t="shared" si="241"/>
        <v>4.4088294299163389E-2</v>
      </c>
      <c r="BF50" s="210">
        <f t="shared" si="237"/>
        <v>2.7292596944772374E-3</v>
      </c>
      <c r="BG50" s="210">
        <f t="shared" si="238"/>
        <v>-5.1077170014347084E-2</v>
      </c>
      <c r="BH50" s="210">
        <f t="shared" si="239"/>
        <v>2.1005448415374106E-2</v>
      </c>
      <c r="BI50" s="210">
        <f t="shared" si="240"/>
        <v>9.8086279699855616E-2</v>
      </c>
      <c r="BJ50" s="211">
        <f t="shared" si="242"/>
        <v>1.9904885636058189E-2</v>
      </c>
      <c r="BK50" s="211">
        <f t="shared" si="243"/>
        <v>9.3426267492474846E-2</v>
      </c>
      <c r="BL50" s="211">
        <f t="shared" si="243"/>
        <v>0.17917424846841046</v>
      </c>
      <c r="BM50" s="211">
        <f t="shared" ref="BM50" si="290">BM19/BL19-1</f>
        <v>0.1747983373112787</v>
      </c>
    </row>
    <row r="51" spans="1:65" ht="16.5" x14ac:dyDescent="0.3">
      <c r="A51" s="4" t="s">
        <v>62</v>
      </c>
      <c r="B51" s="4"/>
      <c r="C51" s="4"/>
      <c r="D51" s="4"/>
      <c r="E51" s="13"/>
      <c r="Q51" s="44">
        <f t="shared" si="246"/>
        <v>0.28277511961722479</v>
      </c>
      <c r="R51" s="45">
        <f t="shared" si="259"/>
        <v>0.36500283607487227</v>
      </c>
      <c r="S51" s="45">
        <f t="shared" si="260"/>
        <v>0.43015463917525776</v>
      </c>
      <c r="T51" s="45">
        <f t="shared" si="261"/>
        <v>0.43748488512696504</v>
      </c>
      <c r="U51" s="45">
        <f t="shared" si="262"/>
        <v>0.38921892189218932</v>
      </c>
      <c r="V51" s="44">
        <f t="shared" si="263"/>
        <v>0.40619171950764632</v>
      </c>
      <c r="W51" s="45">
        <f t="shared" si="264"/>
        <v>0.40432162892167045</v>
      </c>
      <c r="X51" s="45">
        <f t="shared" si="265"/>
        <v>0.30600108127590553</v>
      </c>
      <c r="Y51" s="45">
        <f t="shared" si="266"/>
        <v>0.20491251682368783</v>
      </c>
      <c r="Z51" s="45">
        <f t="shared" si="267"/>
        <v>-0.22220462464364898</v>
      </c>
      <c r="AA51" s="44">
        <f t="shared" si="268"/>
        <v>0.15291777188328903</v>
      </c>
      <c r="AB51" s="45">
        <f t="shared" si="269"/>
        <v>-0.45790797455244858</v>
      </c>
      <c r="AC51" s="45">
        <f t="shared" si="270"/>
        <v>-0.40789292120877607</v>
      </c>
      <c r="AD51" s="45">
        <f t="shared" si="271"/>
        <v>-0.33649818486456295</v>
      </c>
      <c r="AE51" s="45">
        <f t="shared" si="272"/>
        <v>0.25677051517002658</v>
      </c>
      <c r="AF51" s="44">
        <f t="shared" si="273"/>
        <v>-0.27608420568273329</v>
      </c>
      <c r="AG51" s="45">
        <f t="shared" si="274"/>
        <v>0.31768558951965065</v>
      </c>
      <c r="AH51" s="45">
        <f t="shared" si="275"/>
        <v>1.2584479142391025E-2</v>
      </c>
      <c r="AI51" s="45">
        <f t="shared" si="276"/>
        <v>0.1435185185185186</v>
      </c>
      <c r="AJ51" s="45">
        <f t="shared" si="277"/>
        <v>0.19944912508101109</v>
      </c>
      <c r="AK51" s="44">
        <f t="shared" si="278"/>
        <v>0.1658456486042692</v>
      </c>
      <c r="AL51" s="45">
        <f t="shared" si="279"/>
        <v>0.28562551781275891</v>
      </c>
      <c r="AM51" s="45">
        <f t="shared" si="280"/>
        <v>0.73164556962025307</v>
      </c>
      <c r="AN51" s="45">
        <f t="shared" si="281"/>
        <v>0.47405226352594765</v>
      </c>
      <c r="AO51" s="45">
        <f t="shared" si="282"/>
        <v>0.46021883020397136</v>
      </c>
      <c r="AP51" s="44">
        <f t="shared" si="283"/>
        <v>0.47891867333030436</v>
      </c>
      <c r="AQ51" s="45">
        <f t="shared" si="284"/>
        <v>0.34042210407604312</v>
      </c>
      <c r="AR51" s="45">
        <f t="shared" si="285"/>
        <v>0.34051036682615621</v>
      </c>
      <c r="AS51" s="45">
        <f t="shared" si="250"/>
        <v>0.37503121098626724</v>
      </c>
      <c r="AT51" s="45">
        <f t="shared" si="251"/>
        <v>0.18575393154486597</v>
      </c>
      <c r="AU51" s="44">
        <f t="shared" si="252"/>
        <v>0.29759454394642249</v>
      </c>
      <c r="AV51" s="45">
        <f t="shared" si="253"/>
        <v>0.22259615384615383</v>
      </c>
      <c r="AW51" s="45">
        <f t="shared" si="254"/>
        <v>6.5338092405314407E-2</v>
      </c>
      <c r="AX51" s="45">
        <f t="shared" si="255"/>
        <v>-4.2037406936626165E-2</v>
      </c>
      <c r="AY51" s="45">
        <f t="shared" si="256"/>
        <v>6.5532844437510285E-3</v>
      </c>
      <c r="AZ51" s="44">
        <f t="shared" si="257"/>
        <v>5.04758748046783E-2</v>
      </c>
      <c r="BA51" s="45">
        <f t="shared" si="233"/>
        <v>-5.0137632717263125E-2</v>
      </c>
      <c r="BB51" s="45">
        <f t="shared" si="234"/>
        <v>-2.1684504420660722E-2</v>
      </c>
      <c r="BC51" s="45">
        <f t="shared" si="235"/>
        <v>5.4971092787412523E-3</v>
      </c>
      <c r="BD51" s="210">
        <f t="shared" si="236"/>
        <v>1.9326136325797938E-2</v>
      </c>
      <c r="BE51" s="211">
        <f t="shared" si="241"/>
        <v>-9.8186655200486195E-3</v>
      </c>
      <c r="BF51" s="210">
        <f t="shared" si="237"/>
        <v>0.14133239494928596</v>
      </c>
      <c r="BG51" s="210">
        <f t="shared" si="238"/>
        <v>8.4134056316590655E-2</v>
      </c>
      <c r="BH51" s="210">
        <f t="shared" si="239"/>
        <v>0.15276480346875299</v>
      </c>
      <c r="BI51" s="210">
        <f t="shared" si="240"/>
        <v>9.8086279699855616E-2</v>
      </c>
      <c r="BJ51" s="211">
        <f t="shared" si="242"/>
        <v>0.11746206955829086</v>
      </c>
      <c r="BK51" s="211">
        <f t="shared" si="243"/>
        <v>0.24963001999139989</v>
      </c>
      <c r="BL51" s="211">
        <f t="shared" si="243"/>
        <v>9.4947516434952473E-2</v>
      </c>
      <c r="BM51" s="211">
        <f t="shared" ref="BM51" si="291">BM20/BL20-1</f>
        <v>9.6478448157193641E-2</v>
      </c>
    </row>
    <row r="52" spans="1:65" ht="16.5" x14ac:dyDescent="0.3">
      <c r="A52" s="4" t="s">
        <v>63</v>
      </c>
      <c r="B52" s="4"/>
      <c r="C52" s="4"/>
      <c r="D52" s="4"/>
      <c r="E52" s="13"/>
      <c r="Q52" s="44">
        <f t="shared" si="246"/>
        <v>0.39267315397824842</v>
      </c>
      <c r="R52" s="45">
        <f t="shared" si="259"/>
        <v>0.5995975855130784</v>
      </c>
      <c r="S52" s="45">
        <f t="shared" si="260"/>
        <v>0.50689655172413794</v>
      </c>
      <c r="T52" s="45">
        <f t="shared" si="261"/>
        <v>0.50234741784037551</v>
      </c>
      <c r="U52" s="45">
        <f t="shared" si="262"/>
        <v>0.45606694560669458</v>
      </c>
      <c r="V52" s="44">
        <f t="shared" si="263"/>
        <v>0.50965885737772298</v>
      </c>
      <c r="W52" s="45">
        <f t="shared" si="264"/>
        <v>0.34213836477987414</v>
      </c>
      <c r="X52" s="45">
        <f t="shared" si="265"/>
        <v>0.27116704805491998</v>
      </c>
      <c r="Y52" s="45">
        <f t="shared" si="266"/>
        <v>8.4375000000000089E-2</v>
      </c>
      <c r="Z52" s="45">
        <f t="shared" si="267"/>
        <v>6.9923371647509613E-2</v>
      </c>
      <c r="AA52" s="44">
        <f t="shared" si="268"/>
        <v>0.18050639803974944</v>
      </c>
      <c r="AB52" s="45">
        <f t="shared" si="269"/>
        <v>9.9343955014058016E-2</v>
      </c>
      <c r="AC52" s="45">
        <f t="shared" si="270"/>
        <v>0.14311431143114306</v>
      </c>
      <c r="AD52" s="45">
        <f t="shared" si="271"/>
        <v>0.29490874159462055</v>
      </c>
      <c r="AE52" s="45">
        <f t="shared" si="272"/>
        <v>0.26410026857654434</v>
      </c>
      <c r="AF52" s="44">
        <f t="shared" si="273"/>
        <v>0.19995387453874547</v>
      </c>
      <c r="AG52" s="45">
        <f t="shared" si="274"/>
        <v>0.23785166240409206</v>
      </c>
      <c r="AH52" s="45">
        <f t="shared" si="275"/>
        <v>0.24409448818897639</v>
      </c>
      <c r="AI52" s="45">
        <f t="shared" si="276"/>
        <v>0.23738872403560829</v>
      </c>
      <c r="AJ52" s="45">
        <f t="shared" si="277"/>
        <v>0.39376770538243622</v>
      </c>
      <c r="AK52" s="44">
        <f t="shared" si="278"/>
        <v>0.28156832596578907</v>
      </c>
      <c r="AL52" s="45">
        <f t="shared" si="279"/>
        <v>0.36845730027548207</v>
      </c>
      <c r="AM52" s="45">
        <f t="shared" si="280"/>
        <v>0.36582278481012653</v>
      </c>
      <c r="AN52" s="45">
        <f t="shared" si="281"/>
        <v>0.29076738609112707</v>
      </c>
      <c r="AO52" s="45">
        <f t="shared" si="282"/>
        <v>0.28302845528455278</v>
      </c>
      <c r="AP52" s="44">
        <f t="shared" si="283"/>
        <v>0.32318536292741462</v>
      </c>
      <c r="AQ52" s="45">
        <f t="shared" si="284"/>
        <v>0.30548565676899853</v>
      </c>
      <c r="AR52" s="45">
        <f t="shared" si="285"/>
        <v>0.34522706209453191</v>
      </c>
      <c r="AS52" s="45">
        <f t="shared" si="250"/>
        <v>0.42173711100789602</v>
      </c>
      <c r="AT52" s="45">
        <f t="shared" si="251"/>
        <v>0.32000000000000006</v>
      </c>
      <c r="AU52" s="44">
        <f t="shared" si="252"/>
        <v>0.34772753031848569</v>
      </c>
      <c r="AV52" s="45">
        <f t="shared" si="253"/>
        <v>0.17309175019275247</v>
      </c>
      <c r="AW52" s="45">
        <f t="shared" si="254"/>
        <v>0.10299689975887016</v>
      </c>
      <c r="AX52" s="45">
        <f t="shared" si="255"/>
        <v>-0.16334531198954594</v>
      </c>
      <c r="AY52" s="45">
        <f t="shared" si="256"/>
        <v>-9.6909690969096962E-2</v>
      </c>
      <c r="AZ52" s="44">
        <f t="shared" si="257"/>
        <v>-6.3072912286603611E-3</v>
      </c>
      <c r="BA52" s="45">
        <f t="shared" si="233"/>
        <v>-9.8915543871179734E-2</v>
      </c>
      <c r="BB52" s="45">
        <f t="shared" si="234"/>
        <v>-5.0281074328544673E-2</v>
      </c>
      <c r="BC52" s="45">
        <f t="shared" si="235"/>
        <v>5.9351815696993437E-2</v>
      </c>
      <c r="BD52" s="210">
        <f t="shared" si="236"/>
        <v>0.24834796496207345</v>
      </c>
      <c r="BE52" s="211">
        <f t="shared" si="241"/>
        <v>3.7028383085294658E-2</v>
      </c>
      <c r="BF52" s="210">
        <f t="shared" si="237"/>
        <v>0.14906258205689271</v>
      </c>
      <c r="BG52" s="210">
        <f t="shared" si="238"/>
        <v>7.0739625123314775E-2</v>
      </c>
      <c r="BH52" s="210">
        <f t="shared" si="239"/>
        <v>0.28794500552893476</v>
      </c>
      <c r="BI52" s="210">
        <f t="shared" si="240"/>
        <v>9.8086279699855394E-2</v>
      </c>
      <c r="BJ52" s="211">
        <f t="shared" si="242"/>
        <v>0.14474244246798129</v>
      </c>
      <c r="BK52" s="211">
        <f t="shared" si="243"/>
        <v>0.36678283436559345</v>
      </c>
      <c r="BL52" s="211">
        <f t="shared" si="243"/>
        <v>0.3139370197219431</v>
      </c>
      <c r="BM52" s="211">
        <f t="shared" ref="BM52" si="292">BM21/BL21-1</f>
        <v>9.6478448157193419E-2</v>
      </c>
    </row>
    <row r="53" spans="1:65" ht="16.5" x14ac:dyDescent="0.3">
      <c r="A53" s="17" t="s">
        <v>64</v>
      </c>
      <c r="B53" s="17"/>
      <c r="C53" s="17"/>
      <c r="D53" s="4"/>
      <c r="E53" s="13"/>
      <c r="Q53" s="46">
        <f t="shared" si="246"/>
        <v>-2.9239766081871399E-2</v>
      </c>
      <c r="R53" s="47">
        <f t="shared" si="259"/>
        <v>-2.2222222222222254E-2</v>
      </c>
      <c r="S53" s="47">
        <f t="shared" si="260"/>
        <v>0.19999999999999996</v>
      </c>
      <c r="T53" s="47">
        <f t="shared" si="261"/>
        <v>0.40625</v>
      </c>
      <c r="U53" s="47">
        <f t="shared" si="262"/>
        <v>0.76470588235294112</v>
      </c>
      <c r="V53" s="46">
        <f t="shared" si="263"/>
        <v>0.29518072289156616</v>
      </c>
      <c r="W53" s="47">
        <f t="shared" si="264"/>
        <v>0.43181818181818188</v>
      </c>
      <c r="X53" s="47">
        <f t="shared" si="265"/>
        <v>0.21212121212121215</v>
      </c>
      <c r="Y53" s="47">
        <f t="shared" si="266"/>
        <v>0.51111111111111107</v>
      </c>
      <c r="Z53" s="47">
        <f t="shared" si="267"/>
        <v>0.43333333333333335</v>
      </c>
      <c r="AA53" s="46">
        <f t="shared" si="268"/>
        <v>0.38139534883720927</v>
      </c>
      <c r="AB53" s="47">
        <f t="shared" si="269"/>
        <v>-1.0793650793650793</v>
      </c>
      <c r="AC53" s="47">
        <f t="shared" si="270"/>
        <v>7.4999999999999956E-2</v>
      </c>
      <c r="AD53" s="47">
        <f t="shared" si="271"/>
        <v>-0.19117647058823528</v>
      </c>
      <c r="AE53" s="47">
        <f t="shared" si="272"/>
        <v>-0.2441860465116279</v>
      </c>
      <c r="AF53" s="46">
        <f t="shared" si="273"/>
        <v>-0.3232323232323232</v>
      </c>
      <c r="AG53" s="47">
        <f t="shared" si="274"/>
        <v>-15</v>
      </c>
      <c r="AH53" s="47">
        <f t="shared" si="275"/>
        <v>2.3720930232558142</v>
      </c>
      <c r="AI53" s="47">
        <f t="shared" si="276"/>
        <v>0.1272727272727272</v>
      </c>
      <c r="AJ53" s="47">
        <f t="shared" si="277"/>
        <v>-8.6307692307692321</v>
      </c>
      <c r="AK53" s="46">
        <f t="shared" si="278"/>
        <v>-1.3681592039800994</v>
      </c>
      <c r="AL53" s="47">
        <f t="shared" si="279"/>
        <v>-0.45714285714285718</v>
      </c>
      <c r="AM53" s="47">
        <f t="shared" si="280"/>
        <v>-0.96206896551724141</v>
      </c>
      <c r="AN53" s="47">
        <f t="shared" si="281"/>
        <v>-1.1774193548387097</v>
      </c>
      <c r="AO53" s="47">
        <f t="shared" si="282"/>
        <v>-1.0483870967741935</v>
      </c>
      <c r="AP53" s="46">
        <f t="shared" si="283"/>
        <v>-1.8378378378378377</v>
      </c>
      <c r="AQ53" s="47">
        <f t="shared" si="284"/>
        <v>5.5526315789473681</v>
      </c>
      <c r="AR53" s="47">
        <f t="shared" si="285"/>
        <v>7.1818181818181817</v>
      </c>
      <c r="AS53" s="47">
        <f t="shared" si="250"/>
        <v>-16</v>
      </c>
      <c r="AT53" s="47">
        <f t="shared" si="251"/>
        <v>30.625</v>
      </c>
      <c r="AU53" s="46">
        <f t="shared" si="252"/>
        <v>19.370967741935484</v>
      </c>
      <c r="AV53" s="47">
        <f t="shared" si="253"/>
        <v>-0.10441767068273089</v>
      </c>
      <c r="AW53" s="47">
        <f t="shared" si="254"/>
        <v>0.62222222222222223</v>
      </c>
      <c r="AX53" s="47">
        <f t="shared" si="255"/>
        <v>0.47878787878787876</v>
      </c>
      <c r="AY53" s="47">
        <f t="shared" si="256"/>
        <v>-0.79710144927536231</v>
      </c>
      <c r="AZ53" s="46">
        <f t="shared" si="257"/>
        <v>-0.3927157561361837</v>
      </c>
      <c r="BA53" s="47">
        <f t="shared" si="233"/>
        <v>2.2421524663677195E-2</v>
      </c>
      <c r="BB53" s="47">
        <f t="shared" si="234"/>
        <v>-0.33561643835616439</v>
      </c>
      <c r="BC53" s="47">
        <f t="shared" si="235"/>
        <v>7.3770491803278659E-2</v>
      </c>
      <c r="BD53" s="218">
        <f t="shared" si="236"/>
        <v>0.21997642030384434</v>
      </c>
      <c r="BE53" s="219">
        <f t="shared" si="241"/>
        <v>1.0269059617721066E-2</v>
      </c>
      <c r="BF53" s="218">
        <f t="shared" si="237"/>
        <v>-0.30905052631578944</v>
      </c>
      <c r="BG53" s="218">
        <f t="shared" si="238"/>
        <v>0.67841195876288696</v>
      </c>
      <c r="BH53" s="218">
        <f t="shared" si="239"/>
        <v>-0.33316893129770997</v>
      </c>
      <c r="BI53" s="218">
        <f t="shared" si="240"/>
        <v>9.8086279699855616E-2</v>
      </c>
      <c r="BJ53" s="219">
        <f t="shared" si="242"/>
        <v>-9.4879298059988293E-2</v>
      </c>
      <c r="BK53" s="219">
        <f t="shared" si="243"/>
        <v>9.3426267492474846E-2</v>
      </c>
      <c r="BL53" s="219">
        <f t="shared" si="243"/>
        <v>9.4947516434952473E-2</v>
      </c>
      <c r="BM53" s="219">
        <f t="shared" ref="BM53" si="293">BM22/BL22-1</f>
        <v>9.6478448157193419E-2</v>
      </c>
    </row>
    <row r="54" spans="1:65" ht="16.5" x14ac:dyDescent="0.3">
      <c r="A54" s="15" t="s">
        <v>107</v>
      </c>
      <c r="B54" s="142"/>
      <c r="C54" s="142"/>
      <c r="D54" s="142"/>
      <c r="E54" s="143" t="s">
        <v>0</v>
      </c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46">
        <f t="shared" si="246"/>
        <v>0.31444357224805275</v>
      </c>
      <c r="R54" s="47">
        <f t="shared" si="259"/>
        <v>0.33489282994233482</v>
      </c>
      <c r="S54" s="47">
        <f t="shared" si="260"/>
        <v>0.39611630948787613</v>
      </c>
      <c r="T54" s="47">
        <f t="shared" si="261"/>
        <v>0.45675153966357196</v>
      </c>
      <c r="U54" s="47">
        <f t="shared" si="262"/>
        <v>0.46599645180366656</v>
      </c>
      <c r="V54" s="46">
        <f t="shared" si="263"/>
        <v>0.42005650366355063</v>
      </c>
      <c r="W54" s="47">
        <f t="shared" si="264"/>
        <v>0.49808460347216554</v>
      </c>
      <c r="X54" s="47">
        <f t="shared" si="265"/>
        <v>0.38880080714903431</v>
      </c>
      <c r="Y54" s="47">
        <f t="shared" si="266"/>
        <v>0.25246087834427056</v>
      </c>
      <c r="Z54" s="47">
        <f t="shared" si="267"/>
        <v>0.20063533682936674</v>
      </c>
      <c r="AA54" s="46">
        <f t="shared" si="268"/>
        <v>0.31517994338859689</v>
      </c>
      <c r="AB54" s="47">
        <f t="shared" si="269"/>
        <v>0.16213275299238306</v>
      </c>
      <c r="AC54" s="47">
        <f t="shared" si="270"/>
        <v>0.2445124798920657</v>
      </c>
      <c r="AD54" s="47">
        <f t="shared" si="271"/>
        <v>0.28580784926192759</v>
      </c>
      <c r="AE54" s="47">
        <f t="shared" si="272"/>
        <v>0.24232497585149715</v>
      </c>
      <c r="AF54" s="46">
        <f t="shared" si="273"/>
        <v>0.235331013024068</v>
      </c>
      <c r="AG54" s="47">
        <f t="shared" si="274"/>
        <v>0.27368913857677901</v>
      </c>
      <c r="AH54" s="47">
        <f t="shared" si="275"/>
        <v>0.26793979068506868</v>
      </c>
      <c r="AI54" s="47">
        <f t="shared" si="276"/>
        <v>0.28692892406551218</v>
      </c>
      <c r="AJ54" s="47">
        <f t="shared" si="277"/>
        <v>0.33186842905919334</v>
      </c>
      <c r="AK54" s="46">
        <f t="shared" si="278"/>
        <v>0.29281404933994382</v>
      </c>
      <c r="AL54" s="47">
        <f t="shared" si="279"/>
        <v>0.36918326839667714</v>
      </c>
      <c r="AM54" s="47">
        <f t="shared" si="280"/>
        <v>0.3549278174224737</v>
      </c>
      <c r="AN54" s="47">
        <f t="shared" si="281"/>
        <v>0.31009286040493222</v>
      </c>
      <c r="AO54" s="47">
        <f t="shared" si="282"/>
        <v>0.29745164729174078</v>
      </c>
      <c r="AP54" s="144">
        <f t="shared" si="283"/>
        <v>0.32913644134362152</v>
      </c>
      <c r="AQ54" s="145">
        <f t="shared" si="284"/>
        <v>0.24230872483221466</v>
      </c>
      <c r="AR54" s="145">
        <f t="shared" si="285"/>
        <v>0.24976942866851126</v>
      </c>
      <c r="AS54" s="145">
        <f t="shared" si="250"/>
        <v>0.26209621194515464</v>
      </c>
      <c r="AT54" s="145">
        <f t="shared" si="251"/>
        <v>0.18995637459162307</v>
      </c>
      <c r="AU54" s="144">
        <f t="shared" si="252"/>
        <v>0.23351815479811577</v>
      </c>
      <c r="AV54" s="145">
        <f t="shared" si="253"/>
        <v>0.18404788659348248</v>
      </c>
      <c r="AW54" s="145">
        <f t="shared" si="254"/>
        <v>0.11333579321461174</v>
      </c>
      <c r="AX54" s="145">
        <f t="shared" si="255"/>
        <v>4.7230610591441513E-2</v>
      </c>
      <c r="AY54" s="145">
        <f t="shared" si="256"/>
        <v>5.543590839594259E-2</v>
      </c>
      <c r="AZ54" s="144">
        <f t="shared" si="257"/>
        <v>9.5301168601811037E-2</v>
      </c>
      <c r="BA54" s="145">
        <f t="shared" si="233"/>
        <v>1.0585293741901314E-2</v>
      </c>
      <c r="BB54" s="145">
        <f t="shared" si="234"/>
        <v>3.821800484920379E-2</v>
      </c>
      <c r="BC54" s="145">
        <f t="shared" si="235"/>
        <v>6.3580257767306136E-2</v>
      </c>
      <c r="BD54" s="220">
        <f t="shared" si="236"/>
        <v>9.742578969371829E-2</v>
      </c>
      <c r="BE54" s="220">
        <f t="shared" si="241"/>
        <v>5.4210821344232718E-2</v>
      </c>
      <c r="BF54" s="220">
        <f t="shared" si="237"/>
        <v>6.6876997814819594E-2</v>
      </c>
      <c r="BG54" s="220">
        <f t="shared" si="238"/>
        <v>2.5743195564516208E-2</v>
      </c>
      <c r="BH54" s="220">
        <f t="shared" si="239"/>
        <v>8.3108540395774311E-2</v>
      </c>
      <c r="BI54" s="220">
        <f t="shared" si="240"/>
        <v>9.8086279699855394E-2</v>
      </c>
      <c r="BJ54" s="220">
        <f t="shared" si="242"/>
        <v>6.9856034259908606E-2</v>
      </c>
      <c r="BK54" s="220">
        <f t="shared" si="243"/>
        <v>0.12550010467225392</v>
      </c>
      <c r="BL54" s="220">
        <f t="shared" si="243"/>
        <v>0.13749729038967873</v>
      </c>
      <c r="BM54" s="220">
        <f t="shared" ref="BM54" si="294">BM23/BL23-1</f>
        <v>0.12382205035562732</v>
      </c>
    </row>
    <row r="55" spans="1:65" ht="16.5" x14ac:dyDescent="0.3">
      <c r="A55" s="15" t="s">
        <v>108</v>
      </c>
      <c r="B55" s="9"/>
      <c r="C55" s="9"/>
      <c r="D55" s="9"/>
      <c r="E55" s="13"/>
      <c r="Q55" s="55">
        <f t="shared" si="246"/>
        <v>0.87460815047021945</v>
      </c>
      <c r="R55" s="56">
        <f t="shared" si="259"/>
        <v>-6.1624649859943981E-2</v>
      </c>
      <c r="S55" s="56">
        <f t="shared" si="260"/>
        <v>-0.51128404669260696</v>
      </c>
      <c r="T55" s="56">
        <f t="shared" si="261"/>
        <v>-0.39652173913043476</v>
      </c>
      <c r="U55" s="56">
        <f t="shared" si="262"/>
        <v>0.6948207171314742</v>
      </c>
      <c r="V55" s="55">
        <f t="shared" si="263"/>
        <v>-1.8872431915910148E-2</v>
      </c>
      <c r="W55" s="56">
        <f t="shared" si="264"/>
        <v>0.91741293532338308</v>
      </c>
      <c r="X55" s="56">
        <f t="shared" si="265"/>
        <v>3.75</v>
      </c>
      <c r="Y55" s="56">
        <f t="shared" si="266"/>
        <v>9.7319884726224792</v>
      </c>
      <c r="Z55" s="56">
        <f t="shared" si="267"/>
        <v>0.77997179125528904</v>
      </c>
      <c r="AA55" s="55">
        <f t="shared" si="268"/>
        <v>2.0241051862673483</v>
      </c>
      <c r="AB55" s="56">
        <f t="shared" si="269"/>
        <v>1.2937208095485211</v>
      </c>
      <c r="AC55" s="56">
        <f t="shared" si="270"/>
        <v>3.3858531679517245E-2</v>
      </c>
      <c r="AD55" s="56">
        <f t="shared" si="271"/>
        <v>-0.15225563909774431</v>
      </c>
      <c r="AE55" s="56">
        <f t="shared" si="272"/>
        <v>2.4564183835182218E-2</v>
      </c>
      <c r="AF55" s="55">
        <f t="shared" si="273"/>
        <v>0.17069243156199687</v>
      </c>
      <c r="AG55" s="56">
        <f t="shared" si="274"/>
        <v>-9.7511312217194557E-2</v>
      </c>
      <c r="AH55" s="56">
        <f t="shared" si="275"/>
        <v>0.89461738002594027</v>
      </c>
      <c r="AI55" s="56">
        <f t="shared" si="276"/>
        <v>0.9619892302819133</v>
      </c>
      <c r="AJ55" s="56">
        <f t="shared" si="277"/>
        <v>0.77184841453982989</v>
      </c>
      <c r="AK55" s="55">
        <f t="shared" si="278"/>
        <v>0.57489683631361754</v>
      </c>
      <c r="AL55" s="56">
        <f t="shared" si="279"/>
        <v>1.222361494108799</v>
      </c>
      <c r="AM55" s="56">
        <f t="shared" si="280"/>
        <v>0.31815848023275706</v>
      </c>
      <c r="AN55" s="56">
        <f t="shared" si="281"/>
        <v>-0.21666128511462701</v>
      </c>
      <c r="AO55" s="56">
        <f t="shared" si="282"/>
        <v>-0.49658082351229449</v>
      </c>
      <c r="AP55" s="55">
        <f t="shared" si="283"/>
        <v>8.6466657932660729E-2</v>
      </c>
      <c r="AQ55" s="56">
        <f t="shared" si="284"/>
        <v>-0.58612521150592212</v>
      </c>
      <c r="AR55" s="56">
        <f t="shared" si="285"/>
        <v>-0.56933264087250057</v>
      </c>
      <c r="AS55" s="56">
        <f t="shared" si="250"/>
        <v>-0.47959604286891999</v>
      </c>
      <c r="AT55" s="56">
        <f t="shared" si="251"/>
        <v>-0.20895953757225438</v>
      </c>
      <c r="AU55" s="55">
        <f t="shared" si="252"/>
        <v>-0.50769725471281002</v>
      </c>
      <c r="AV55" s="56">
        <f t="shared" si="253"/>
        <v>0.30117198146633961</v>
      </c>
      <c r="AW55" s="56">
        <f t="shared" si="254"/>
        <v>1.3156466686765151</v>
      </c>
      <c r="AX55" s="56">
        <f t="shared" si="255"/>
        <v>3.4308910891089113</v>
      </c>
      <c r="AY55" s="56">
        <f t="shared" si="256"/>
        <v>3.8260869565217392</v>
      </c>
      <c r="AZ55" s="55">
        <f t="shared" si="257"/>
        <v>2.0088177661659046</v>
      </c>
      <c r="BA55" s="56">
        <f t="shared" si="233"/>
        <v>2.2063259321323838</v>
      </c>
      <c r="BB55" s="56">
        <f t="shared" si="234"/>
        <v>0.91016794688191638</v>
      </c>
      <c r="BC55" s="56">
        <f t="shared" si="235"/>
        <v>0.55622095101894886</v>
      </c>
      <c r="BD55" s="221">
        <f t="shared" si="236"/>
        <v>0.35121924665343585</v>
      </c>
      <c r="BE55" s="221">
        <f t="shared" si="241"/>
        <v>0.77027719062860611</v>
      </c>
      <c r="BF55" s="221">
        <f t="shared" si="237"/>
        <v>8.0638296204350368E-2</v>
      </c>
      <c r="BG55" s="221">
        <f t="shared" si="238"/>
        <v>0.16511898854961848</v>
      </c>
      <c r="BH55" s="221">
        <f t="shared" si="239"/>
        <v>5.3616834185285622E-2</v>
      </c>
      <c r="BI55" s="221">
        <f t="shared" si="240"/>
        <v>0.21367430914194574</v>
      </c>
      <c r="BJ55" s="221">
        <f t="shared" si="242"/>
        <v>0.12882307258185399</v>
      </c>
      <c r="BK55" s="221">
        <f t="shared" si="243"/>
        <v>8.301268399254802E-2</v>
      </c>
      <c r="BL55" s="221">
        <f t="shared" si="243"/>
        <v>4.2305808914042009E-2</v>
      </c>
      <c r="BM55" s="221">
        <f t="shared" ref="BM55" si="295">BM24/BL24-1</f>
        <v>9.6478448157194308E-2</v>
      </c>
    </row>
    <row r="56" spans="1:65" ht="16.5" x14ac:dyDescent="0.3">
      <c r="A56" s="4" t="s">
        <v>65</v>
      </c>
      <c r="B56" s="4"/>
      <c r="C56" s="4"/>
      <c r="D56" s="4"/>
      <c r="E56" s="13"/>
      <c r="Q56" s="44">
        <f t="shared" si="246"/>
        <v>1.02</v>
      </c>
      <c r="R56" s="45">
        <f t="shared" si="259"/>
        <v>0.85714285714285721</v>
      </c>
      <c r="S56" s="45">
        <f t="shared" si="260"/>
        <v>0.83333333333333326</v>
      </c>
      <c r="T56" s="45">
        <f t="shared" si="261"/>
        <v>1.0769230769230771</v>
      </c>
      <c r="U56" s="45">
        <f t="shared" si="262"/>
        <v>1.2000000000000002</v>
      </c>
      <c r="V56" s="44">
        <f t="shared" si="263"/>
        <v>1.0099009900990099</v>
      </c>
      <c r="W56" s="45">
        <f t="shared" si="264"/>
        <v>1.0512820512820511</v>
      </c>
      <c r="X56" s="45">
        <f t="shared" si="265"/>
        <v>1.1363636363636362</v>
      </c>
      <c r="Y56" s="45">
        <f t="shared" si="266"/>
        <v>1.1666666666666665</v>
      </c>
      <c r="Z56" s="45">
        <f t="shared" si="267"/>
        <v>1.2727272727272729</v>
      </c>
      <c r="AA56" s="44">
        <f t="shared" si="268"/>
        <v>1.1724137931034484</v>
      </c>
      <c r="AB56" s="45">
        <f t="shared" si="269"/>
        <v>1.2875000000000001</v>
      </c>
      <c r="AC56" s="45">
        <f t="shared" si="270"/>
        <v>1.2872340425531914</v>
      </c>
      <c r="AD56" s="45">
        <f t="shared" si="271"/>
        <v>0.91452991452991461</v>
      </c>
      <c r="AE56" s="45">
        <f t="shared" si="272"/>
        <v>0.40666666666666673</v>
      </c>
      <c r="AF56" s="44">
        <f t="shared" si="273"/>
        <v>0.88888888888888884</v>
      </c>
      <c r="AG56" s="45">
        <f t="shared" si="274"/>
        <v>0.10382513661202175</v>
      </c>
      <c r="AH56" s="45">
        <f t="shared" si="275"/>
        <v>-0.37209302325581395</v>
      </c>
      <c r="AI56" s="45">
        <f t="shared" si="276"/>
        <v>-0.4732142857142857</v>
      </c>
      <c r="AJ56" s="45">
        <f t="shared" si="277"/>
        <v>-0.52606635071090047</v>
      </c>
      <c r="AK56" s="44">
        <f t="shared" si="278"/>
        <v>-0.33373349339735892</v>
      </c>
      <c r="AL56" s="45">
        <f t="shared" si="279"/>
        <v>-0.48019801980198018</v>
      </c>
      <c r="AM56" s="45">
        <f t="shared" si="280"/>
        <v>-0.21481481481481479</v>
      </c>
      <c r="AN56" s="45">
        <f t="shared" si="281"/>
        <v>8.4745762711864181E-3</v>
      </c>
      <c r="AO56" s="45">
        <f t="shared" si="282"/>
        <v>0.17999999999999994</v>
      </c>
      <c r="AP56" s="44">
        <f t="shared" si="283"/>
        <v>-0.19279279279279282</v>
      </c>
      <c r="AQ56" s="45">
        <f t="shared" si="284"/>
        <v>2.857142857142847E-2</v>
      </c>
      <c r="AR56" s="45">
        <f t="shared" si="285"/>
        <v>0.5</v>
      </c>
      <c r="AS56" s="45">
        <f t="shared" si="250"/>
        <v>1.327731092436975</v>
      </c>
      <c r="AT56" s="45">
        <f t="shared" si="251"/>
        <v>2.7711864406779663</v>
      </c>
      <c r="AU56" s="44">
        <f t="shared" si="252"/>
        <v>1.2075892857142856</v>
      </c>
      <c r="AV56" s="45">
        <f t="shared" si="253"/>
        <v>4.6574074074074074</v>
      </c>
      <c r="AW56" s="45">
        <f t="shared" si="254"/>
        <v>3.1572327044025155</v>
      </c>
      <c r="AX56" s="45">
        <f t="shared" si="255"/>
        <v>1.8014440433212995</v>
      </c>
      <c r="AY56" s="45">
        <f t="shared" si="256"/>
        <v>1.0247191011235954</v>
      </c>
      <c r="AZ56" s="44">
        <f t="shared" si="257"/>
        <v>1.9817997977755311</v>
      </c>
      <c r="BA56" s="45">
        <f t="shared" si="233"/>
        <v>0.62520458265139123</v>
      </c>
      <c r="BB56" s="45">
        <f t="shared" si="234"/>
        <v>0.78517397881996964</v>
      </c>
      <c r="BC56" s="45">
        <f t="shared" si="235"/>
        <v>0.61855670103092786</v>
      </c>
      <c r="BD56" s="210">
        <f t="shared" si="236"/>
        <v>4.2599160526038071E-2</v>
      </c>
      <c r="BE56" s="211">
        <f t="shared" si="241"/>
        <v>0.48130954344996968</v>
      </c>
      <c r="BF56" s="210">
        <f t="shared" si="237"/>
        <v>-0.20676495468277944</v>
      </c>
      <c r="BG56" s="210">
        <f t="shared" si="238"/>
        <v>-0.31014423728813545</v>
      </c>
      <c r="BH56" s="210">
        <f t="shared" si="239"/>
        <v>-0.30449944267515927</v>
      </c>
      <c r="BI56" s="210">
        <f t="shared" si="240"/>
        <v>9.8086279699855394E-2</v>
      </c>
      <c r="BJ56" s="211">
        <f t="shared" si="242"/>
        <v>-0.19723519156091196</v>
      </c>
      <c r="BK56" s="211">
        <f t="shared" si="243"/>
        <v>9.3426267492474846E-2</v>
      </c>
      <c r="BL56" s="211">
        <f t="shared" si="243"/>
        <v>9.4947516434952473E-2</v>
      </c>
      <c r="BM56" s="211">
        <f t="shared" ref="BM56" si="296">BM25/BL25-1</f>
        <v>9.6478448157193641E-2</v>
      </c>
    </row>
    <row r="57" spans="1:65" ht="16.5" x14ac:dyDescent="0.3">
      <c r="A57" s="4" t="s">
        <v>66</v>
      </c>
      <c r="B57" s="4"/>
      <c r="C57" s="4"/>
      <c r="D57" s="4"/>
      <c r="E57" s="13"/>
      <c r="Q57" s="44">
        <f t="shared" si="246"/>
        <v>5.4466230936819127E-2</v>
      </c>
      <c r="R57" s="45">
        <f t="shared" si="259"/>
        <v>0.18803418803418803</v>
      </c>
      <c r="S57" s="45">
        <f t="shared" si="260"/>
        <v>0.23275862068965525</v>
      </c>
      <c r="T57" s="45">
        <f t="shared" si="261"/>
        <v>0.93220338983050843</v>
      </c>
      <c r="U57" s="45">
        <f t="shared" si="262"/>
        <v>1.5488721804511276</v>
      </c>
      <c r="V57" s="44">
        <f t="shared" si="263"/>
        <v>0.75413223140495877</v>
      </c>
      <c r="W57" s="45">
        <f t="shared" si="264"/>
        <v>1.3741007194244603</v>
      </c>
      <c r="X57" s="45">
        <f t="shared" si="265"/>
        <v>1.3986013986013988</v>
      </c>
      <c r="Y57" s="45">
        <f t="shared" si="266"/>
        <v>0.57017543859649122</v>
      </c>
      <c r="Z57" s="45">
        <f t="shared" si="267"/>
        <v>0.1415929203539823</v>
      </c>
      <c r="AA57" s="44">
        <f t="shared" si="268"/>
        <v>0.67020023557126041</v>
      </c>
      <c r="AB57" s="45">
        <f t="shared" si="269"/>
        <v>0.10909090909090913</v>
      </c>
      <c r="AC57" s="45">
        <f t="shared" si="270"/>
        <v>0.11661807580174921</v>
      </c>
      <c r="AD57" s="45">
        <f t="shared" si="271"/>
        <v>0.1061452513966481</v>
      </c>
      <c r="AE57" s="45">
        <f t="shared" si="272"/>
        <v>0.17571059431524549</v>
      </c>
      <c r="AF57" s="44">
        <f t="shared" si="273"/>
        <v>0.12834978843441469</v>
      </c>
      <c r="AG57" s="45">
        <f t="shared" si="274"/>
        <v>9.8360655737705027E-2</v>
      </c>
      <c r="AH57" s="45">
        <f t="shared" si="275"/>
        <v>5.2219321148825104E-2</v>
      </c>
      <c r="AI57" s="45">
        <f t="shared" si="276"/>
        <v>8.0808080808080884E-2</v>
      </c>
      <c r="AJ57" s="45">
        <f t="shared" si="277"/>
        <v>-9.0109890109890123E-2</v>
      </c>
      <c r="AK57" s="44">
        <f t="shared" si="278"/>
        <v>2.9374999999999929E-2</v>
      </c>
      <c r="AL57" s="45">
        <f t="shared" si="279"/>
        <v>-7.4626865671642006E-3</v>
      </c>
      <c r="AM57" s="45">
        <f t="shared" si="280"/>
        <v>7.9404466501240778E-2</v>
      </c>
      <c r="AN57" s="45">
        <f t="shared" si="281"/>
        <v>0.15186915887850461</v>
      </c>
      <c r="AO57" s="45">
        <f t="shared" si="282"/>
        <v>0.16425120772946866</v>
      </c>
      <c r="AP57" s="44">
        <f t="shared" si="283"/>
        <v>9.8360655737705027E-2</v>
      </c>
      <c r="AQ57" s="45">
        <f t="shared" si="284"/>
        <v>0.18295739348370921</v>
      </c>
      <c r="AR57" s="45">
        <f t="shared" si="285"/>
        <v>0.342528735632184</v>
      </c>
      <c r="AS57" s="45">
        <f t="shared" si="250"/>
        <v>0.25152129817444213</v>
      </c>
      <c r="AT57" s="45">
        <f t="shared" si="251"/>
        <v>0.43983402489626555</v>
      </c>
      <c r="AU57" s="44">
        <f t="shared" si="252"/>
        <v>0.308457711442786</v>
      </c>
      <c r="AV57" s="45">
        <f t="shared" si="253"/>
        <v>0.74364406779661008</v>
      </c>
      <c r="AW57" s="45">
        <f t="shared" si="254"/>
        <v>0.43835616438356162</v>
      </c>
      <c r="AX57" s="45">
        <f t="shared" si="255"/>
        <v>0.30632090761750397</v>
      </c>
      <c r="AY57" s="45">
        <f t="shared" si="256"/>
        <v>2.7377521613832778E-2</v>
      </c>
      <c r="AZ57" s="44">
        <f t="shared" si="257"/>
        <v>0.34431770173215037</v>
      </c>
      <c r="BA57" s="45">
        <f t="shared" si="233"/>
        <v>-0.21749696233292826</v>
      </c>
      <c r="BB57" s="45">
        <f t="shared" si="234"/>
        <v>-0.29880952380952386</v>
      </c>
      <c r="BC57" s="45">
        <f t="shared" si="235"/>
        <v>-0.25186104218362282</v>
      </c>
      <c r="BD57" s="210">
        <f t="shared" si="236"/>
        <v>1.6350121841064804</v>
      </c>
      <c r="BE57" s="211">
        <f t="shared" si="241"/>
        <v>0.16743044854428679</v>
      </c>
      <c r="BF57" s="210">
        <f t="shared" si="237"/>
        <v>1.4462186335403726</v>
      </c>
      <c r="BG57" s="210">
        <f t="shared" si="238"/>
        <v>1.7641079796264862</v>
      </c>
      <c r="BH57" s="210">
        <f t="shared" si="239"/>
        <v>1.8973422885572138</v>
      </c>
      <c r="BI57" s="210">
        <f t="shared" si="240"/>
        <v>9.8086279699855394E-2</v>
      </c>
      <c r="BJ57" s="211">
        <f t="shared" si="242"/>
        <v>0.88802492385335241</v>
      </c>
      <c r="BK57" s="211">
        <f t="shared" si="243"/>
        <v>9.3426267492474846E-2</v>
      </c>
      <c r="BL57" s="211">
        <f t="shared" si="243"/>
        <v>9.4947516434952473E-2</v>
      </c>
      <c r="BM57" s="211">
        <f t="shared" ref="BM57" si="297">BM26/BL26-1</f>
        <v>9.6478448157193641E-2</v>
      </c>
    </row>
    <row r="58" spans="1:65" ht="16.5" x14ac:dyDescent="0.3">
      <c r="A58" s="4" t="s">
        <v>67</v>
      </c>
      <c r="B58" s="4"/>
      <c r="C58" s="4"/>
      <c r="D58" s="4"/>
      <c r="E58" s="13"/>
      <c r="Q58" s="46">
        <f t="shared" si="246"/>
        <v>-1.34765625</v>
      </c>
      <c r="R58" s="47">
        <f t="shared" si="259"/>
        <v>-0.40740740740740744</v>
      </c>
      <c r="S58" s="47">
        <f t="shared" si="260"/>
        <v>-10.785714285714286</v>
      </c>
      <c r="T58" s="47">
        <f t="shared" si="261"/>
        <v>16.875</v>
      </c>
      <c r="U58" s="47">
        <f t="shared" si="262"/>
        <v>0.28571428571428581</v>
      </c>
      <c r="V58" s="46">
        <f t="shared" si="263"/>
        <v>2.8876404494382024</v>
      </c>
      <c r="W58" s="47">
        <f t="shared" si="264"/>
        <v>3.979166666666667</v>
      </c>
      <c r="X58" s="47">
        <f t="shared" si="265"/>
        <v>-1.9416058394160585</v>
      </c>
      <c r="Y58" s="47">
        <f t="shared" si="266"/>
        <v>-1.6503496503496504</v>
      </c>
      <c r="Z58" s="47">
        <f t="shared" si="267"/>
        <v>-12.055555555555555</v>
      </c>
      <c r="AA58" s="46">
        <f t="shared" si="268"/>
        <v>-1.5260115606936417</v>
      </c>
      <c r="AB58" s="47">
        <f t="shared" si="269"/>
        <v>-0.31380753138075312</v>
      </c>
      <c r="AC58" s="47">
        <f t="shared" si="270"/>
        <v>-0.79069767441860461</v>
      </c>
      <c r="AD58" s="47">
        <f t="shared" si="271"/>
        <v>2.795698924731183</v>
      </c>
      <c r="AE58" s="47">
        <f t="shared" si="272"/>
        <v>-3.1005025125628141</v>
      </c>
      <c r="AF58" s="46">
        <f t="shared" si="273"/>
        <v>-2.1098901098901099</v>
      </c>
      <c r="AG58" s="47">
        <f t="shared" si="274"/>
        <v>-3.475609756097561</v>
      </c>
      <c r="AH58" s="47">
        <f t="shared" si="275"/>
        <v>-24.925925925925927</v>
      </c>
      <c r="AI58" s="47">
        <f t="shared" si="276"/>
        <v>-3.6203966005665724</v>
      </c>
      <c r="AJ58" s="47">
        <f t="shared" si="277"/>
        <v>1.8851674641148324</v>
      </c>
      <c r="AK58" s="46">
        <f t="shared" si="278"/>
        <v>10.737623762376238</v>
      </c>
      <c r="AL58" s="47">
        <f t="shared" si="279"/>
        <v>-5.1798029556650249</v>
      </c>
      <c r="AM58" s="47">
        <f t="shared" si="280"/>
        <v>0.95201238390092868</v>
      </c>
      <c r="AN58" s="47">
        <f t="shared" si="281"/>
        <v>-1.1762162162162162</v>
      </c>
      <c r="AO58" s="47">
        <f t="shared" si="282"/>
        <v>8.8159203980099505</v>
      </c>
      <c r="AP58" s="46">
        <f t="shared" si="283"/>
        <v>5.1716575284690007</v>
      </c>
      <c r="AQ58" s="47">
        <f t="shared" si="284"/>
        <v>-6.0500883912787273</v>
      </c>
      <c r="AR58" s="47">
        <f t="shared" si="285"/>
        <v>-5.3973037272006348</v>
      </c>
      <c r="AS58" s="47">
        <f t="shared" si="250"/>
        <v>-5.6564417177914113</v>
      </c>
      <c r="AT58" s="47">
        <f t="shared" si="251"/>
        <v>-1.2914343639128232</v>
      </c>
      <c r="AU58" s="46">
        <f t="shared" si="252"/>
        <v>-2.1484999658306565</v>
      </c>
      <c r="AV58" s="47">
        <f t="shared" si="253"/>
        <v>-0.94830805134189033</v>
      </c>
      <c r="AW58" s="47">
        <f t="shared" si="254"/>
        <v>-1.0110009017132553</v>
      </c>
      <c r="AX58" s="47">
        <f t="shared" si="255"/>
        <v>0.35836627140974975</v>
      </c>
      <c r="AY58" s="47">
        <f t="shared" si="256"/>
        <v>-1.0837681159420289</v>
      </c>
      <c r="AZ58" s="46">
        <f t="shared" si="257"/>
        <v>-1.0558133999761989</v>
      </c>
      <c r="BA58" s="47">
        <f t="shared" si="233"/>
        <v>5.033860045146727</v>
      </c>
      <c r="BB58" s="47">
        <f t="shared" si="234"/>
        <v>-1.2950819672131146</v>
      </c>
      <c r="BC58" s="47">
        <f t="shared" si="235"/>
        <v>-1.0261881668283219</v>
      </c>
      <c r="BD58" s="218">
        <f t="shared" si="236"/>
        <v>0.30018248253835322</v>
      </c>
      <c r="BE58" s="219">
        <f t="shared" si="241"/>
        <v>-3.4970653118831727</v>
      </c>
      <c r="BF58" s="218">
        <f t="shared" si="237"/>
        <v>-1.1178724130190796</v>
      </c>
      <c r="BG58" s="218">
        <f t="shared" si="238"/>
        <v>-19.089551111111113</v>
      </c>
      <c r="BH58" s="218">
        <f t="shared" si="239"/>
        <v>-13.941462222222221</v>
      </c>
      <c r="BI58" s="218">
        <f t="shared" si="240"/>
        <v>9.8086279699855616E-2</v>
      </c>
      <c r="BJ58" s="219">
        <f t="shared" si="242"/>
        <v>-1.5988749812999923</v>
      </c>
      <c r="BK58" s="219">
        <f t="shared" si="243"/>
        <v>9.3426267492474846E-2</v>
      </c>
      <c r="BL58" s="219">
        <f t="shared" si="243"/>
        <v>9.4947516434952473E-2</v>
      </c>
      <c r="BM58" s="219">
        <f t="shared" ref="BM58" si="298">BM27/BL27-1</f>
        <v>9.6478448157193419E-2</v>
      </c>
    </row>
    <row r="59" spans="1:65" ht="16.5" x14ac:dyDescent="0.3">
      <c r="A59" s="7" t="s">
        <v>109</v>
      </c>
      <c r="B59" s="7"/>
      <c r="C59" s="7"/>
      <c r="D59" s="7"/>
      <c r="E59" s="19" t="s">
        <v>0</v>
      </c>
      <c r="Q59" s="57">
        <f t="shared" si="246"/>
        <v>1.4821428571428572</v>
      </c>
      <c r="R59" s="52">
        <f t="shared" si="259"/>
        <v>-9.7537878787878785E-2</v>
      </c>
      <c r="S59" s="52">
        <f t="shared" si="260"/>
        <v>-0.43511450381679384</v>
      </c>
      <c r="T59" s="52">
        <f t="shared" si="261"/>
        <v>-0.35641547861507128</v>
      </c>
      <c r="U59" s="52">
        <f t="shared" si="262"/>
        <v>0.60548885077186965</v>
      </c>
      <c r="V59" s="57">
        <f t="shared" si="263"/>
        <v>-2.1839671120246651E-2</v>
      </c>
      <c r="W59" s="52">
        <f t="shared" si="264"/>
        <v>1.0104931794333685</v>
      </c>
      <c r="X59" s="52">
        <f t="shared" si="265"/>
        <v>2.9114114114114114</v>
      </c>
      <c r="Y59" s="52">
        <f t="shared" si="266"/>
        <v>9.7278481012658222</v>
      </c>
      <c r="Z59" s="52">
        <f t="shared" si="267"/>
        <v>0.78952991452991461</v>
      </c>
      <c r="AA59" s="57">
        <f t="shared" si="268"/>
        <v>1.9579721565537169</v>
      </c>
      <c r="AB59" s="52">
        <f t="shared" si="269"/>
        <v>1.296972860125261</v>
      </c>
      <c r="AC59" s="52">
        <f t="shared" si="270"/>
        <v>0.10902111324376196</v>
      </c>
      <c r="AD59" s="52">
        <f t="shared" si="271"/>
        <v>-0.22359882005899701</v>
      </c>
      <c r="AE59" s="52">
        <f t="shared" si="272"/>
        <v>0.20985074626865674</v>
      </c>
      <c r="AF59" s="57">
        <f t="shared" si="273"/>
        <v>0.24100879140396048</v>
      </c>
      <c r="AG59" s="52">
        <f t="shared" si="274"/>
        <v>-0.23131106566689386</v>
      </c>
      <c r="AH59" s="52">
        <f t="shared" si="275"/>
        <v>1.1533402561439945</v>
      </c>
      <c r="AI59" s="52">
        <f t="shared" si="276"/>
        <v>1.5870060790273555</v>
      </c>
      <c r="AJ59" s="52">
        <f t="shared" si="277"/>
        <v>0.91586479151245981</v>
      </c>
      <c r="AK59" s="57">
        <f t="shared" si="278"/>
        <v>0.73008944543828269</v>
      </c>
      <c r="AL59" s="52">
        <f t="shared" si="279"/>
        <v>2.0351758793969847</v>
      </c>
      <c r="AM59" s="52">
        <f t="shared" si="280"/>
        <v>0.38787976209612607</v>
      </c>
      <c r="AN59" s="52">
        <f t="shared" si="281"/>
        <v>-0.36627992363048911</v>
      </c>
      <c r="AO59" s="52">
        <f t="shared" si="282"/>
        <v>0.92324533161622657</v>
      </c>
      <c r="AP59" s="57">
        <f t="shared" si="283"/>
        <v>0.57792207792207795</v>
      </c>
      <c r="AQ59" s="52">
        <f t="shared" si="284"/>
        <v>-1.5127580833657968</v>
      </c>
      <c r="AR59" s="52">
        <f t="shared" si="285"/>
        <v>-1.3072735696085245</v>
      </c>
      <c r="AS59" s="52">
        <f t="shared" si="250"/>
        <v>-0.31772885283893393</v>
      </c>
      <c r="AT59" s="52">
        <f t="shared" si="251"/>
        <v>-1.0644167671086113</v>
      </c>
      <c r="AU59" s="57">
        <f t="shared" si="252"/>
        <v>-1.1555922518413673</v>
      </c>
      <c r="AV59" s="52">
        <f t="shared" si="253"/>
        <v>-1.7823361823361823</v>
      </c>
      <c r="AW59" s="52">
        <f t="shared" si="254"/>
        <v>-3.8507350169619299</v>
      </c>
      <c r="AX59" s="52">
        <f t="shared" si="255"/>
        <v>3.1402853260869561</v>
      </c>
      <c r="AY59" s="52">
        <f t="shared" si="256"/>
        <v>-15.226611226611226</v>
      </c>
      <c r="AZ59" s="57">
        <f t="shared" si="257"/>
        <v>-7.3269878706199458</v>
      </c>
      <c r="BA59" s="52">
        <f t="shared" si="233"/>
        <v>2.151978635591163</v>
      </c>
      <c r="BB59" s="52">
        <f t="shared" si="234"/>
        <v>1.0157344968927675</v>
      </c>
      <c r="BC59" s="52">
        <f t="shared" si="235"/>
        <v>0.47977684797768472</v>
      </c>
      <c r="BD59" s="216">
        <f t="shared" si="236"/>
        <v>0.26294212500839254</v>
      </c>
      <c r="BE59" s="211">
        <f t="shared" si="241"/>
        <v>0.69208472249820363</v>
      </c>
      <c r="BF59" s="216">
        <f t="shared" si="237"/>
        <v>0.23767395517214762</v>
      </c>
      <c r="BG59" s="216">
        <f t="shared" si="238"/>
        <v>8.9288810757625514E-2</v>
      </c>
      <c r="BH59" s="216">
        <f t="shared" si="239"/>
        <v>-1.2009010367577178E-2</v>
      </c>
      <c r="BI59" s="216">
        <f t="shared" si="240"/>
        <v>0.2174434840150572</v>
      </c>
      <c r="BJ59" s="211">
        <f t="shared" si="242"/>
        <v>0.12570886963616368</v>
      </c>
      <c r="BK59" s="211">
        <f t="shared" si="243"/>
        <v>8.27064021249031E-2</v>
      </c>
      <c r="BL59" s="211">
        <f t="shared" si="243"/>
        <v>4.0742193839163665E-2</v>
      </c>
      <c r="BM59" s="211">
        <f t="shared" ref="BM59" si="299">BM28/BL28-1</f>
        <v>9.6478448157194308E-2</v>
      </c>
    </row>
    <row r="60" spans="1:65" ht="16.5" x14ac:dyDescent="0.3">
      <c r="A60" s="4" t="s">
        <v>110</v>
      </c>
      <c r="B60" s="4"/>
      <c r="C60" s="4"/>
      <c r="D60" s="4"/>
      <c r="E60" s="13"/>
      <c r="Q60" s="44">
        <f t="shared" si="246"/>
        <v>0.5</v>
      </c>
      <c r="R60" s="45">
        <f t="shared" si="259"/>
        <v>-0.51789473684210519</v>
      </c>
      <c r="S60" s="45">
        <f t="shared" si="260"/>
        <v>0.52117263843648209</v>
      </c>
      <c r="T60" s="45">
        <f t="shared" si="261"/>
        <v>-0.7467248908296944</v>
      </c>
      <c r="U60" s="45">
        <f t="shared" si="262"/>
        <v>-0.96135265700483097</v>
      </c>
      <c r="V60" s="44">
        <f t="shared" si="263"/>
        <v>-0.45964912280701753</v>
      </c>
      <c r="W60" s="45">
        <f t="shared" si="264"/>
        <v>0.2532751091703056</v>
      </c>
      <c r="X60" s="45">
        <f t="shared" si="265"/>
        <v>-0.84154175588865099</v>
      </c>
      <c r="Y60" s="45">
        <f t="shared" si="266"/>
        <v>7.7586206896551726</v>
      </c>
      <c r="Z60" s="45">
        <f t="shared" si="267"/>
        <v>19.4375</v>
      </c>
      <c r="AA60" s="44">
        <f t="shared" si="268"/>
        <v>0.55324675324675332</v>
      </c>
      <c r="AB60" s="45">
        <f t="shared" si="269"/>
        <v>1.9128919860627178</v>
      </c>
      <c r="AC60" s="45">
        <f t="shared" si="270"/>
        <v>2.4729729729729728</v>
      </c>
      <c r="AD60" s="45">
        <f t="shared" si="271"/>
        <v>-2.7559055118110187E-2</v>
      </c>
      <c r="AE60" s="45">
        <f t="shared" si="272"/>
        <v>1.403669724770642</v>
      </c>
      <c r="AF60" s="44">
        <f t="shared" si="273"/>
        <v>0.98411371237458201</v>
      </c>
      <c r="AG60" s="45">
        <f t="shared" si="274"/>
        <v>-0.11004784688995217</v>
      </c>
      <c r="AH60" s="45">
        <f t="shared" si="275"/>
        <v>2.8287937743190663</v>
      </c>
      <c r="AI60" s="45">
        <f t="shared" si="276"/>
        <v>0.15182186234817818</v>
      </c>
      <c r="AJ60" s="45">
        <f t="shared" si="277"/>
        <v>-0.27989821882951649</v>
      </c>
      <c r="AK60" s="44">
        <f t="shared" si="278"/>
        <v>0.20648967551622421</v>
      </c>
      <c r="AL60" s="45">
        <f t="shared" si="279"/>
        <v>1.8978494623655915</v>
      </c>
      <c r="AM60" s="45">
        <f t="shared" si="280"/>
        <v>-0.11788617886178865</v>
      </c>
      <c r="AN60" s="45">
        <f t="shared" si="281"/>
        <v>1.0298769771528997</v>
      </c>
      <c r="AO60" s="45">
        <f t="shared" si="282"/>
        <v>8.1272084805653622E-2</v>
      </c>
      <c r="AP60" s="44">
        <f t="shared" si="283"/>
        <v>0.67341949004540691</v>
      </c>
      <c r="AQ60" s="45">
        <f t="shared" si="284"/>
        <v>-1.6595547309833023</v>
      </c>
      <c r="AR60" s="45">
        <f t="shared" si="285"/>
        <v>-1.7338709677419355</v>
      </c>
      <c r="AS60" s="45">
        <f t="shared" si="250"/>
        <v>-0.94025974025974024</v>
      </c>
      <c r="AT60" s="45">
        <f t="shared" si="251"/>
        <v>-3.0049019607843137</v>
      </c>
      <c r="AU60" s="44">
        <f t="shared" si="252"/>
        <v>-1.6714673345856816</v>
      </c>
      <c r="AV60" s="45">
        <f t="shared" si="253"/>
        <v>-1.6666666666666665</v>
      </c>
      <c r="AW60" s="45">
        <f t="shared" si="254"/>
        <v>-2.2621664050235477</v>
      </c>
      <c r="AX60" s="45">
        <f t="shared" si="255"/>
        <v>32.420289855072461</v>
      </c>
      <c r="AY60" s="45">
        <f t="shared" si="256"/>
        <v>-3.495517522412388</v>
      </c>
      <c r="AZ60" s="44">
        <f t="shared" si="257"/>
        <v>-3.2132421510724276</v>
      </c>
      <c r="BA60" s="45">
        <f t="shared" si="233"/>
        <v>1.602320675105485</v>
      </c>
      <c r="BB60" s="45">
        <f t="shared" si="234"/>
        <v>1.1977611940298507</v>
      </c>
      <c r="BC60" s="45">
        <f t="shared" si="235"/>
        <v>0.17346053772766701</v>
      </c>
      <c r="BD60" s="210">
        <f t="shared" si="236"/>
        <v>0.18542503063410209</v>
      </c>
      <c r="BE60" s="211">
        <f t="shared" si="241"/>
        <v>0.48451846120809283</v>
      </c>
      <c r="BF60" s="210">
        <f t="shared" si="237"/>
        <v>0.36782788877178696</v>
      </c>
      <c r="BG60" s="210">
        <f t="shared" si="238"/>
        <v>0.97357309745331055</v>
      </c>
      <c r="BH60" s="210">
        <f t="shared" si="239"/>
        <v>0.38295736541020009</v>
      </c>
      <c r="BI60" s="210">
        <f t="shared" si="240"/>
        <v>0.2174434840150572</v>
      </c>
      <c r="BJ60" s="211">
        <f t="shared" si="242"/>
        <v>0.42132300288575375</v>
      </c>
      <c r="BK60" s="211">
        <f t="shared" si="243"/>
        <v>8.2706402124901324E-2</v>
      </c>
      <c r="BL60" s="211">
        <f t="shared" si="243"/>
        <v>4.0742193839163665E-2</v>
      </c>
      <c r="BM60" s="211">
        <f t="shared" ref="BM60" si="300">BM29/BL29-1</f>
        <v>9.6478448157194308E-2</v>
      </c>
    </row>
    <row r="61" spans="1:65" ht="16.5" x14ac:dyDescent="0.3">
      <c r="A61" s="4" t="s">
        <v>111</v>
      </c>
      <c r="B61" s="4"/>
      <c r="C61" s="4"/>
      <c r="D61" s="4"/>
      <c r="E61" s="13"/>
      <c r="Q61" s="46">
        <f t="shared" si="246"/>
        <v>3.3636363636363633</v>
      </c>
      <c r="R61" s="47">
        <f t="shared" si="259"/>
        <v>-1</v>
      </c>
      <c r="S61" s="47">
        <f t="shared" si="260"/>
        <v>-0.8666666666666667</v>
      </c>
      <c r="T61" s="47">
        <f t="shared" si="261"/>
        <v>-0.8</v>
      </c>
      <c r="U61" s="47">
        <f t="shared" si="262"/>
        <v>-1</v>
      </c>
      <c r="V61" s="46">
        <f t="shared" si="263"/>
        <v>-0.95833333333333337</v>
      </c>
      <c r="W61" s="47" t="e">
        <f t="shared" si="264"/>
        <v>#DIV/0!</v>
      </c>
      <c r="X61" s="47">
        <f t="shared" si="265"/>
        <v>-2.5</v>
      </c>
      <c r="Y61" s="47">
        <f t="shared" si="266"/>
        <v>-1.5</v>
      </c>
      <c r="Z61" s="47" t="e">
        <f t="shared" si="267"/>
        <v>#DIV/0!</v>
      </c>
      <c r="AA61" s="46">
        <f t="shared" si="268"/>
        <v>-3</v>
      </c>
      <c r="AB61" s="47" t="e">
        <f t="shared" si="269"/>
        <v>#DIV/0!</v>
      </c>
      <c r="AC61" s="47">
        <f t="shared" si="270"/>
        <v>-3.3333333333333335</v>
      </c>
      <c r="AD61" s="47">
        <f t="shared" si="271"/>
        <v>-5</v>
      </c>
      <c r="AE61" s="47">
        <f t="shared" si="272"/>
        <v>-0.75</v>
      </c>
      <c r="AF61" s="46">
        <f t="shared" si="273"/>
        <v>-2.75</v>
      </c>
      <c r="AG61" s="47">
        <f t="shared" si="274"/>
        <v>25</v>
      </c>
      <c r="AH61" s="47">
        <f t="shared" si="275"/>
        <v>-1.8571428571428572</v>
      </c>
      <c r="AI61" s="47">
        <f t="shared" si="276"/>
        <v>-23.75</v>
      </c>
      <c r="AJ61" s="47">
        <f t="shared" si="277"/>
        <v>22</v>
      </c>
      <c r="AK61" s="46">
        <f t="shared" si="278"/>
        <v>-2.1428571428571428</v>
      </c>
      <c r="AL61" s="47">
        <f t="shared" si="279"/>
        <v>-0.95192307692307687</v>
      </c>
      <c r="AM61" s="47">
        <f t="shared" si="280"/>
        <v>1</v>
      </c>
      <c r="AN61" s="47">
        <f t="shared" si="281"/>
        <v>-1.043956043956044</v>
      </c>
      <c r="AO61" s="47">
        <f t="shared" si="282"/>
        <v>-0.95652173913043481</v>
      </c>
      <c r="AP61" s="46">
        <f t="shared" si="283"/>
        <v>-0.75</v>
      </c>
      <c r="AQ61" s="47">
        <f t="shared" si="284"/>
        <v>-0.8</v>
      </c>
      <c r="AR61" s="47">
        <f t="shared" si="285"/>
        <v>-2</v>
      </c>
      <c r="AS61" s="47">
        <f t="shared" si="250"/>
        <v>-0.25</v>
      </c>
      <c r="AT61" s="47">
        <f t="shared" si="251"/>
        <v>12</v>
      </c>
      <c r="AU61" s="46">
        <f t="shared" si="252"/>
        <v>-1.75</v>
      </c>
      <c r="AV61" s="47">
        <f t="shared" si="253"/>
        <v>-2</v>
      </c>
      <c r="AW61" s="47">
        <f t="shared" si="254"/>
        <v>-0.25</v>
      </c>
      <c r="AX61" s="47">
        <f t="shared" si="255"/>
        <v>0.33333333333333326</v>
      </c>
      <c r="AY61" s="47">
        <f t="shared" si="256"/>
        <v>-1</v>
      </c>
      <c r="AZ61" s="46">
        <f t="shared" si="257"/>
        <v>3</v>
      </c>
      <c r="BA61" s="47">
        <f t="shared" si="233"/>
        <v>-86</v>
      </c>
      <c r="BB61" s="47">
        <f t="shared" si="234"/>
        <v>-1.7777777777777777</v>
      </c>
      <c r="BC61" s="47">
        <f t="shared" si="235"/>
        <v>-0.25</v>
      </c>
      <c r="BD61" s="218" t="e">
        <f t="shared" si="236"/>
        <v>#DIV/0!</v>
      </c>
      <c r="BE61" s="219">
        <f t="shared" si="241"/>
        <v>5.75</v>
      </c>
      <c r="BF61" s="218">
        <f t="shared" si="237"/>
        <v>-1</v>
      </c>
      <c r="BG61" s="218">
        <f t="shared" si="238"/>
        <v>-1</v>
      </c>
      <c r="BH61" s="218">
        <f t="shared" si="239"/>
        <v>-1</v>
      </c>
      <c r="BI61" s="218" t="e">
        <f t="shared" si="240"/>
        <v>#DIV/0!</v>
      </c>
      <c r="BJ61" s="219">
        <f>BJ30/BE30-1</f>
        <v>-1</v>
      </c>
      <c r="BK61" s="219" t="e">
        <f t="shared" si="243"/>
        <v>#DIV/0!</v>
      </c>
      <c r="BL61" s="219" t="e">
        <f t="shared" si="243"/>
        <v>#DIV/0!</v>
      </c>
      <c r="BM61" s="219" t="e">
        <f t="shared" ref="BM61" si="301">BM30/BL30-1</f>
        <v>#DIV/0!</v>
      </c>
    </row>
    <row r="62" spans="1:65" s="175" customFormat="1" ht="16.5" x14ac:dyDescent="0.3">
      <c r="A62" s="173" t="s">
        <v>23</v>
      </c>
      <c r="B62" s="173"/>
      <c r="C62" s="173"/>
      <c r="D62" s="173"/>
      <c r="E62" s="174" t="s">
        <v>0</v>
      </c>
      <c r="Q62" s="176">
        <f t="shared" si="246"/>
        <v>2.9781879194630871</v>
      </c>
      <c r="R62" s="177">
        <f t="shared" si="259"/>
        <v>0.41130604288499018</v>
      </c>
      <c r="S62" s="177">
        <f t="shared" si="260"/>
        <v>-0.77012835472578767</v>
      </c>
      <c r="T62" s="177">
        <f t="shared" si="261"/>
        <v>1.5873015873015817E-2</v>
      </c>
      <c r="U62" s="177">
        <f t="shared" si="262"/>
        <v>1.4779706275033377</v>
      </c>
      <c r="V62" s="176">
        <f t="shared" si="263"/>
        <v>0.27920708561788277</v>
      </c>
      <c r="W62" s="177">
        <f t="shared" si="264"/>
        <v>1.25</v>
      </c>
      <c r="X62" s="177">
        <f t="shared" si="265"/>
        <v>11.862944162436548</v>
      </c>
      <c r="Y62" s="177">
        <f t="shared" si="266"/>
        <v>10.26171875</v>
      </c>
      <c r="Z62" s="177">
        <f t="shared" si="267"/>
        <v>0.63092672413793105</v>
      </c>
      <c r="AA62" s="176">
        <f t="shared" si="268"/>
        <v>2.3211341905703922</v>
      </c>
      <c r="AB62" s="177">
        <f t="shared" si="269"/>
        <v>1.1860036832412524</v>
      </c>
      <c r="AC62" s="177">
        <f t="shared" si="270"/>
        <v>3.5911602209944826E-2</v>
      </c>
      <c r="AD62" s="177">
        <f t="shared" si="271"/>
        <v>-0.25979882067291016</v>
      </c>
      <c r="AE62" s="177">
        <f t="shared" si="272"/>
        <v>7.9616782292698973E-2</v>
      </c>
      <c r="AF62" s="176">
        <f t="shared" si="273"/>
        <v>0.1504020649260398</v>
      </c>
      <c r="AG62" s="177">
        <f t="shared" si="274"/>
        <v>-0.2881213142375737</v>
      </c>
      <c r="AH62" s="177">
        <f t="shared" si="275"/>
        <v>0.9973333333333334</v>
      </c>
      <c r="AI62" s="177">
        <f t="shared" si="276"/>
        <v>1.9667291471415185</v>
      </c>
      <c r="AJ62" s="177">
        <f t="shared" si="277"/>
        <v>1.2099143206854346</v>
      </c>
      <c r="AK62" s="176">
        <f t="shared" si="278"/>
        <v>0.84078356920952713</v>
      </c>
      <c r="AL62" s="177">
        <f t="shared" si="279"/>
        <v>2.1980276134122287</v>
      </c>
      <c r="AM62" s="177">
        <f t="shared" si="280"/>
        <v>0.48350181193972919</v>
      </c>
      <c r="AN62" s="177">
        <f t="shared" si="281"/>
        <v>-0.50150055283525508</v>
      </c>
      <c r="AO62" s="177">
        <f t="shared" si="282"/>
        <v>0.98324563832733314</v>
      </c>
      <c r="AP62" s="176">
        <f t="shared" si="283"/>
        <v>0.56410857437532225</v>
      </c>
      <c r="AQ62" s="177">
        <f t="shared" si="284"/>
        <v>-1.4741581349451092</v>
      </c>
      <c r="AR62" s="177">
        <f t="shared" si="285"/>
        <v>-1.2607354075597841</v>
      </c>
      <c r="AS62" s="177">
        <f t="shared" si="250"/>
        <v>-8.9987325728770551E-2</v>
      </c>
      <c r="AT62" s="177">
        <f t="shared" si="251"/>
        <v>-0.98059065838162396</v>
      </c>
      <c r="AU62" s="176">
        <f t="shared" si="252"/>
        <v>-1.0815849418534949</v>
      </c>
      <c r="AV62" s="177">
        <f t="shared" si="253"/>
        <v>-1.8251821019771071</v>
      </c>
      <c r="AW62" s="177">
        <f t="shared" si="254"/>
        <v>-4.3284023668639051</v>
      </c>
      <c r="AX62" s="177">
        <f t="shared" si="255"/>
        <v>2.4397632311977717</v>
      </c>
      <c r="AY62" s="177">
        <f t="shared" si="256"/>
        <v>37.215827338129493</v>
      </c>
      <c r="AZ62" s="176">
        <f>-(AZ31/AU31-1)</f>
        <v>12.177443056576047</v>
      </c>
      <c r="BA62" s="177">
        <f t="shared" si="233"/>
        <v>2.2884615384615383</v>
      </c>
      <c r="BB62" s="177">
        <f t="shared" si="234"/>
        <v>0.99777777777777787</v>
      </c>
      <c r="BC62" s="177">
        <f t="shared" si="235"/>
        <v>0.55157404595606851</v>
      </c>
      <c r="BD62" s="222">
        <f t="shared" si="236"/>
        <v>0.2852837423817054</v>
      </c>
      <c r="BE62" s="223">
        <f>-(BE31/AZ31-1)</f>
        <v>-0.73866407490758945</v>
      </c>
      <c r="BF62" s="222">
        <f t="shared" si="237"/>
        <v>0.216977236928386</v>
      </c>
      <c r="BG62" s="222">
        <f t="shared" si="238"/>
        <v>-2.7148368053392602E-2</v>
      </c>
      <c r="BH62" s="222">
        <f t="shared" si="239"/>
        <v>-8.1542872573068359E-2</v>
      </c>
      <c r="BI62" s="222">
        <f t="shared" si="240"/>
        <v>0.21744348401505742</v>
      </c>
      <c r="BJ62" s="223">
        <f>-(BJ31/BE31-1)</f>
        <v>-6.8365635355623233E-2</v>
      </c>
      <c r="BK62" s="223">
        <f t="shared" si="243"/>
        <v>8.2706402124903544E-2</v>
      </c>
      <c r="BL62" s="223">
        <f t="shared" si="243"/>
        <v>4.0742193839163665E-2</v>
      </c>
      <c r="BM62" s="223">
        <f t="shared" ref="BM62" si="302">BM31/BL31-1</f>
        <v>9.6478448157194308E-2</v>
      </c>
    </row>
    <row r="63" spans="1:65" ht="16.5" x14ac:dyDescent="0.3">
      <c r="A63" s="4" t="s">
        <v>113</v>
      </c>
      <c r="B63" s="4"/>
      <c r="C63" s="4"/>
      <c r="D63" s="4"/>
      <c r="E63" s="13"/>
      <c r="Q63" s="44">
        <f t="shared" ref="Q63:AY63" si="303">Q33/L33-1</f>
        <v>3</v>
      </c>
      <c r="R63" s="45">
        <f t="shared" si="303"/>
        <v>0.40000000000000013</v>
      </c>
      <c r="S63" s="45">
        <f t="shared" si="303"/>
        <v>-0.77777777777777779</v>
      </c>
      <c r="T63" s="45">
        <f t="shared" si="303"/>
        <v>0</v>
      </c>
      <c r="U63" s="45">
        <f t="shared" si="303"/>
        <v>1.375</v>
      </c>
      <c r="V63" s="44">
        <f t="shared" si="303"/>
        <v>0.29166666666666674</v>
      </c>
      <c r="W63" s="45">
        <f t="shared" si="303"/>
        <v>1.2857142857142856</v>
      </c>
      <c r="X63" s="45">
        <f t="shared" si="303"/>
        <v>11.5</v>
      </c>
      <c r="Y63" s="45">
        <f t="shared" si="303"/>
        <v>8.6666666666666661</v>
      </c>
      <c r="Z63" s="45">
        <f t="shared" si="303"/>
        <v>0.57894736842105265</v>
      </c>
      <c r="AA63" s="44">
        <f t="shared" si="303"/>
        <v>2.2580645161290325</v>
      </c>
      <c r="AB63" s="45">
        <f t="shared" si="303"/>
        <v>1.1875</v>
      </c>
      <c r="AC63" s="45">
        <f t="shared" si="303"/>
        <v>4.0000000000000036E-2</v>
      </c>
      <c r="AD63" s="45">
        <f t="shared" si="303"/>
        <v>-0.27586206896551724</v>
      </c>
      <c r="AE63" s="45">
        <f t="shared" si="303"/>
        <v>6.6666666666666652E-2</v>
      </c>
      <c r="AF63" s="44">
        <f t="shared" si="303"/>
        <v>0.13861386138613851</v>
      </c>
      <c r="AG63" s="45">
        <f t="shared" si="303"/>
        <v>-0.2857142857142857</v>
      </c>
      <c r="AH63" s="45">
        <f t="shared" si="303"/>
        <v>1</v>
      </c>
      <c r="AI63" s="45">
        <f t="shared" si="303"/>
        <v>1.9523809523809526</v>
      </c>
      <c r="AJ63" s="45">
        <f t="shared" si="303"/>
        <v>1.1875</v>
      </c>
      <c r="AK63" s="44">
        <f t="shared" si="303"/>
        <v>0.81739130434782603</v>
      </c>
      <c r="AL63" s="45">
        <f t="shared" si="303"/>
        <v>2.16</v>
      </c>
      <c r="AM63" s="45">
        <f t="shared" si="303"/>
        <v>0.46153846153846145</v>
      </c>
      <c r="AN63" s="45">
        <f t="shared" si="303"/>
        <v>-0.5</v>
      </c>
      <c r="AO63" s="45">
        <f t="shared" si="303"/>
        <v>0.98571428571428577</v>
      </c>
      <c r="AP63" s="44">
        <f t="shared" si="303"/>
        <v>0.55023923444976108</v>
      </c>
      <c r="AQ63" s="45">
        <f t="shared" si="303"/>
        <v>-1.481012658227848</v>
      </c>
      <c r="AR63" s="45">
        <f t="shared" si="303"/>
        <v>-1.263157894736842</v>
      </c>
      <c r="AS63" s="45">
        <f t="shared" si="303"/>
        <v>-9.6774193548387011E-2</v>
      </c>
      <c r="AT63" s="45">
        <f t="shared" si="303"/>
        <v>-0.97841726618705038</v>
      </c>
      <c r="AU63" s="44">
        <f t="shared" si="303"/>
        <v>-1.0833333333333333</v>
      </c>
      <c r="AV63" s="45">
        <f t="shared" si="303"/>
        <v>-1.8157894736842106</v>
      </c>
      <c r="AW63" s="45">
        <f t="shared" si="303"/>
        <v>-4.25</v>
      </c>
      <c r="AX63" s="45">
        <f t="shared" si="303"/>
        <v>2.3571428571428568</v>
      </c>
      <c r="AY63" s="45">
        <f t="shared" si="303"/>
        <v>32.333333333333336</v>
      </c>
      <c r="AZ63" s="44">
        <f>-(AZ33/AU33-1)</f>
        <v>11.74074074074074</v>
      </c>
      <c r="BA63" s="45">
        <f>BA33/AV33-1</f>
        <v>2.161290322580645</v>
      </c>
      <c r="BB63" s="45">
        <f>BB33/AW33-1</f>
        <v>0.93846153846153846</v>
      </c>
      <c r="BC63" s="45">
        <f>BC33/AX33-1</f>
        <v>0.52127659574468077</v>
      </c>
      <c r="BD63" s="210">
        <f>BD33/AY33-1</f>
        <v>0.27</v>
      </c>
      <c r="BE63" s="211">
        <f>-(BE33/AZ33-1)</f>
        <v>-0.70344827586206926</v>
      </c>
      <c r="BF63" s="210">
        <f>BF33/BA33-1</f>
        <v>0.20408163265306123</v>
      </c>
      <c r="BG63" s="210">
        <f>BG33/BB33-1</f>
        <v>-3.9682539682539764E-2</v>
      </c>
      <c r="BH63" s="210">
        <f>BH33/BC33-1</f>
        <v>-9.0909090909090828E-2</v>
      </c>
      <c r="BI63" s="210">
        <f>BI33/BD33-1</f>
        <v>0.20472440944881898</v>
      </c>
      <c r="BJ63" s="211">
        <f>-(BJ33/BE33-1)</f>
        <v>-5.6680161943319707E-2</v>
      </c>
      <c r="BK63" s="211">
        <f t="shared" si="243"/>
        <v>6.9679849340866351E-2</v>
      </c>
      <c r="BL63" s="211">
        <f t="shared" si="243"/>
        <v>2.9929577464788748E-2</v>
      </c>
      <c r="BM63" s="211">
        <f t="shared" ref="BM63" si="304">BM32/BL32-1</f>
        <v>8.3760683760683907E-2</v>
      </c>
    </row>
    <row r="64" spans="1:65" ht="16.5" x14ac:dyDescent="0.3">
      <c r="A64" s="4"/>
      <c r="B64" s="4"/>
      <c r="C64" s="4"/>
      <c r="D64" s="4"/>
      <c r="E64" s="13"/>
      <c r="Q64" s="57"/>
      <c r="R64" s="45"/>
      <c r="S64" s="45"/>
      <c r="T64" s="45"/>
      <c r="U64" s="45"/>
      <c r="V64" s="57"/>
      <c r="W64" s="45"/>
      <c r="X64" s="45"/>
      <c r="Y64" s="45"/>
      <c r="Z64" s="45"/>
      <c r="AA64" s="57"/>
      <c r="AB64" s="45"/>
      <c r="AC64" s="45"/>
      <c r="AD64" s="45"/>
      <c r="AE64" s="45"/>
      <c r="AF64" s="57"/>
      <c r="AG64" s="45"/>
      <c r="AH64" s="45"/>
      <c r="AI64" s="45"/>
      <c r="AJ64" s="45"/>
      <c r="AK64" s="57"/>
      <c r="AL64" s="45"/>
      <c r="AM64" s="45"/>
      <c r="AN64" s="45"/>
      <c r="AO64" s="45"/>
      <c r="AP64" s="44"/>
      <c r="AQ64" s="45"/>
      <c r="AR64" s="45"/>
      <c r="AS64" s="45"/>
      <c r="AT64" s="45"/>
      <c r="AU64" s="44"/>
      <c r="AV64" s="45"/>
      <c r="AW64" s="45"/>
      <c r="AX64" s="45"/>
      <c r="AY64" s="45"/>
      <c r="AZ64" s="44"/>
      <c r="BA64" s="45"/>
      <c r="BB64" s="45"/>
      <c r="BC64" s="45"/>
      <c r="BD64" s="45"/>
      <c r="BE64" s="45"/>
      <c r="BF64" s="45"/>
      <c r="BG64" s="45"/>
      <c r="BH64" s="45"/>
      <c r="BI64" s="45"/>
    </row>
    <row r="65" spans="1:65" ht="16.5" x14ac:dyDescent="0.3">
      <c r="A65" s="14" t="s">
        <v>58</v>
      </c>
      <c r="B65" s="11"/>
      <c r="C65" s="11"/>
      <c r="D65" s="11"/>
      <c r="E65" s="14" t="s">
        <v>0</v>
      </c>
      <c r="F65" s="14" t="s">
        <v>0</v>
      </c>
      <c r="G65" s="14" t="s">
        <v>0</v>
      </c>
      <c r="H65" s="14" t="s">
        <v>0</v>
      </c>
      <c r="I65" s="14" t="s">
        <v>0</v>
      </c>
      <c r="J65" s="14" t="s">
        <v>0</v>
      </c>
      <c r="K65" s="14" t="s">
        <v>0</v>
      </c>
      <c r="L65" s="14" t="s">
        <v>0</v>
      </c>
      <c r="M65" s="14" t="s">
        <v>0</v>
      </c>
      <c r="N65" s="14" t="s">
        <v>0</v>
      </c>
      <c r="O65" s="14" t="s">
        <v>0</v>
      </c>
      <c r="P65" s="14" t="s">
        <v>0</v>
      </c>
      <c r="Q65" s="14" t="s">
        <v>0</v>
      </c>
      <c r="R65" s="14" t="s">
        <v>0</v>
      </c>
      <c r="S65" s="14" t="s">
        <v>0</v>
      </c>
      <c r="T65" s="14" t="s">
        <v>0</v>
      </c>
      <c r="U65" s="14" t="s">
        <v>0</v>
      </c>
      <c r="V65" s="14" t="s">
        <v>0</v>
      </c>
      <c r="W65" s="14" t="s">
        <v>0</v>
      </c>
      <c r="X65" s="14" t="s">
        <v>0</v>
      </c>
      <c r="Y65" s="14" t="s">
        <v>0</v>
      </c>
      <c r="Z65" s="14" t="s">
        <v>0</v>
      </c>
      <c r="AA65" s="14" t="s">
        <v>0</v>
      </c>
      <c r="AB65" s="14" t="s">
        <v>0</v>
      </c>
      <c r="AC65" s="14" t="s">
        <v>0</v>
      </c>
      <c r="AD65" s="14" t="s">
        <v>0</v>
      </c>
      <c r="AE65" s="14" t="s">
        <v>0</v>
      </c>
      <c r="AF65" s="14" t="s">
        <v>0</v>
      </c>
      <c r="AG65" s="14" t="s">
        <v>0</v>
      </c>
      <c r="AH65" s="14" t="s">
        <v>0</v>
      </c>
      <c r="AI65" s="14" t="s">
        <v>0</v>
      </c>
      <c r="AJ65" s="14" t="s">
        <v>0</v>
      </c>
      <c r="AK65" s="14" t="s">
        <v>0</v>
      </c>
      <c r="AL65" s="14" t="s">
        <v>0</v>
      </c>
      <c r="AM65" s="14" t="s">
        <v>0</v>
      </c>
      <c r="AN65" s="14" t="s">
        <v>0</v>
      </c>
      <c r="AO65" s="14" t="s">
        <v>0</v>
      </c>
      <c r="AP65" s="14" t="s">
        <v>0</v>
      </c>
      <c r="AQ65" s="14" t="s">
        <v>0</v>
      </c>
      <c r="AR65" s="14" t="s">
        <v>0</v>
      </c>
      <c r="AS65" s="14" t="s">
        <v>0</v>
      </c>
      <c r="AT65" s="14" t="s">
        <v>0</v>
      </c>
      <c r="AU65" s="14" t="s">
        <v>0</v>
      </c>
      <c r="AV65" s="14" t="s">
        <v>0</v>
      </c>
      <c r="AW65" s="14" t="s">
        <v>0</v>
      </c>
      <c r="AX65" s="14" t="s">
        <v>0</v>
      </c>
      <c r="AY65" s="14" t="s">
        <v>0</v>
      </c>
      <c r="AZ65" s="14" t="s">
        <v>0</v>
      </c>
      <c r="BA65" s="14" t="s">
        <v>0</v>
      </c>
      <c r="BB65" s="14" t="s">
        <v>0</v>
      </c>
      <c r="BC65" s="14" t="s">
        <v>0</v>
      </c>
      <c r="BD65" s="14"/>
      <c r="BE65" s="14"/>
      <c r="BF65" s="14"/>
      <c r="BG65" s="14"/>
      <c r="BH65" s="14"/>
      <c r="BI65" s="14"/>
      <c r="BJ65" s="14"/>
      <c r="BK65" s="14"/>
      <c r="BL65" s="14"/>
      <c r="BM65" s="14"/>
    </row>
    <row r="66" spans="1:65" ht="16.5" x14ac:dyDescent="0.3">
      <c r="A66" s="4" t="s">
        <v>49</v>
      </c>
      <c r="B66" s="4"/>
      <c r="C66" s="4"/>
      <c r="D66" s="4"/>
      <c r="E66" s="23"/>
      <c r="F66" s="43"/>
      <c r="G66" s="43"/>
      <c r="H66" s="43"/>
      <c r="I66" s="43"/>
      <c r="J66" s="43"/>
      <c r="K66" s="23">
        <f t="shared" ref="K66:L72" si="305">K8/K$15</f>
        <v>0.7699127972310873</v>
      </c>
      <c r="L66" s="23">
        <f t="shared" si="305"/>
        <v>0.7183055155785657</v>
      </c>
      <c r="M66" s="41">
        <f t="shared" ref="M66:P66" si="306">M8/M$15</f>
        <v>0.68374073056852513</v>
      </c>
      <c r="N66" s="41">
        <f t="shared" si="306"/>
        <v>0.67024075779502701</v>
      </c>
      <c r="O66" s="41">
        <f t="shared" si="306"/>
        <v>0.65996209573882736</v>
      </c>
      <c r="P66" s="41">
        <f t="shared" si="306"/>
        <v>0.67552182163187857</v>
      </c>
      <c r="Q66" s="23">
        <f t="shared" ref="Q66:U66" si="307">Q8/Q$15</f>
        <v>0.67235838719877639</v>
      </c>
      <c r="R66" s="41">
        <f t="shared" si="307"/>
        <v>0.6391331130649045</v>
      </c>
      <c r="S66" s="41">
        <f t="shared" si="307"/>
        <v>0.62584639704913714</v>
      </c>
      <c r="T66" s="41">
        <f t="shared" si="307"/>
        <v>0.60332845647403077</v>
      </c>
      <c r="U66" s="41">
        <f t="shared" si="307"/>
        <v>0.58529766926372551</v>
      </c>
      <c r="V66" s="23">
        <f t="shared" ref="V66:BC66" si="308">V8/V$15</f>
        <v>0.60919456219850898</v>
      </c>
      <c r="W66" s="41">
        <f t="shared" si="308"/>
        <v>0.52778104306257589</v>
      </c>
      <c r="X66" s="41">
        <f t="shared" si="308"/>
        <v>0.51365200620201945</v>
      </c>
      <c r="Y66" s="41">
        <f t="shared" si="308"/>
        <v>0.51366303733031671</v>
      </c>
      <c r="Z66" s="41">
        <f t="shared" si="308"/>
        <v>0.55015680477460183</v>
      </c>
      <c r="AA66" s="23">
        <f t="shared" si="308"/>
        <v>0.52809731758320555</v>
      </c>
      <c r="AB66" s="41">
        <f t="shared" si="308"/>
        <v>0.4941038525963149</v>
      </c>
      <c r="AC66" s="41">
        <f t="shared" si="308"/>
        <v>0.48976405274115198</v>
      </c>
      <c r="AD66" s="41">
        <f t="shared" si="308"/>
        <v>0.50069304525514069</v>
      </c>
      <c r="AE66" s="41">
        <f t="shared" si="308"/>
        <v>0.52217024829305669</v>
      </c>
      <c r="AF66" s="23">
        <f t="shared" si="308"/>
        <v>0.50351487583861521</v>
      </c>
      <c r="AG66" s="41">
        <f t="shared" si="308"/>
        <v>0.48576578486985106</v>
      </c>
      <c r="AH66" s="41">
        <f t="shared" si="308"/>
        <v>0.51619578909483532</v>
      </c>
      <c r="AI66" s="41">
        <f t="shared" si="308"/>
        <v>0.50288626553642934</v>
      </c>
      <c r="AJ66" s="41">
        <f t="shared" si="308"/>
        <v>0.52925809406236313</v>
      </c>
      <c r="AK66" s="23">
        <f t="shared" si="308"/>
        <v>0.5111820837995773</v>
      </c>
      <c r="AL66" s="41">
        <f t="shared" si="308"/>
        <v>0.48748594703182885</v>
      </c>
      <c r="AM66" s="41">
        <f t="shared" si="308"/>
        <v>0.47008312698974175</v>
      </c>
      <c r="AN66" s="41">
        <f t="shared" si="308"/>
        <v>0.45069126087427352</v>
      </c>
      <c r="AO66" s="41">
        <f t="shared" si="308"/>
        <v>0.48085320059383457</v>
      </c>
      <c r="AP66" s="23">
        <f t="shared" si="308"/>
        <v>0.47267901460553147</v>
      </c>
      <c r="AQ66" s="41">
        <f t="shared" si="308"/>
        <v>0.43908659956717394</v>
      </c>
      <c r="AR66" s="41">
        <f t="shared" si="308"/>
        <v>0.41947803421482421</v>
      </c>
      <c r="AS66" s="41">
        <f t="shared" si="308"/>
        <v>0.42083854572347973</v>
      </c>
      <c r="AT66" s="41">
        <f t="shared" si="308"/>
        <v>0.4325018096029597</v>
      </c>
      <c r="AU66" s="23">
        <f t="shared" si="308"/>
        <v>0.42803750318590306</v>
      </c>
      <c r="AV66" s="41">
        <f t="shared" si="308"/>
        <v>0.40119976758428993</v>
      </c>
      <c r="AW66" s="41">
        <f t="shared" si="308"/>
        <v>0.39414211619029194</v>
      </c>
      <c r="AX66" s="41">
        <f t="shared" si="308"/>
        <v>0.4002362265258626</v>
      </c>
      <c r="AY66" s="41">
        <f t="shared" si="308"/>
        <v>0.4150540418095916</v>
      </c>
      <c r="AZ66" s="23">
        <f t="shared" si="308"/>
        <v>0.40340649112276766</v>
      </c>
      <c r="BA66" s="41">
        <f t="shared" si="308"/>
        <v>0.38147272054872899</v>
      </c>
      <c r="BB66" s="41">
        <f t="shared" si="308"/>
        <v>0.37432844293369916</v>
      </c>
      <c r="BC66" s="41">
        <f t="shared" si="308"/>
        <v>0.38653171950628473</v>
      </c>
      <c r="BD66" s="41"/>
      <c r="BE66" s="41"/>
      <c r="BF66" s="41"/>
      <c r="BG66" s="41"/>
      <c r="BH66" s="41"/>
      <c r="BI66" s="41"/>
      <c r="BJ66" s="41"/>
      <c r="BK66" s="41"/>
      <c r="BL66" s="41"/>
      <c r="BM66" s="41"/>
    </row>
    <row r="67" spans="1:65" ht="16.5" x14ac:dyDescent="0.3">
      <c r="A67" s="4" t="s">
        <v>50</v>
      </c>
      <c r="B67" s="4"/>
      <c r="C67" s="4"/>
      <c r="D67" s="4"/>
      <c r="E67" s="23"/>
      <c r="F67" s="43"/>
      <c r="G67" s="43"/>
      <c r="H67" s="43"/>
      <c r="I67" s="43"/>
      <c r="J67" s="43"/>
      <c r="K67" s="23">
        <f t="shared" si="305"/>
        <v>0</v>
      </c>
      <c r="L67" s="23">
        <f t="shared" si="305"/>
        <v>0</v>
      </c>
      <c r="M67" s="41">
        <f t="shared" ref="M67:P67" si="309">M9/M$15</f>
        <v>0</v>
      </c>
      <c r="N67" s="41">
        <f t="shared" si="309"/>
        <v>0</v>
      </c>
      <c r="O67" s="41">
        <f t="shared" si="309"/>
        <v>0</v>
      </c>
      <c r="P67" s="41">
        <f t="shared" si="309"/>
        <v>0</v>
      </c>
      <c r="Q67" s="23">
        <f t="shared" ref="Q67:U67" si="310">Q9/Q$15</f>
        <v>0</v>
      </c>
      <c r="R67" s="41">
        <f t="shared" si="310"/>
        <v>0</v>
      </c>
      <c r="S67" s="41">
        <f t="shared" si="310"/>
        <v>0</v>
      </c>
      <c r="T67" s="41">
        <f t="shared" si="310"/>
        <v>2.9169714703730799E-2</v>
      </c>
      <c r="U67" s="41">
        <f t="shared" si="310"/>
        <v>7.4801912229335188E-2</v>
      </c>
      <c r="V67" s="23">
        <f t="shared" ref="V67:BC67" si="311">V9/V$15</f>
        <v>3.2597573454173363E-2</v>
      </c>
      <c r="W67" s="41">
        <f t="shared" si="311"/>
        <v>8.3519454566827314E-2</v>
      </c>
      <c r="X67" s="41">
        <f t="shared" si="311"/>
        <v>8.1533865295163183E-2</v>
      </c>
      <c r="Y67" s="41">
        <f t="shared" si="311"/>
        <v>7.5084841628959273E-2</v>
      </c>
      <c r="Z67" s="41">
        <f t="shared" si="311"/>
        <v>6.0801569429285884E-2</v>
      </c>
      <c r="AA67" s="23">
        <f t="shared" si="311"/>
        <v>7.3958615122355478E-2</v>
      </c>
      <c r="AB67" s="41">
        <f t="shared" si="311"/>
        <v>7.2144053601340033E-2</v>
      </c>
      <c r="AC67" s="41">
        <f t="shared" si="311"/>
        <v>6.8292221310958301E-2</v>
      </c>
      <c r="AD67" s="41">
        <f t="shared" si="311"/>
        <v>5.9901973392778037E-2</v>
      </c>
      <c r="AE67" s="41">
        <f t="shared" si="311"/>
        <v>4.9898784267529764E-2</v>
      </c>
      <c r="AF67" s="23">
        <f t="shared" si="311"/>
        <v>6.1285745859504782E-2</v>
      </c>
      <c r="AG67" s="41">
        <f t="shared" si="311"/>
        <v>6.1496050469172454E-2</v>
      </c>
      <c r="AH67" s="41">
        <f t="shared" si="311"/>
        <v>4.2446463919380964E-2</v>
      </c>
      <c r="AI67" s="41">
        <f t="shared" si="311"/>
        <v>3.9398824691871649E-2</v>
      </c>
      <c r="AJ67" s="41">
        <f t="shared" si="311"/>
        <v>3.2033770060929473E-2</v>
      </c>
      <c r="AK67" s="23">
        <f t="shared" si="311"/>
        <v>4.2024120353102073E-2</v>
      </c>
      <c r="AL67" s="41">
        <f t="shared" si="311"/>
        <v>3.6123039495751859E-2</v>
      </c>
      <c r="AM67" s="41">
        <f t="shared" si="311"/>
        <v>3.7124159886805799E-2</v>
      </c>
      <c r="AN67" s="41">
        <f t="shared" si="311"/>
        <v>3.8524708515323247E-2</v>
      </c>
      <c r="AO67" s="41">
        <f t="shared" si="311"/>
        <v>3.4116379937705589E-2</v>
      </c>
      <c r="AP67" s="23">
        <f t="shared" si="311"/>
        <v>3.6343551387546774E-2</v>
      </c>
      <c r="AQ67" s="41">
        <f t="shared" si="311"/>
        <v>3.9426677201058018E-2</v>
      </c>
      <c r="AR67" s="41">
        <f t="shared" si="311"/>
        <v>3.8941221109589717E-2</v>
      </c>
      <c r="AS67" s="41">
        <f t="shared" si="311"/>
        <v>3.6931259392136963E-2</v>
      </c>
      <c r="AT67" s="41">
        <f t="shared" si="311"/>
        <v>3.3222969893568537E-2</v>
      </c>
      <c r="AU67" s="23">
        <f t="shared" si="311"/>
        <v>3.68942163456768E-2</v>
      </c>
      <c r="AV67" s="41">
        <f t="shared" si="311"/>
        <v>3.8434962860597686E-2</v>
      </c>
      <c r="AW67" s="41">
        <f t="shared" si="311"/>
        <v>3.7385681224559653E-2</v>
      </c>
      <c r="AX67" s="41">
        <f t="shared" si="311"/>
        <v>3.4658205377298489E-2</v>
      </c>
      <c r="AY67" s="41">
        <f t="shared" si="311"/>
        <v>3.0312836474249975E-2</v>
      </c>
      <c r="AZ67" s="23">
        <f t="shared" si="311"/>
        <v>3.4847812660386057E-2</v>
      </c>
      <c r="BA67" s="41">
        <f t="shared" si="311"/>
        <v>3.6298172531452136E-2</v>
      </c>
      <c r="BB67" s="41">
        <f t="shared" si="311"/>
        <v>3.5181143015468617E-2</v>
      </c>
      <c r="BC67" s="41">
        <f t="shared" si="311"/>
        <v>3.2905958697608845E-2</v>
      </c>
      <c r="BD67" s="41"/>
      <c r="BE67" s="41"/>
      <c r="BF67" s="41"/>
      <c r="BG67" s="41"/>
      <c r="BH67" s="41"/>
      <c r="BI67" s="41"/>
      <c r="BJ67" s="41"/>
      <c r="BK67" s="41"/>
      <c r="BL67" s="41"/>
      <c r="BM67" s="41"/>
    </row>
    <row r="68" spans="1:65" ht="16.5" x14ac:dyDescent="0.3">
      <c r="A68" s="4" t="s">
        <v>51</v>
      </c>
      <c r="B68" s="4"/>
      <c r="C68" s="4"/>
      <c r="D68" s="4"/>
      <c r="E68" s="23"/>
      <c r="F68" s="43"/>
      <c r="G68" s="43"/>
      <c r="H68" s="43"/>
      <c r="I68" s="43"/>
      <c r="J68" s="43"/>
      <c r="K68" s="23">
        <f t="shared" si="305"/>
        <v>0.13200656268260888</v>
      </c>
      <c r="L68" s="23">
        <f t="shared" si="305"/>
        <v>0.15032801898958936</v>
      </c>
      <c r="M68" s="41">
        <f t="shared" ref="M68:P68" si="312">M10/M$15</f>
        <v>0.16482422411425432</v>
      </c>
      <c r="N68" s="41">
        <f t="shared" si="312"/>
        <v>0.16718194974345482</v>
      </c>
      <c r="O68" s="41">
        <f t="shared" si="312"/>
        <v>0.17277006786085469</v>
      </c>
      <c r="P68" s="41">
        <f t="shared" si="312"/>
        <v>0.17045792277268468</v>
      </c>
      <c r="Q68" s="23">
        <f t="shared" ref="Q68:U68" si="313">Q10/Q$15</f>
        <v>0.1690749851088707</v>
      </c>
      <c r="R68" s="41">
        <f t="shared" si="313"/>
        <v>0.18026544212353698</v>
      </c>
      <c r="S68" s="41">
        <f t="shared" si="313"/>
        <v>0.18419180608615465</v>
      </c>
      <c r="T68" s="41">
        <f t="shared" si="313"/>
        <v>0.18123628383321141</v>
      </c>
      <c r="U68" s="41">
        <f t="shared" si="313"/>
        <v>0.17406911154119728</v>
      </c>
      <c r="V68" s="23">
        <f t="shared" ref="V68:BC68" si="314">V10/V$15</f>
        <v>0.17923605410814883</v>
      </c>
      <c r="W68" s="41">
        <f t="shared" si="314"/>
        <v>0.1815171819286078</v>
      </c>
      <c r="X68" s="41">
        <f t="shared" si="314"/>
        <v>0.18345119691411715</v>
      </c>
      <c r="Y68" s="41">
        <f t="shared" si="314"/>
        <v>0.18373515271493213</v>
      </c>
      <c r="Z68" s="41">
        <f t="shared" si="314"/>
        <v>0.18489148004365666</v>
      </c>
      <c r="AA68" s="23">
        <f t="shared" si="314"/>
        <v>0.18354395049959851</v>
      </c>
      <c r="AB68" s="41">
        <f t="shared" si="314"/>
        <v>0.18661641541038526</v>
      </c>
      <c r="AC68" s="41">
        <f t="shared" si="314"/>
        <v>0.18866317582486911</v>
      </c>
      <c r="AD68" s="41">
        <f t="shared" si="314"/>
        <v>0.18879410125605522</v>
      </c>
      <c r="AE68" s="41">
        <f t="shared" si="314"/>
        <v>0.19952651623454601</v>
      </c>
      <c r="AF68" s="23">
        <f t="shared" si="314"/>
        <v>0.19164628799167266</v>
      </c>
      <c r="AG68" s="41">
        <f t="shared" si="314"/>
        <v>0.1918968350739543</v>
      </c>
      <c r="AH68" s="41">
        <f t="shared" si="314"/>
        <v>0.20464054345870072</v>
      </c>
      <c r="AI68" s="41">
        <f t="shared" si="314"/>
        <v>0.21255395496385668</v>
      </c>
      <c r="AJ68" s="41">
        <f t="shared" si="314"/>
        <v>0.21764963561785672</v>
      </c>
      <c r="AK68" s="23">
        <f t="shared" si="314"/>
        <v>0.20835146504206556</v>
      </c>
      <c r="AL68" s="41">
        <f t="shared" si="314"/>
        <v>0.21847988352162775</v>
      </c>
      <c r="AM68" s="41">
        <f t="shared" si="314"/>
        <v>0.22183409975238769</v>
      </c>
      <c r="AN68" s="41">
        <f t="shared" si="314"/>
        <v>0.2188571634840992</v>
      </c>
      <c r="AO68" s="41">
        <f t="shared" si="314"/>
        <v>0.22065030710563852</v>
      </c>
      <c r="AP68" s="23">
        <f t="shared" si="314"/>
        <v>0.22001098288287904</v>
      </c>
      <c r="AQ68" s="41">
        <f t="shared" si="314"/>
        <v>0.21757239531448594</v>
      </c>
      <c r="AR68" s="41">
        <f t="shared" si="314"/>
        <v>0.22581124107098668</v>
      </c>
      <c r="AS68" s="41">
        <f t="shared" si="314"/>
        <v>0.22553717122603284</v>
      </c>
      <c r="AT68" s="41">
        <f t="shared" si="314"/>
        <v>0.24355245167689873</v>
      </c>
      <c r="AU68" s="23">
        <f t="shared" si="314"/>
        <v>0.22902703007687025</v>
      </c>
      <c r="AV68" s="41">
        <f t="shared" si="314"/>
        <v>0.2341431241068484</v>
      </c>
      <c r="AW68" s="41">
        <f t="shared" si="314"/>
        <v>0.24059590870869083</v>
      </c>
      <c r="AX68" s="41">
        <f t="shared" si="314"/>
        <v>0.24001453701697617</v>
      </c>
      <c r="AY68" s="41">
        <f t="shared" si="314"/>
        <v>0.25628820729461466</v>
      </c>
      <c r="AZ68" s="23">
        <f t="shared" si="314"/>
        <v>0.24366154301173482</v>
      </c>
      <c r="BA68" s="41">
        <f t="shared" si="314"/>
        <v>0.24140168721609345</v>
      </c>
      <c r="BB68" s="41">
        <f t="shared" si="314"/>
        <v>0.24463936963176711</v>
      </c>
      <c r="BC68" s="41">
        <f t="shared" si="314"/>
        <v>0.23832272764465592</v>
      </c>
      <c r="BD68" s="41"/>
      <c r="BE68" s="41"/>
      <c r="BF68" s="41"/>
      <c r="BG68" s="41"/>
      <c r="BH68" s="41"/>
      <c r="BI68" s="41"/>
      <c r="BJ68" s="41"/>
      <c r="BK68" s="41"/>
      <c r="BL68" s="41"/>
      <c r="BM68" s="41"/>
    </row>
    <row r="69" spans="1:65" ht="16.5" x14ac:dyDescent="0.3">
      <c r="A69" s="4" t="s">
        <v>52</v>
      </c>
      <c r="B69" s="4"/>
      <c r="C69" s="4"/>
      <c r="D69" s="4"/>
      <c r="E69" s="23"/>
      <c r="F69" s="43"/>
      <c r="G69" s="43"/>
      <c r="H69" s="43"/>
      <c r="I69" s="43"/>
      <c r="J69" s="43"/>
      <c r="K69" s="23">
        <f t="shared" si="305"/>
        <v>3.1037892749584215E-2</v>
      </c>
      <c r="L69" s="23">
        <f t="shared" si="305"/>
        <v>4.1745322692185484E-2</v>
      </c>
      <c r="M69" s="41">
        <f t="shared" ref="M69:P69" si="315">M11/M$15</f>
        <v>4.4630595990112605E-2</v>
      </c>
      <c r="N69" s="41">
        <f t="shared" si="315"/>
        <v>4.7066175503223263E-2</v>
      </c>
      <c r="O69" s="41">
        <f t="shared" si="315"/>
        <v>4.6830103319679649E-2</v>
      </c>
      <c r="P69" s="41">
        <f t="shared" si="315"/>
        <v>4.8695731693376924E-2</v>
      </c>
      <c r="Q69" s="23">
        <f t="shared" ref="Q69:U69" si="316">Q11/Q$15</f>
        <v>4.7011846720642417E-2</v>
      </c>
      <c r="R69" s="41">
        <f t="shared" si="316"/>
        <v>5.4292434339474713E-2</v>
      </c>
      <c r="S69" s="41">
        <f t="shared" si="316"/>
        <v>5.7041233039125283E-2</v>
      </c>
      <c r="T69" s="41">
        <f t="shared" si="316"/>
        <v>5.580193855157279E-2</v>
      </c>
      <c r="U69" s="41">
        <f t="shared" si="316"/>
        <v>5.2553223165103469E-2</v>
      </c>
      <c r="V69" s="23">
        <f t="shared" ref="V69:BC69" si="317">V11/V$15</f>
        <v>5.4659125409015775E-2</v>
      </c>
      <c r="W69" s="41">
        <f t="shared" si="317"/>
        <v>6.0773480662983423E-2</v>
      </c>
      <c r="X69" s="41">
        <f t="shared" si="317"/>
        <v>6.4440494648867377E-2</v>
      </c>
      <c r="Y69" s="41">
        <f t="shared" si="317"/>
        <v>6.5363404977375569E-2</v>
      </c>
      <c r="Z69" s="41">
        <f t="shared" si="317"/>
        <v>5.4695163228934973E-2</v>
      </c>
      <c r="AA69" s="23">
        <f t="shared" si="317"/>
        <v>6.0832077359406066E-2</v>
      </c>
      <c r="AB69" s="41">
        <f t="shared" si="317"/>
        <v>7.273031825795645E-2</v>
      </c>
      <c r="AC69" s="41">
        <f t="shared" si="317"/>
        <v>7.3749290265598386E-2</v>
      </c>
      <c r="AD69" s="41">
        <f t="shared" si="317"/>
        <v>7.0833511953244457E-2</v>
      </c>
      <c r="AE69" s="41">
        <f t="shared" si="317"/>
        <v>5.9871679037478413E-2</v>
      </c>
      <c r="AF69" s="23">
        <f t="shared" si="317"/>
        <v>6.8479477545433154E-2</v>
      </c>
      <c r="AG69" s="41">
        <f t="shared" si="317"/>
        <v>7.3636219053172872E-2</v>
      </c>
      <c r="AH69" s="41">
        <f t="shared" si="317"/>
        <v>6.7684901925499363E-2</v>
      </c>
      <c r="AI69" s="41">
        <f t="shared" si="317"/>
        <v>6.8355088668157468E-2</v>
      </c>
      <c r="AJ69" s="41">
        <f t="shared" si="317"/>
        <v>5.6238301939389113E-2</v>
      </c>
      <c r="AK69" s="23">
        <f t="shared" si="317"/>
        <v>6.5292283144763569E-2</v>
      </c>
      <c r="AL69" s="41">
        <f t="shared" si="317"/>
        <v>6.9850163106581403E-2</v>
      </c>
      <c r="AM69" s="41">
        <f t="shared" si="317"/>
        <v>7.0012380615493461E-2</v>
      </c>
      <c r="AN69" s="41">
        <f t="shared" si="317"/>
        <v>7.3529942605493989E-2</v>
      </c>
      <c r="AO69" s="41">
        <f t="shared" si="317"/>
        <v>5.9114196722265887E-2</v>
      </c>
      <c r="AP69" s="23">
        <f t="shared" si="317"/>
        <v>6.7617097539067986E-2</v>
      </c>
      <c r="AQ69" s="41">
        <f t="shared" si="317"/>
        <v>7.2223558105183605E-2</v>
      </c>
      <c r="AR69" s="41">
        <f t="shared" si="317"/>
        <v>7.1894023128825243E-2</v>
      </c>
      <c r="AS69" s="41">
        <f t="shared" si="317"/>
        <v>7.0046655809159641E-2</v>
      </c>
      <c r="AT69" s="41">
        <f t="shared" si="317"/>
        <v>6.1586820728666794E-2</v>
      </c>
      <c r="AU69" s="23">
        <f t="shared" si="317"/>
        <v>6.8519775945897046E-2</v>
      </c>
      <c r="AV69" s="41">
        <f t="shared" si="317"/>
        <v>7.5825625402408961E-2</v>
      </c>
      <c r="AW69" s="41">
        <f t="shared" si="317"/>
        <v>7.3625384163175406E-2</v>
      </c>
      <c r="AX69" s="41">
        <f t="shared" si="317"/>
        <v>7.1077626272862598E-2</v>
      </c>
      <c r="AY69" s="41">
        <f t="shared" si="317"/>
        <v>6.1708274251151732E-2</v>
      </c>
      <c r="AZ69" s="23">
        <f t="shared" si="317"/>
        <v>6.9954852684047081E-2</v>
      </c>
      <c r="BA69" s="41">
        <f t="shared" si="317"/>
        <v>7.4815264491009184E-2</v>
      </c>
      <c r="BB69" s="41">
        <f t="shared" si="317"/>
        <v>7.3430330389182105E-2</v>
      </c>
      <c r="BC69" s="41">
        <f t="shared" si="317"/>
        <v>7.0985731100159238E-2</v>
      </c>
      <c r="BD69" s="41"/>
      <c r="BE69" s="41"/>
      <c r="BF69" s="41"/>
      <c r="BG69" s="41"/>
      <c r="BH69" s="41"/>
      <c r="BI69" s="41"/>
      <c r="BJ69" s="41"/>
      <c r="BK69" s="41"/>
      <c r="BL69" s="41"/>
      <c r="BM69" s="41"/>
    </row>
    <row r="70" spans="1:65" ht="16.5" x14ac:dyDescent="0.3">
      <c r="A70" s="4" t="s">
        <v>53</v>
      </c>
      <c r="B70" s="4"/>
      <c r="C70" s="4"/>
      <c r="D70" s="4"/>
      <c r="E70" s="23"/>
      <c r="F70" s="43"/>
      <c r="G70" s="43"/>
      <c r="H70" s="43"/>
      <c r="I70" s="43"/>
      <c r="J70" s="43"/>
      <c r="K70" s="23">
        <f t="shared" si="305"/>
        <v>0</v>
      </c>
      <c r="L70" s="23">
        <f t="shared" si="305"/>
        <v>0</v>
      </c>
      <c r="M70" s="41">
        <f t="shared" ref="M70:P70" si="318">M12/M$15</f>
        <v>0</v>
      </c>
      <c r="N70" s="41">
        <f t="shared" si="318"/>
        <v>0</v>
      </c>
      <c r="O70" s="41">
        <f t="shared" si="318"/>
        <v>0</v>
      </c>
      <c r="P70" s="41">
        <f t="shared" si="318"/>
        <v>0</v>
      </c>
      <c r="Q70" s="23">
        <f t="shared" ref="Q70:U70" si="319">Q12/Q$15</f>
        <v>0</v>
      </c>
      <c r="R70" s="41">
        <f t="shared" si="319"/>
        <v>0</v>
      </c>
      <c r="S70" s="41">
        <f t="shared" si="319"/>
        <v>0</v>
      </c>
      <c r="T70" s="41">
        <f t="shared" si="319"/>
        <v>0</v>
      </c>
      <c r="U70" s="41">
        <f t="shared" si="319"/>
        <v>0</v>
      </c>
      <c r="V70" s="23">
        <f t="shared" ref="V70:BC70" si="320">V12/V$15</f>
        <v>0</v>
      </c>
      <c r="W70" s="41">
        <f t="shared" si="320"/>
        <v>0</v>
      </c>
      <c r="X70" s="41">
        <f t="shared" si="320"/>
        <v>0</v>
      </c>
      <c r="Y70" s="41">
        <f t="shared" si="320"/>
        <v>0</v>
      </c>
      <c r="Z70" s="41">
        <f t="shared" si="320"/>
        <v>0</v>
      </c>
      <c r="AA70" s="23">
        <f t="shared" si="320"/>
        <v>0</v>
      </c>
      <c r="AB70" s="41">
        <f t="shared" si="320"/>
        <v>0</v>
      </c>
      <c r="AC70" s="41">
        <f t="shared" si="320"/>
        <v>0</v>
      </c>
      <c r="AD70" s="41">
        <f t="shared" si="320"/>
        <v>0</v>
      </c>
      <c r="AE70" s="41">
        <f t="shared" si="320"/>
        <v>0</v>
      </c>
      <c r="AF70" s="23">
        <f t="shared" si="320"/>
        <v>0</v>
      </c>
      <c r="AG70" s="41">
        <f t="shared" si="320"/>
        <v>0</v>
      </c>
      <c r="AH70" s="41">
        <f t="shared" si="320"/>
        <v>0</v>
      </c>
      <c r="AI70" s="41">
        <f t="shared" si="320"/>
        <v>5.1817567216183892E-2</v>
      </c>
      <c r="AJ70" s="41">
        <f t="shared" si="320"/>
        <v>5.8540082035761221E-2</v>
      </c>
      <c r="AK70" s="23">
        <f t="shared" si="320"/>
        <v>3.1942890297981683E-2</v>
      </c>
      <c r="AL70" s="41">
        <f t="shared" si="320"/>
        <v>5.8801304852651171E-2</v>
      </c>
      <c r="AM70" s="41">
        <f t="shared" si="320"/>
        <v>6.5891404315528826E-2</v>
      </c>
      <c r="AN70" s="41">
        <f t="shared" si="320"/>
        <v>6.8692921344258751E-2</v>
      </c>
      <c r="AO70" s="41">
        <f t="shared" si="320"/>
        <v>7.0707070707070704E-2</v>
      </c>
      <c r="AP70" s="23">
        <f t="shared" si="320"/>
        <v>6.632299040913367E-2</v>
      </c>
      <c r="AQ70" s="41">
        <f t="shared" si="320"/>
        <v>6.7646250558208235E-2</v>
      </c>
      <c r="AR70" s="41">
        <f t="shared" si="320"/>
        <v>7.2232212085718533E-2</v>
      </c>
      <c r="AS70" s="41">
        <f t="shared" si="320"/>
        <v>7.5121360178126054E-2</v>
      </c>
      <c r="AT70" s="41">
        <f t="shared" si="320"/>
        <v>7.7457708908608341E-2</v>
      </c>
      <c r="AU70" s="23">
        <f t="shared" si="320"/>
        <v>7.3424607428650368E-2</v>
      </c>
      <c r="AV70" s="41">
        <f t="shared" si="320"/>
        <v>7.4663546852180462E-2</v>
      </c>
      <c r="AW70" s="41">
        <f t="shared" si="320"/>
        <v>7.9496662524277631E-2</v>
      </c>
      <c r="AX70" s="41">
        <f t="shared" si="320"/>
        <v>8.4286742659854766E-2</v>
      </c>
      <c r="AY70" s="41">
        <f t="shared" si="320"/>
        <v>8.6219779831843771E-2</v>
      </c>
      <c r="AZ70" s="23">
        <f t="shared" si="320"/>
        <v>8.1606165783727827E-2</v>
      </c>
      <c r="BA70" s="41">
        <f t="shared" si="320"/>
        <v>8.2504727414819318E-2</v>
      </c>
      <c r="BB70" s="41">
        <f t="shared" si="320"/>
        <v>8.6303952641288845E-2</v>
      </c>
      <c r="BC70" s="41">
        <f t="shared" si="320"/>
        <v>9.0201854264619796E-2</v>
      </c>
      <c r="BD70" s="41"/>
      <c r="BE70" s="41"/>
      <c r="BF70" s="41"/>
      <c r="BG70" s="41"/>
      <c r="BH70" s="41"/>
      <c r="BI70" s="41"/>
      <c r="BJ70" s="41"/>
      <c r="BK70" s="41"/>
      <c r="BL70" s="41"/>
      <c r="BM70" s="41"/>
    </row>
    <row r="71" spans="1:65" ht="16.5" x14ac:dyDescent="0.3">
      <c r="A71" s="4" t="s">
        <v>54</v>
      </c>
      <c r="B71" s="4"/>
      <c r="C71" s="4"/>
      <c r="D71" s="4"/>
      <c r="E71" s="23"/>
      <c r="F71" s="43"/>
      <c r="G71" s="43"/>
      <c r="H71" s="43"/>
      <c r="I71" s="43"/>
      <c r="J71" s="43"/>
      <c r="K71" s="23">
        <f t="shared" si="305"/>
        <v>5.2186811704948981E-2</v>
      </c>
      <c r="L71" s="23">
        <f t="shared" si="305"/>
        <v>7.3640730426331236E-2</v>
      </c>
      <c r="M71" s="41">
        <f t="shared" ref="M71:P71" si="321">M13/M$15</f>
        <v>8.809393023894535E-2</v>
      </c>
      <c r="N71" s="41">
        <f t="shared" si="321"/>
        <v>9.4921720826207076E-2</v>
      </c>
      <c r="O71" s="41">
        <f t="shared" si="321"/>
        <v>9.8765054716635076E-2</v>
      </c>
      <c r="P71" s="41">
        <f t="shared" si="321"/>
        <v>8.0839486980178774E-2</v>
      </c>
      <c r="Q71" s="23">
        <f t="shared" ref="Q71:U71" si="322">Q13/Q$15</f>
        <v>8.9854177237530058E-2</v>
      </c>
      <c r="R71" s="41">
        <f t="shared" si="322"/>
        <v>0.10250882007056056</v>
      </c>
      <c r="S71" s="41">
        <f t="shared" si="322"/>
        <v>0.10802265841127651</v>
      </c>
      <c r="T71" s="41">
        <f t="shared" si="322"/>
        <v>0.10479151426481347</v>
      </c>
      <c r="U71" s="41">
        <f t="shared" si="322"/>
        <v>8.4578101996592395E-2</v>
      </c>
      <c r="V71" s="23">
        <f t="shared" ref="V71:BC71" si="323">V13/V$15</f>
        <v>9.8152541801131185E-2</v>
      </c>
      <c r="W71" s="41">
        <f t="shared" si="323"/>
        <v>0.10661807922887034</v>
      </c>
      <c r="X71" s="41">
        <f t="shared" si="323"/>
        <v>0.11543697765003971</v>
      </c>
      <c r="Y71" s="41">
        <f t="shared" si="323"/>
        <v>0.11805359162895927</v>
      </c>
      <c r="Z71" s="41">
        <f t="shared" si="323"/>
        <v>0.10264841191992595</v>
      </c>
      <c r="AA71" s="23">
        <f t="shared" si="323"/>
        <v>0.1101650156513674</v>
      </c>
      <c r="AB71" s="41">
        <f t="shared" si="323"/>
        <v>0.12891122278056952</v>
      </c>
      <c r="AC71" s="41">
        <f t="shared" si="323"/>
        <v>0.13218408933190334</v>
      </c>
      <c r="AD71" s="41">
        <f t="shared" si="323"/>
        <v>0.12853488804103971</v>
      </c>
      <c r="AE71" s="41">
        <f t="shared" si="323"/>
        <v>0.11384196621567529</v>
      </c>
      <c r="AF71" s="23">
        <f t="shared" si="323"/>
        <v>0.12486008227518697</v>
      </c>
      <c r="AG71" s="41">
        <f t="shared" si="323"/>
        <v>0.13543709908286064</v>
      </c>
      <c r="AH71" s="41">
        <f t="shared" si="323"/>
        <v>0.1215583948173475</v>
      </c>
      <c r="AI71" s="41">
        <f t="shared" si="323"/>
        <v>0.12066150085807895</v>
      </c>
      <c r="AJ71" s="41">
        <f t="shared" si="323"/>
        <v>0.10148540480267612</v>
      </c>
      <c r="AK71" s="23">
        <f t="shared" si="323"/>
        <v>0.11751937502590244</v>
      </c>
      <c r="AL71" s="41">
        <f t="shared" si="323"/>
        <v>0.12443096997733095</v>
      </c>
      <c r="AM71" s="41">
        <f t="shared" si="323"/>
        <v>0.13096038203042093</v>
      </c>
      <c r="AN71" s="41">
        <f t="shared" si="323"/>
        <v>0.14538136663899218</v>
      </c>
      <c r="AO71" s="41">
        <f t="shared" si="323"/>
        <v>0.12939190172619566</v>
      </c>
      <c r="AP71" s="23">
        <f t="shared" si="323"/>
        <v>0.13239482186870771</v>
      </c>
      <c r="AQ71" s="41">
        <f t="shared" si="323"/>
        <v>0.15836797087011784</v>
      </c>
      <c r="AR71" s="41">
        <f t="shared" si="323"/>
        <v>0.16281736146625533</v>
      </c>
      <c r="AS71" s="41">
        <f t="shared" si="323"/>
        <v>0.16158802841834446</v>
      </c>
      <c r="AT71" s="41">
        <f t="shared" si="323"/>
        <v>0.14328034100962442</v>
      </c>
      <c r="AU71" s="23">
        <f t="shared" si="323"/>
        <v>0.15583394781539467</v>
      </c>
      <c r="AV71" s="41">
        <f t="shared" si="323"/>
        <v>0.16766909028094035</v>
      </c>
      <c r="AW71" s="41">
        <f t="shared" si="323"/>
        <v>0.16475298214803955</v>
      </c>
      <c r="AX71" s="41">
        <f t="shared" si="323"/>
        <v>0.16115820887177373</v>
      </c>
      <c r="AY71" s="41">
        <f t="shared" si="323"/>
        <v>0.14240914092056414</v>
      </c>
      <c r="AZ71" s="23">
        <f t="shared" si="323"/>
        <v>0.15789730072983812</v>
      </c>
      <c r="BA71" s="41">
        <f t="shared" si="323"/>
        <v>0.17470152742598369</v>
      </c>
      <c r="BB71" s="41">
        <f t="shared" si="323"/>
        <v>0.1776019246234212</v>
      </c>
      <c r="BC71" s="41">
        <f t="shared" si="323"/>
        <v>0.17278775404872951</v>
      </c>
      <c r="BD71" s="41"/>
      <c r="BE71" s="41"/>
      <c r="BF71" s="41"/>
      <c r="BG71" s="41"/>
      <c r="BH71" s="41"/>
      <c r="BI71" s="41"/>
      <c r="BJ71" s="41"/>
      <c r="BK71" s="41"/>
      <c r="BL71" s="41"/>
      <c r="BM71" s="41"/>
    </row>
    <row r="72" spans="1:65" ht="16.5" x14ac:dyDescent="0.3">
      <c r="A72" s="4" t="s">
        <v>105</v>
      </c>
      <c r="B72" s="4"/>
      <c r="C72" s="4"/>
      <c r="D72" s="4"/>
      <c r="E72" s="23"/>
      <c r="F72" s="43"/>
      <c r="G72" s="43"/>
      <c r="H72" s="43"/>
      <c r="I72" s="43"/>
      <c r="J72" s="43"/>
      <c r="K72" s="40">
        <f t="shared" si="305"/>
        <v>1.4855935631770576E-2</v>
      </c>
      <c r="L72" s="40">
        <f t="shared" si="305"/>
        <v>1.5980412313328224E-2</v>
      </c>
      <c r="M72" s="41">
        <f t="shared" ref="M72:P72" si="324">M14/M$15</f>
        <v>1.8710519088162594E-2</v>
      </c>
      <c r="N72" s="41">
        <f t="shared" si="324"/>
        <v>2.0589396132087882E-2</v>
      </c>
      <c r="O72" s="41">
        <f t="shared" si="324"/>
        <v>2.1672678364003179E-2</v>
      </c>
      <c r="P72" s="41">
        <f t="shared" si="324"/>
        <v>2.4485036921881073E-2</v>
      </c>
      <c r="Q72" s="40">
        <f t="shared" ref="Q72:U72" si="325">Q14/Q$15</f>
        <v>2.1700603734180472E-2</v>
      </c>
      <c r="R72" s="41">
        <f t="shared" si="325"/>
        <v>2.3800190401523213E-2</v>
      </c>
      <c r="S72" s="41">
        <f t="shared" si="325"/>
        <v>2.4897905414306417E-2</v>
      </c>
      <c r="T72" s="41">
        <f t="shared" si="325"/>
        <v>2.5672092172640819E-2</v>
      </c>
      <c r="U72" s="41">
        <f t="shared" si="325"/>
        <v>2.8699981804046117E-2</v>
      </c>
      <c r="V72" s="40">
        <f t="shared" ref="V72:BC72" si="326">V14/V$15</f>
        <v>2.6160143029021848E-2</v>
      </c>
      <c r="W72" s="41">
        <f t="shared" si="326"/>
        <v>3.9790760550135182E-2</v>
      </c>
      <c r="X72" s="41">
        <f t="shared" si="326"/>
        <v>4.1485459289793143E-2</v>
      </c>
      <c r="Y72" s="41">
        <f t="shared" si="326"/>
        <v>4.4099971719457016E-2</v>
      </c>
      <c r="Z72" s="41">
        <f t="shared" si="326"/>
        <v>4.680657060359477E-2</v>
      </c>
      <c r="AA72" s="40">
        <f t="shared" si="326"/>
        <v>4.3403023784066949E-2</v>
      </c>
      <c r="AB72" s="41">
        <f t="shared" si="326"/>
        <v>4.5494137353433835E-2</v>
      </c>
      <c r="AC72" s="41">
        <f t="shared" si="326"/>
        <v>4.7347170525518893E-2</v>
      </c>
      <c r="AD72" s="41">
        <f t="shared" si="326"/>
        <v>5.12424801017419E-2</v>
      </c>
      <c r="AE72" s="41">
        <f t="shared" si="326"/>
        <v>5.4690805951713807E-2</v>
      </c>
      <c r="AF72" s="40">
        <f t="shared" si="326"/>
        <v>5.0213530489587273E-2</v>
      </c>
      <c r="AG72" s="41">
        <f t="shared" si="326"/>
        <v>5.1768011450988707E-2</v>
      </c>
      <c r="AH72" s="41">
        <f t="shared" si="326"/>
        <v>4.7473906784236096E-2</v>
      </c>
      <c r="AI72" s="41">
        <f t="shared" si="326"/>
        <v>4.3267980654220191E-3</v>
      </c>
      <c r="AJ72" s="41">
        <f t="shared" si="326"/>
        <v>4.7947114810242527E-3</v>
      </c>
      <c r="AK72" s="40">
        <f t="shared" si="326"/>
        <v>2.3687782336607403E-2</v>
      </c>
      <c r="AL72" s="41">
        <f t="shared" si="326"/>
        <v>4.8286920142280544E-3</v>
      </c>
      <c r="AM72" s="41">
        <f t="shared" si="326"/>
        <v>4.0944464096215067E-3</v>
      </c>
      <c r="AN72" s="41">
        <f t="shared" si="326"/>
        <v>4.3226365375591087E-3</v>
      </c>
      <c r="AO72" s="41">
        <f t="shared" si="326"/>
        <v>5.1669432072890282E-3</v>
      </c>
      <c r="AP72" s="40">
        <f t="shared" si="326"/>
        <v>4.6315413071333399E-3</v>
      </c>
      <c r="AQ72" s="41">
        <f t="shared" si="326"/>
        <v>5.6765483837724574E-3</v>
      </c>
      <c r="AR72" s="41">
        <f t="shared" si="326"/>
        <v>8.8259069238002547E-3</v>
      </c>
      <c r="AS72" s="41">
        <f t="shared" si="326"/>
        <v>9.9369792527202773E-3</v>
      </c>
      <c r="AT72" s="41">
        <f t="shared" si="326"/>
        <v>8.3978981796734679E-3</v>
      </c>
      <c r="AU72" s="40">
        <f t="shared" si="326"/>
        <v>8.2629192016078351E-3</v>
      </c>
      <c r="AV72" s="41">
        <f t="shared" si="326"/>
        <v>8.063882912734183E-3</v>
      </c>
      <c r="AW72" s="41">
        <f t="shared" si="326"/>
        <v>1.0001265040965003E-2</v>
      </c>
      <c r="AX72" s="41">
        <f t="shared" si="326"/>
        <v>8.5684532753716371E-3</v>
      </c>
      <c r="AY72" s="41">
        <f t="shared" si="326"/>
        <v>8.0077194179841264E-3</v>
      </c>
      <c r="AZ72" s="40">
        <f t="shared" si="326"/>
        <v>8.6258340074984556E-3</v>
      </c>
      <c r="BA72" s="41">
        <f t="shared" si="326"/>
        <v>8.8059003719132244E-3</v>
      </c>
      <c r="BB72" s="41">
        <f t="shared" si="326"/>
        <v>8.5148367651729662E-3</v>
      </c>
      <c r="BC72" s="41">
        <f t="shared" si="326"/>
        <v>8.2642547379419302E-3</v>
      </c>
      <c r="BD72" s="41"/>
      <c r="BE72" s="41"/>
      <c r="BF72" s="41"/>
      <c r="BG72" s="41"/>
      <c r="BH72" s="41"/>
      <c r="BI72" s="41"/>
      <c r="BJ72" s="41"/>
      <c r="BK72" s="41"/>
      <c r="BL72" s="41"/>
      <c r="BM72" s="41"/>
    </row>
    <row r="73" spans="1:65" ht="16.5" x14ac:dyDescent="0.3">
      <c r="A73" s="58" t="s">
        <v>56</v>
      </c>
      <c r="B73" s="58"/>
      <c r="C73" s="7"/>
      <c r="D73" s="58"/>
      <c r="E73" s="59">
        <f>E15/E$15</f>
        <v>1</v>
      </c>
      <c r="F73" s="59">
        <f t="shared" ref="F73:L73" si="327">F15/F$15</f>
        <v>1</v>
      </c>
      <c r="G73" s="59">
        <f t="shared" si="327"/>
        <v>1</v>
      </c>
      <c r="H73" s="59">
        <f t="shared" si="327"/>
        <v>1</v>
      </c>
      <c r="I73" s="59">
        <f t="shared" si="327"/>
        <v>1</v>
      </c>
      <c r="J73" s="59">
        <f t="shared" si="327"/>
        <v>1</v>
      </c>
      <c r="K73" s="60">
        <f t="shared" si="327"/>
        <v>1</v>
      </c>
      <c r="L73" s="60">
        <f t="shared" si="327"/>
        <v>1</v>
      </c>
      <c r="M73" s="42">
        <f t="shared" ref="M73:P73" si="328">M15/M$15</f>
        <v>1</v>
      </c>
      <c r="N73" s="42">
        <f t="shared" si="328"/>
        <v>1</v>
      </c>
      <c r="O73" s="42">
        <f t="shared" si="328"/>
        <v>1</v>
      </c>
      <c r="P73" s="42">
        <f t="shared" si="328"/>
        <v>1</v>
      </c>
      <c r="Q73" s="60">
        <f t="shared" ref="Q73:U73" si="329">Q15/Q$15</f>
        <v>1</v>
      </c>
      <c r="R73" s="42">
        <f t="shared" si="329"/>
        <v>1</v>
      </c>
      <c r="S73" s="42">
        <f t="shared" si="329"/>
        <v>1</v>
      </c>
      <c r="T73" s="42">
        <f t="shared" si="329"/>
        <v>1</v>
      </c>
      <c r="U73" s="42">
        <f t="shared" si="329"/>
        <v>1</v>
      </c>
      <c r="V73" s="60">
        <f t="shared" ref="V73:BC73" si="330">V15/V$15</f>
        <v>1</v>
      </c>
      <c r="W73" s="42">
        <f t="shared" si="330"/>
        <v>1</v>
      </c>
      <c r="X73" s="42">
        <f t="shared" si="330"/>
        <v>1</v>
      </c>
      <c r="Y73" s="42">
        <f t="shared" si="330"/>
        <v>1</v>
      </c>
      <c r="Z73" s="42">
        <f t="shared" si="330"/>
        <v>1</v>
      </c>
      <c r="AA73" s="60">
        <f t="shared" si="330"/>
        <v>1</v>
      </c>
      <c r="AB73" s="42">
        <f t="shared" si="330"/>
        <v>1</v>
      </c>
      <c r="AC73" s="42">
        <f t="shared" si="330"/>
        <v>1</v>
      </c>
      <c r="AD73" s="42">
        <f t="shared" si="330"/>
        <v>1</v>
      </c>
      <c r="AE73" s="42">
        <f t="shared" si="330"/>
        <v>1</v>
      </c>
      <c r="AF73" s="60">
        <f t="shared" si="330"/>
        <v>1</v>
      </c>
      <c r="AG73" s="42">
        <f t="shared" si="330"/>
        <v>1</v>
      </c>
      <c r="AH73" s="42">
        <f t="shared" si="330"/>
        <v>1</v>
      </c>
      <c r="AI73" s="42">
        <f t="shared" si="330"/>
        <v>1</v>
      </c>
      <c r="AJ73" s="42">
        <f t="shared" si="330"/>
        <v>1</v>
      </c>
      <c r="AK73" s="60">
        <f t="shared" si="330"/>
        <v>1</v>
      </c>
      <c r="AL73" s="42">
        <f t="shared" si="330"/>
        <v>1</v>
      </c>
      <c r="AM73" s="42">
        <f t="shared" si="330"/>
        <v>1</v>
      </c>
      <c r="AN73" s="42">
        <f t="shared" si="330"/>
        <v>1</v>
      </c>
      <c r="AO73" s="42">
        <f t="shared" si="330"/>
        <v>1</v>
      </c>
      <c r="AP73" s="60">
        <f t="shared" si="330"/>
        <v>1</v>
      </c>
      <c r="AQ73" s="42">
        <f t="shared" si="330"/>
        <v>1</v>
      </c>
      <c r="AR73" s="42">
        <f t="shared" si="330"/>
        <v>1</v>
      </c>
      <c r="AS73" s="42">
        <f t="shared" si="330"/>
        <v>1</v>
      </c>
      <c r="AT73" s="42">
        <f t="shared" si="330"/>
        <v>1</v>
      </c>
      <c r="AU73" s="60">
        <f t="shared" si="330"/>
        <v>1</v>
      </c>
      <c r="AV73" s="42">
        <f t="shared" si="330"/>
        <v>1</v>
      </c>
      <c r="AW73" s="42">
        <f t="shared" si="330"/>
        <v>1</v>
      </c>
      <c r="AX73" s="42">
        <f t="shared" si="330"/>
        <v>1</v>
      </c>
      <c r="AY73" s="42">
        <f t="shared" si="330"/>
        <v>1</v>
      </c>
      <c r="AZ73" s="60">
        <f t="shared" si="330"/>
        <v>1</v>
      </c>
      <c r="BA73" s="42">
        <f t="shared" si="330"/>
        <v>1</v>
      </c>
      <c r="BB73" s="42">
        <f t="shared" si="330"/>
        <v>1</v>
      </c>
      <c r="BC73" s="42">
        <f t="shared" si="330"/>
        <v>1</v>
      </c>
      <c r="BD73" s="42"/>
      <c r="BE73" s="42"/>
      <c r="BF73" s="42"/>
      <c r="BG73" s="42"/>
      <c r="BH73" s="42"/>
      <c r="BI73" s="42"/>
      <c r="BJ73" s="42"/>
      <c r="BK73" s="42"/>
      <c r="BL73" s="42"/>
      <c r="BM73" s="42"/>
    </row>
    <row r="74" spans="1:65" ht="16.5" x14ac:dyDescent="0.3">
      <c r="A74" s="7" t="s">
        <v>59</v>
      </c>
      <c r="B74" s="17"/>
      <c r="C74" s="7"/>
      <c r="D74" s="4"/>
      <c r="E74" s="48">
        <f t="shared" ref="E74:L89" si="331">E16/E$15</f>
        <v>0.77720964207450693</v>
      </c>
      <c r="F74" s="48">
        <f t="shared" si="331"/>
        <v>0.77432779795177287</v>
      </c>
      <c r="G74" s="48">
        <f t="shared" si="331"/>
        <v>0.7765466027365221</v>
      </c>
      <c r="H74" s="48">
        <f t="shared" si="331"/>
        <v>0.77558915905734549</v>
      </c>
      <c r="I74" s="48">
        <f t="shared" si="331"/>
        <v>0.75247573371744714</v>
      </c>
      <c r="J74" s="48">
        <f t="shared" si="331"/>
        <v>0.72773061838499975</v>
      </c>
      <c r="K74" s="48">
        <f t="shared" si="331"/>
        <v>0.70517373128961214</v>
      </c>
      <c r="L74" s="48">
        <f t="shared" si="331"/>
        <v>0.66959796646916991</v>
      </c>
      <c r="M74" s="42">
        <f t="shared" ref="M74:P74" si="332">M16/M$15</f>
        <v>0.647692941499588</v>
      </c>
      <c r="N74" s="42">
        <f t="shared" si="332"/>
        <v>0.63083804762531248</v>
      </c>
      <c r="O74" s="42">
        <f t="shared" si="332"/>
        <v>0.64987467139451005</v>
      </c>
      <c r="P74" s="42">
        <f t="shared" si="332"/>
        <v>0.66203333257127184</v>
      </c>
      <c r="Q74" s="48">
        <f t="shared" ref="Q74:U74" si="333">Q16/Q$15</f>
        <v>0.64906204269525758</v>
      </c>
      <c r="R74" s="42">
        <f t="shared" si="333"/>
        <v>0.62832502660021283</v>
      </c>
      <c r="S74" s="42">
        <f t="shared" si="333"/>
        <v>0.61786325912264528</v>
      </c>
      <c r="T74" s="42">
        <f t="shared" si="333"/>
        <v>0.62977779809802492</v>
      </c>
      <c r="U74" s="42">
        <f t="shared" si="333"/>
        <v>0.6367591351959373</v>
      </c>
      <c r="V74" s="48">
        <f t="shared" ref="V74:BC74" si="334">V16/V$15</f>
        <v>0.6293164517108385</v>
      </c>
      <c r="W74" s="42">
        <f t="shared" si="334"/>
        <v>0.60215116962501469</v>
      </c>
      <c r="X74" s="42">
        <f t="shared" si="334"/>
        <v>0.5792081080058995</v>
      </c>
      <c r="Y74" s="42">
        <f t="shared" si="334"/>
        <v>0.5833392251131222</v>
      </c>
      <c r="Z74" s="42">
        <f t="shared" si="334"/>
        <v>0.61873644364008118</v>
      </c>
      <c r="AA74" s="48">
        <f t="shared" si="334"/>
        <v>0.59752583871147813</v>
      </c>
      <c r="AB74" s="42">
        <f t="shared" si="334"/>
        <v>0.5681742043551089</v>
      </c>
      <c r="AC74" s="42">
        <f t="shared" si="334"/>
        <v>0.57310264336634908</v>
      </c>
      <c r="AD74" s="42">
        <f t="shared" si="334"/>
        <v>0.59018876552207022</v>
      </c>
      <c r="AE74" s="42">
        <f t="shared" si="334"/>
        <v>0.61732447362100717</v>
      </c>
      <c r="AF74" s="48">
        <f t="shared" si="334"/>
        <v>0.59009988521399392</v>
      </c>
      <c r="AG74" s="42">
        <f t="shared" si="334"/>
        <v>0.58655834172719079</v>
      </c>
      <c r="AH74" s="42">
        <f t="shared" si="334"/>
        <v>0.59227100953752021</v>
      </c>
      <c r="AI74" s="42">
        <f t="shared" si="334"/>
        <v>0.59395704404805238</v>
      </c>
      <c r="AJ74" s="42">
        <f t="shared" si="334"/>
        <v>0.63146828083310103</v>
      </c>
      <c r="AK74" s="48">
        <f t="shared" si="334"/>
        <v>0.60432208131294296</v>
      </c>
      <c r="AL74" s="42">
        <f t="shared" si="334"/>
        <v>0.5750474575646437</v>
      </c>
      <c r="AM74" s="42">
        <f t="shared" si="334"/>
        <v>0.56752741422002118</v>
      </c>
      <c r="AN74" s="42">
        <f t="shared" si="334"/>
        <v>0.56789878352525003</v>
      </c>
      <c r="AO74" s="42">
        <f t="shared" si="334"/>
        <v>0.60282216982505166</v>
      </c>
      <c r="AP74" s="48">
        <f t="shared" si="334"/>
        <v>0.57967485558360399</v>
      </c>
      <c r="AQ74" s="42">
        <f t="shared" si="334"/>
        <v>0.57108137817319915</v>
      </c>
      <c r="AR74" s="42">
        <f t="shared" si="334"/>
        <v>0.54789910421168975</v>
      </c>
      <c r="AS74" s="42">
        <f t="shared" si="334"/>
        <v>0.55285166914501072</v>
      </c>
      <c r="AT74" s="42">
        <f t="shared" si="334"/>
        <v>0.57397924988606208</v>
      </c>
      <c r="AU74" s="48">
        <f t="shared" si="334"/>
        <v>0.56194660134673713</v>
      </c>
      <c r="AV74" s="42">
        <f t="shared" si="334"/>
        <v>0.53228693917932124</v>
      </c>
      <c r="AW74" s="42">
        <f t="shared" si="334"/>
        <v>0.51623345214796512</v>
      </c>
      <c r="AX74" s="42">
        <f t="shared" si="334"/>
        <v>0.52432504210842656</v>
      </c>
      <c r="AY74" s="42">
        <f t="shared" si="334"/>
        <v>0.54455433893657956</v>
      </c>
      <c r="AZ74" s="48">
        <f t="shared" si="334"/>
        <v>0.53017911044999433</v>
      </c>
      <c r="BA74" s="42">
        <f t="shared" si="334"/>
        <v>0.5068137573004543</v>
      </c>
      <c r="BB74" s="42">
        <f t="shared" si="334"/>
        <v>0.49862478628435503</v>
      </c>
      <c r="BC74" s="42">
        <f t="shared" si="334"/>
        <v>0.50968359170930977</v>
      </c>
      <c r="BD74" s="42"/>
      <c r="BE74" s="42"/>
      <c r="BF74" s="42"/>
      <c r="BG74" s="42"/>
      <c r="BH74" s="42"/>
      <c r="BI74" s="42"/>
      <c r="BJ74" s="42"/>
      <c r="BK74" s="42"/>
      <c r="BL74" s="42"/>
      <c r="BM74" s="42"/>
    </row>
    <row r="75" spans="1:65" ht="16.5" x14ac:dyDescent="0.3">
      <c r="A75" s="7" t="s">
        <v>125</v>
      </c>
      <c r="B75" s="4"/>
      <c r="C75" s="7"/>
      <c r="D75" s="7"/>
      <c r="E75" s="24">
        <f t="shared" si="331"/>
        <v>0.22279035792549307</v>
      </c>
      <c r="F75" s="24">
        <f t="shared" si="331"/>
        <v>0.22567220204822719</v>
      </c>
      <c r="G75" s="24">
        <f t="shared" si="331"/>
        <v>0.22345339726347796</v>
      </c>
      <c r="H75" s="24">
        <f t="shared" si="331"/>
        <v>0.22441084094265448</v>
      </c>
      <c r="I75" s="24">
        <f t="shared" si="331"/>
        <v>0.24752426628255284</v>
      </c>
      <c r="J75" s="24">
        <f t="shared" si="331"/>
        <v>0.27226938161500025</v>
      </c>
      <c r="K75" s="24">
        <f t="shared" si="331"/>
        <v>0.29482626871038792</v>
      </c>
      <c r="L75" s="24">
        <f t="shared" si="331"/>
        <v>0.33040203353083003</v>
      </c>
      <c r="M75" s="42">
        <f t="shared" ref="M75:P75" si="335">M17/M$15</f>
        <v>0.352307058500412</v>
      </c>
      <c r="N75" s="42">
        <f t="shared" si="335"/>
        <v>0.36916195237468752</v>
      </c>
      <c r="O75" s="42">
        <f t="shared" si="335"/>
        <v>0.35012532860549</v>
      </c>
      <c r="P75" s="42">
        <f t="shared" si="335"/>
        <v>0.33796666742872822</v>
      </c>
      <c r="Q75" s="24">
        <f t="shared" ref="Q75:U75" si="336">Q17/Q$15</f>
        <v>0.35093795730474237</v>
      </c>
      <c r="R75" s="42">
        <f t="shared" si="336"/>
        <v>0.37167497339978722</v>
      </c>
      <c r="S75" s="42">
        <f t="shared" si="336"/>
        <v>0.38213674087735477</v>
      </c>
      <c r="T75" s="42">
        <f t="shared" si="336"/>
        <v>0.37022220190197513</v>
      </c>
      <c r="U75" s="42">
        <f t="shared" si="336"/>
        <v>0.36324086480406265</v>
      </c>
      <c r="V75" s="24">
        <f t="shared" ref="V75:BC75" si="337">V17/V$15</f>
        <v>0.3706835482891615</v>
      </c>
      <c r="W75" s="42">
        <f t="shared" si="337"/>
        <v>0.39784883037498531</v>
      </c>
      <c r="X75" s="42">
        <f t="shared" si="337"/>
        <v>0.4207918919941005</v>
      </c>
      <c r="Y75" s="42">
        <f t="shared" si="337"/>
        <v>0.4166607748868778</v>
      </c>
      <c r="Z75" s="42">
        <f t="shared" si="337"/>
        <v>0.38126355635991876</v>
      </c>
      <c r="AA75" s="24">
        <f t="shared" si="337"/>
        <v>0.40247416128852193</v>
      </c>
      <c r="AB75" s="42">
        <f t="shared" si="337"/>
        <v>0.4318257956448911</v>
      </c>
      <c r="AC75" s="42">
        <f t="shared" si="337"/>
        <v>0.42689735663365086</v>
      </c>
      <c r="AD75" s="42">
        <f t="shared" si="337"/>
        <v>0.40981123447792972</v>
      </c>
      <c r="AE75" s="42">
        <f t="shared" si="337"/>
        <v>0.38267552637899288</v>
      </c>
      <c r="AF75" s="24">
        <f t="shared" si="337"/>
        <v>0.40990011478600608</v>
      </c>
      <c r="AG75" s="42">
        <f t="shared" si="337"/>
        <v>0.41344165827280921</v>
      </c>
      <c r="AH75" s="42">
        <f t="shared" si="337"/>
        <v>0.40772899046247973</v>
      </c>
      <c r="AI75" s="42">
        <f t="shared" si="337"/>
        <v>0.40604295595194756</v>
      </c>
      <c r="AJ75" s="42">
        <f t="shared" si="337"/>
        <v>0.36853171916689897</v>
      </c>
      <c r="AK75" s="24">
        <f t="shared" si="337"/>
        <v>0.3956779186870571</v>
      </c>
      <c r="AL75" s="42">
        <f t="shared" si="337"/>
        <v>0.42495254243535635</v>
      </c>
      <c r="AM75" s="42">
        <f t="shared" si="337"/>
        <v>0.43247258577997877</v>
      </c>
      <c r="AN75" s="42">
        <f t="shared" si="337"/>
        <v>0.43210121647475003</v>
      </c>
      <c r="AO75" s="42">
        <f t="shared" si="337"/>
        <v>0.39717783017494834</v>
      </c>
      <c r="AP75" s="24">
        <f t="shared" si="337"/>
        <v>0.42032514441639601</v>
      </c>
      <c r="AQ75" s="42">
        <f t="shared" si="337"/>
        <v>0.42891862182680085</v>
      </c>
      <c r="AR75" s="42">
        <f t="shared" si="337"/>
        <v>0.4521008957883102</v>
      </c>
      <c r="AS75" s="42">
        <f t="shared" si="337"/>
        <v>0.44714833085498934</v>
      </c>
      <c r="AT75" s="42">
        <f t="shared" si="337"/>
        <v>0.42602075011393797</v>
      </c>
      <c r="AU75" s="24">
        <f t="shared" si="337"/>
        <v>0.43805339865326287</v>
      </c>
      <c r="AV75" s="42">
        <f t="shared" si="337"/>
        <v>0.46771306082067871</v>
      </c>
      <c r="AW75" s="42">
        <f t="shared" si="337"/>
        <v>0.48376654785203488</v>
      </c>
      <c r="AX75" s="42">
        <f t="shared" si="337"/>
        <v>0.47567495789157344</v>
      </c>
      <c r="AY75" s="42">
        <f t="shared" si="337"/>
        <v>0.45544566106342044</v>
      </c>
      <c r="AZ75" s="24">
        <f t="shared" si="337"/>
        <v>0.46982088955000567</v>
      </c>
      <c r="BA75" s="42">
        <f t="shared" si="337"/>
        <v>0.49318624269954575</v>
      </c>
      <c r="BB75" s="42">
        <f t="shared" si="337"/>
        <v>0.50137521371564497</v>
      </c>
      <c r="BC75" s="42">
        <f t="shared" si="337"/>
        <v>0.49031640829069029</v>
      </c>
      <c r="BD75" s="42"/>
      <c r="BE75" s="42"/>
      <c r="BF75" s="42"/>
      <c r="BG75" s="42"/>
      <c r="BH75" s="42"/>
      <c r="BI75" s="42"/>
      <c r="BJ75" s="42"/>
      <c r="BK75" s="42"/>
      <c r="BL75" s="42"/>
      <c r="BM75" s="42"/>
    </row>
    <row r="76" spans="1:65" ht="16.5" x14ac:dyDescent="0.3">
      <c r="A76" s="4" t="s">
        <v>126</v>
      </c>
      <c r="B76" s="4"/>
      <c r="C76" s="4"/>
      <c r="D76" s="4"/>
      <c r="E76" s="23">
        <f t="shared" si="331"/>
        <v>8.6507356777627054E-2</v>
      </c>
      <c r="F76" s="23">
        <f t="shared" si="331"/>
        <v>8.3724346158553994E-2</v>
      </c>
      <c r="G76" s="23">
        <f t="shared" si="331"/>
        <v>8.4726932522511983E-2</v>
      </c>
      <c r="H76" s="23">
        <f t="shared" si="331"/>
        <v>9.5180647710963656E-2</v>
      </c>
      <c r="I76" s="23">
        <f t="shared" si="331"/>
        <v>0.10506932054408852</v>
      </c>
      <c r="J76" s="23">
        <f t="shared" si="331"/>
        <v>0.11530919249986568</v>
      </c>
      <c r="K76" s="23">
        <f t="shared" si="331"/>
        <v>0.12098260439609836</v>
      </c>
      <c r="L76" s="23">
        <f t="shared" si="331"/>
        <v>0.1253200755097845</v>
      </c>
      <c r="M76" s="41">
        <f t="shared" ref="M76:P76" si="338">M18/M$15</f>
        <v>0.12657923647349628</v>
      </c>
      <c r="N76" s="41">
        <f t="shared" si="338"/>
        <v>0.12754900670964348</v>
      </c>
      <c r="O76" s="41">
        <f t="shared" si="338"/>
        <v>0.13251207434126061</v>
      </c>
      <c r="P76" s="41">
        <f t="shared" si="338"/>
        <v>0.13074689650442375</v>
      </c>
      <c r="Q76" s="23">
        <f t="shared" ref="Q76:U76" si="339">Q18/Q$15</f>
        <v>0.12956385536852788</v>
      </c>
      <c r="R76" s="41">
        <f t="shared" si="339"/>
        <v>0.1315170521364171</v>
      </c>
      <c r="S76" s="41">
        <f t="shared" si="339"/>
        <v>0.13589777367935713</v>
      </c>
      <c r="T76" s="41">
        <f t="shared" si="339"/>
        <v>0.1467629846378932</v>
      </c>
      <c r="U76" s="41">
        <f t="shared" si="339"/>
        <v>0.14844590012075495</v>
      </c>
      <c r="V76" s="23">
        <f t="shared" ref="V76:BC76" si="340">V18/V$15</f>
        <v>0.14195517974205302</v>
      </c>
      <c r="W76" s="41">
        <f t="shared" si="340"/>
        <v>0.15265859488264566</v>
      </c>
      <c r="X76" s="41">
        <f t="shared" si="340"/>
        <v>0.1499829822637371</v>
      </c>
      <c r="Y76" s="41">
        <f t="shared" si="340"/>
        <v>0.14626343325791855</v>
      </c>
      <c r="Z76" s="41">
        <f t="shared" si="340"/>
        <v>0.13854081759529172</v>
      </c>
      <c r="AA76" s="23">
        <f t="shared" si="340"/>
        <v>0.14610948657503425</v>
      </c>
      <c r="AB76" s="41">
        <f t="shared" si="340"/>
        <v>0.14407035175879396</v>
      </c>
      <c r="AC76" s="41">
        <f t="shared" si="340"/>
        <v>0.14622105860828971</v>
      </c>
      <c r="AD76" s="41">
        <f t="shared" si="340"/>
        <v>0.14528229090753206</v>
      </c>
      <c r="AE76" s="41">
        <f t="shared" si="340"/>
        <v>0.13943753788441965</v>
      </c>
      <c r="AF76" s="23">
        <f t="shared" si="340"/>
        <v>0.14341477673765338</v>
      </c>
      <c r="AG76" s="41">
        <f t="shared" si="340"/>
        <v>0.15282563749138525</v>
      </c>
      <c r="AH76" s="41">
        <f t="shared" si="340"/>
        <v>0.15527712794673384</v>
      </c>
      <c r="AI76" s="41">
        <f t="shared" si="340"/>
        <v>0.15294607103853555</v>
      </c>
      <c r="AJ76" s="41">
        <f t="shared" si="340"/>
        <v>0.1471387041535582</v>
      </c>
      <c r="AK76" s="23">
        <f t="shared" si="340"/>
        <v>0.15157072402503211</v>
      </c>
      <c r="AL76" s="41">
        <f t="shared" si="340"/>
        <v>0.15232495991448422</v>
      </c>
      <c r="AM76" s="41">
        <f t="shared" si="340"/>
        <v>0.15597806862398303</v>
      </c>
      <c r="AN76" s="41">
        <f t="shared" si="340"/>
        <v>0.16693137927300292</v>
      </c>
      <c r="AO76" s="41">
        <f t="shared" si="340"/>
        <v>0.16334090181352429</v>
      </c>
      <c r="AP76" s="23">
        <f t="shared" si="340"/>
        <v>0.15987118525739535</v>
      </c>
      <c r="AQ76" s="41">
        <f t="shared" si="340"/>
        <v>0.17408367970870117</v>
      </c>
      <c r="AR76" s="41">
        <f t="shared" si="340"/>
        <v>0.1677912136859297</v>
      </c>
      <c r="AS76" s="41">
        <f t="shared" si="340"/>
        <v>0.16194207756036538</v>
      </c>
      <c r="AT76" s="41">
        <f t="shared" si="340"/>
        <v>0.15484169325219163</v>
      </c>
      <c r="AU76" s="23">
        <f t="shared" si="340"/>
        <v>0.16401126107283703</v>
      </c>
      <c r="AV76" s="41">
        <f t="shared" si="340"/>
        <v>0.16414359521977417</v>
      </c>
      <c r="AW76" s="41">
        <f t="shared" si="340"/>
        <v>0.15853939858464242</v>
      </c>
      <c r="AX76" s="41">
        <f t="shared" si="340"/>
        <v>0.15595144077213924</v>
      </c>
      <c r="AY76" s="41">
        <f t="shared" si="340"/>
        <v>0.15353522278640394</v>
      </c>
      <c r="AZ76" s="23">
        <f t="shared" si="340"/>
        <v>0.1576572109571405</v>
      </c>
      <c r="BA76" s="41">
        <f t="shared" si="340"/>
        <v>0.15572209080823093</v>
      </c>
      <c r="BB76" s="41">
        <f t="shared" si="340"/>
        <v>0.1592544787365604</v>
      </c>
      <c r="BC76" s="41">
        <f t="shared" si="340"/>
        <v>0.15521441114824674</v>
      </c>
      <c r="BD76" s="41"/>
      <c r="BE76" s="41"/>
      <c r="BF76" s="41"/>
      <c r="BG76" s="41"/>
      <c r="BH76" s="41"/>
      <c r="BI76" s="41"/>
      <c r="BJ76" s="41"/>
      <c r="BK76" s="41"/>
      <c r="BL76" s="41"/>
      <c r="BM76" s="41"/>
    </row>
    <row r="77" spans="1:65" ht="16.5" x14ac:dyDescent="0.3">
      <c r="A77" s="4" t="s">
        <v>127</v>
      </c>
      <c r="B77" s="4"/>
      <c r="C77" s="4"/>
      <c r="D77" s="4"/>
      <c r="E77" s="23">
        <f t="shared" si="331"/>
        <v>2.5148700824376501E-2</v>
      </c>
      <c r="F77" s="23">
        <f t="shared" si="331"/>
        <v>2.7744910033049085E-2</v>
      </c>
      <c r="G77" s="23">
        <f t="shared" si="331"/>
        <v>3.0084200678283241E-2</v>
      </c>
      <c r="H77" s="23">
        <f t="shared" si="331"/>
        <v>3.3903945753686791E-2</v>
      </c>
      <c r="I77" s="23">
        <f t="shared" si="331"/>
        <v>3.9415317630497763E-2</v>
      </c>
      <c r="J77" s="23">
        <f t="shared" si="331"/>
        <v>4.2080803739321979E-2</v>
      </c>
      <c r="K77" s="23">
        <f t="shared" si="331"/>
        <v>4.8680720996089361E-2</v>
      </c>
      <c r="L77" s="23">
        <f t="shared" si="331"/>
        <v>4.9100050464459935E-2</v>
      </c>
      <c r="M77" s="41">
        <f t="shared" ref="M77:P77" si="341">M19/M$15</f>
        <v>4.9299642955232079E-2</v>
      </c>
      <c r="N77" s="41">
        <f t="shared" si="341"/>
        <v>5.0848572556242602E-2</v>
      </c>
      <c r="O77" s="41">
        <f t="shared" si="341"/>
        <v>5.3127101546738401E-2</v>
      </c>
      <c r="P77" s="41">
        <f t="shared" si="341"/>
        <v>5.7451818659838595E-2</v>
      </c>
      <c r="Q77" s="23">
        <f t="shared" ref="Q77:U77" si="342">Q19/Q$15</f>
        <v>5.3188907763242074E-2</v>
      </c>
      <c r="R77" s="41">
        <f t="shared" si="342"/>
        <v>5.3760430083440669E-2</v>
      </c>
      <c r="S77" s="41">
        <f t="shared" si="342"/>
        <v>5.8727440389935451E-2</v>
      </c>
      <c r="T77" s="41">
        <f t="shared" si="342"/>
        <v>5.6670629114850039E-2</v>
      </c>
      <c r="U77" s="41">
        <f t="shared" si="342"/>
        <v>5.6903710320414205E-2</v>
      </c>
      <c r="V77" s="23">
        <f t="shared" ref="V77:BC77" si="343">V19/V$15</f>
        <v>5.6604410061506974E-2</v>
      </c>
      <c r="W77" s="41">
        <f t="shared" si="343"/>
        <v>5.2878022021080676E-2</v>
      </c>
      <c r="X77" s="41">
        <f t="shared" si="343"/>
        <v>5.4853836554097493E-2</v>
      </c>
      <c r="Y77" s="41">
        <f t="shared" si="343"/>
        <v>5.8381645927601811E-2</v>
      </c>
      <c r="Z77" s="41">
        <f t="shared" si="343"/>
        <v>0.10595029219568131</v>
      </c>
      <c r="AA77" s="23">
        <f t="shared" si="343"/>
        <v>7.1158974094732638E-2</v>
      </c>
      <c r="AB77" s="41">
        <f t="shared" si="343"/>
        <v>0.13278056951423786</v>
      </c>
      <c r="AC77" s="41">
        <f t="shared" si="343"/>
        <v>0.14297205223645196</v>
      </c>
      <c r="AD77" s="41">
        <f t="shared" si="343"/>
        <v>0.13146425458338692</v>
      </c>
      <c r="AE77" s="41">
        <f t="shared" si="343"/>
        <v>0.11139448974690348</v>
      </c>
      <c r="AF77" s="23">
        <f t="shared" si="343"/>
        <v>0.12808977548997941</v>
      </c>
      <c r="AG77" s="41">
        <f t="shared" si="343"/>
        <v>0.12358850660022266</v>
      </c>
      <c r="AH77" s="41">
        <f t="shared" si="343"/>
        <v>0.11683462299802051</v>
      </c>
      <c r="AI77" s="41">
        <f t="shared" si="343"/>
        <v>0.11416090280305788</v>
      </c>
      <c r="AJ77" s="41">
        <f t="shared" si="343"/>
        <v>9.5965911353590061E-2</v>
      </c>
      <c r="AK77" s="23">
        <f t="shared" si="343"/>
        <v>0.11070185254258361</v>
      </c>
      <c r="AL77" s="41">
        <f t="shared" si="343"/>
        <v>0.11507768296503806</v>
      </c>
      <c r="AM77" s="41">
        <f t="shared" si="343"/>
        <v>0.12266536964980544</v>
      </c>
      <c r="AN77" s="41">
        <f t="shared" si="343"/>
        <v>0.12976933906075155</v>
      </c>
      <c r="AO77" s="41">
        <f t="shared" si="343"/>
        <v>0.11143859342706605</v>
      </c>
      <c r="AP77" s="23">
        <f t="shared" si="343"/>
        <v>0.11930475797216818</v>
      </c>
      <c r="AQ77" s="41">
        <f t="shared" si="343"/>
        <v>0.12746041015423723</v>
      </c>
      <c r="AR77" s="41">
        <f t="shared" si="343"/>
        <v>0.14906709338964316</v>
      </c>
      <c r="AS77" s="41">
        <f t="shared" si="343"/>
        <v>0.15330327849505512</v>
      </c>
      <c r="AT77" s="41">
        <f t="shared" si="343"/>
        <v>0.13950028149379373</v>
      </c>
      <c r="AU77" s="23">
        <f t="shared" si="343"/>
        <v>0.14244245432241923</v>
      </c>
      <c r="AV77" s="41">
        <f t="shared" si="343"/>
        <v>0.16057098886603119</v>
      </c>
      <c r="AW77" s="41">
        <f t="shared" si="343"/>
        <v>0.16319772590282997</v>
      </c>
      <c r="AX77" s="41">
        <f t="shared" si="343"/>
        <v>0.14818671680073803</v>
      </c>
      <c r="AY77" s="41">
        <f t="shared" si="343"/>
        <v>0.12966504080347843</v>
      </c>
      <c r="AZ77" s="23">
        <f t="shared" si="343"/>
        <v>0.14896352549214054</v>
      </c>
      <c r="BA77" s="41">
        <f t="shared" si="343"/>
        <v>0.14251324025036111</v>
      </c>
      <c r="BB77" s="41">
        <f t="shared" si="343"/>
        <v>0.15072612635747448</v>
      </c>
      <c r="BC77" s="41">
        <f t="shared" si="343"/>
        <v>0.14001397307350968</v>
      </c>
      <c r="BD77" s="41"/>
      <c r="BE77" s="41"/>
      <c r="BF77" s="41"/>
      <c r="BG77" s="41"/>
      <c r="BH77" s="41"/>
      <c r="BI77" s="41"/>
      <c r="BJ77" s="41"/>
      <c r="BK77" s="41"/>
      <c r="BL77" s="41"/>
      <c r="BM77" s="41"/>
    </row>
    <row r="78" spans="1:65" ht="16.5" x14ac:dyDescent="0.3">
      <c r="A78" s="4" t="s">
        <v>128</v>
      </c>
      <c r="B78" s="4"/>
      <c r="C78" s="4"/>
      <c r="D78" s="4"/>
      <c r="E78" s="23">
        <f t="shared" si="331"/>
        <v>5.389752687049984E-2</v>
      </c>
      <c r="F78" s="23">
        <f t="shared" si="331"/>
        <v>5.0593659472030685E-2</v>
      </c>
      <c r="G78" s="23">
        <f t="shared" si="331"/>
        <v>5.0695825049701791E-2</v>
      </c>
      <c r="H78" s="23">
        <f t="shared" si="331"/>
        <v>6.0507103188634899E-2</v>
      </c>
      <c r="I78" s="23">
        <f t="shared" si="331"/>
        <v>7.4705776439199248E-2</v>
      </c>
      <c r="J78" s="23">
        <f t="shared" si="331"/>
        <v>8.8177617794014937E-2</v>
      </c>
      <c r="K78" s="23">
        <f t="shared" si="331"/>
        <v>0.10422753629702881</v>
      </c>
      <c r="L78" s="23">
        <f t="shared" si="331"/>
        <v>0.11718969029774032</v>
      </c>
      <c r="M78" s="41">
        <f t="shared" ref="M78:P78" si="344">M20/M$15</f>
        <v>0.12105190881625927</v>
      </c>
      <c r="N78" s="41">
        <f t="shared" si="344"/>
        <v>0.12761478752795685</v>
      </c>
      <c r="O78" s="41">
        <f t="shared" si="344"/>
        <v>0.1263984838295531</v>
      </c>
      <c r="P78" s="41">
        <f t="shared" si="344"/>
        <v>0.10390708945840287</v>
      </c>
      <c r="Q78" s="23">
        <f t="shared" ref="Q78:U78" si="345">Q20/Q$15</f>
        <v>0.1182907189657835</v>
      </c>
      <c r="R78" s="41">
        <f t="shared" si="345"/>
        <v>0.13476507812062496</v>
      </c>
      <c r="S78" s="41">
        <f t="shared" si="345"/>
        <v>0.14619944671321303</v>
      </c>
      <c r="T78" s="41">
        <f t="shared" si="345"/>
        <v>0.13588149231894661</v>
      </c>
      <c r="U78" s="41">
        <f t="shared" si="345"/>
        <v>0.10444477527996957</v>
      </c>
      <c r="V78" s="23">
        <f t="shared" ref="V78:BC78" si="346">V20/V$15</f>
        <v>0.12717438970910686</v>
      </c>
      <c r="W78" s="41">
        <f t="shared" si="346"/>
        <v>0.13242035970377336</v>
      </c>
      <c r="X78" s="41">
        <f t="shared" si="346"/>
        <v>0.13703059410808152</v>
      </c>
      <c r="Y78" s="41">
        <f t="shared" si="346"/>
        <v>0.12659078054298642</v>
      </c>
      <c r="Z78" s="41">
        <f t="shared" si="346"/>
        <v>6.784742273738309E-2</v>
      </c>
      <c r="AA78" s="23">
        <f t="shared" si="346"/>
        <v>0.11198134717695707</v>
      </c>
      <c r="AB78" s="41">
        <f t="shared" si="346"/>
        <v>6.137353433835846E-2</v>
      </c>
      <c r="AC78" s="41">
        <f t="shared" si="346"/>
        <v>6.767711816289193E-2</v>
      </c>
      <c r="AD78" s="41">
        <f t="shared" si="346"/>
        <v>6.7904145410897246E-2</v>
      </c>
      <c r="AE78" s="41">
        <f t="shared" si="346"/>
        <v>7.0587966192801679E-2</v>
      </c>
      <c r="AF78" s="23">
        <f t="shared" si="346"/>
        <v>6.7299534439366607E-2</v>
      </c>
      <c r="AG78" s="41">
        <f t="shared" si="346"/>
        <v>6.3987700789906163E-2</v>
      </c>
      <c r="AH78" s="41">
        <f t="shared" si="346"/>
        <v>4.8868544178513586E-2</v>
      </c>
      <c r="AI78" s="41">
        <f t="shared" si="346"/>
        <v>5.6518799729575124E-2</v>
      </c>
      <c r="AJ78" s="41">
        <f t="shared" si="346"/>
        <v>5.8962207797379637E-2</v>
      </c>
      <c r="AK78" s="23">
        <f t="shared" si="346"/>
        <v>5.7011272742343237E-2</v>
      </c>
      <c r="AL78" s="41">
        <f t="shared" si="346"/>
        <v>5.7197884221972389E-2</v>
      </c>
      <c r="AM78" s="41">
        <f t="shared" si="346"/>
        <v>6.6536964980544747E-2</v>
      </c>
      <c r="AN78" s="41">
        <f t="shared" si="346"/>
        <v>7.2284590116593869E-2</v>
      </c>
      <c r="AO78" s="41">
        <f t="shared" si="346"/>
        <v>7.8668529677175206E-2</v>
      </c>
      <c r="AP78" s="23">
        <f t="shared" si="346"/>
        <v>6.9283686161993263E-2</v>
      </c>
      <c r="AQ78" s="41">
        <f t="shared" si="346"/>
        <v>7.1450654391810656E-2</v>
      </c>
      <c r="AR78" s="41">
        <f t="shared" si="346"/>
        <v>8.3194483395747074E-2</v>
      </c>
      <c r="AS78" s="41">
        <f t="shared" si="346"/>
        <v>8.6655494449296225E-2</v>
      </c>
      <c r="AT78" s="41">
        <f t="shared" si="346"/>
        <v>8.5909224953754595E-2</v>
      </c>
      <c r="AU78" s="23">
        <f t="shared" si="346"/>
        <v>8.2177815219569517E-2</v>
      </c>
      <c r="AV78" s="41">
        <f t="shared" si="346"/>
        <v>7.9869344681920251E-2</v>
      </c>
      <c r="AW78" s="41">
        <f t="shared" si="346"/>
        <v>7.9958030405631667E-2</v>
      </c>
      <c r="AX78" s="41">
        <f t="shared" si="346"/>
        <v>7.3740416401668965E-2</v>
      </c>
      <c r="AY78" s="41">
        <f t="shared" si="346"/>
        <v>7.5911532645724603E-2</v>
      </c>
      <c r="AZ78" s="23">
        <f t="shared" si="346"/>
        <v>7.7194081265168718E-2</v>
      </c>
      <c r="BA78" s="41">
        <f t="shared" si="346"/>
        <v>6.7418866397326138E-2</v>
      </c>
      <c r="BB78" s="41">
        <f t="shared" si="346"/>
        <v>7.1038066726585886E-2</v>
      </c>
      <c r="BC78" s="41">
        <f t="shared" si="346"/>
        <v>6.6774926515480532E-2</v>
      </c>
      <c r="BD78" s="41"/>
      <c r="BE78" s="41"/>
      <c r="BF78" s="41"/>
      <c r="BG78" s="41"/>
      <c r="BH78" s="41"/>
      <c r="BI78" s="41"/>
      <c r="BJ78" s="41"/>
      <c r="BK78" s="41"/>
      <c r="BL78" s="41"/>
      <c r="BM78" s="41"/>
    </row>
    <row r="79" spans="1:65" ht="16.5" x14ac:dyDescent="0.3">
      <c r="A79" s="4" t="s">
        <v>129</v>
      </c>
      <c r="B79" s="4"/>
      <c r="C79" s="4"/>
      <c r="D79" s="4"/>
      <c r="E79" s="23">
        <f t="shared" si="331"/>
        <v>1.4557028070541584E-2</v>
      </c>
      <c r="F79" s="23">
        <f t="shared" si="331"/>
        <v>1.3382838957117794E-2</v>
      </c>
      <c r="G79" s="23">
        <f t="shared" si="331"/>
        <v>1.3741082914279031E-2</v>
      </c>
      <c r="H79" s="23">
        <f t="shared" si="331"/>
        <v>1.3686378101795037E-2</v>
      </c>
      <c r="I79" s="23">
        <f t="shared" si="331"/>
        <v>1.4666164699720098E-2</v>
      </c>
      <c r="J79" s="23">
        <f t="shared" si="331"/>
        <v>1.5164132595497771E-2</v>
      </c>
      <c r="K79" s="23">
        <f t="shared" si="331"/>
        <v>1.7440553782532477E-2</v>
      </c>
      <c r="L79" s="23">
        <f t="shared" si="331"/>
        <v>1.6326187316599069E-2</v>
      </c>
      <c r="M79" s="41">
        <f t="shared" ref="M79:P79" si="347">M21/M$15</f>
        <v>1.7062620159296896E-2</v>
      </c>
      <c r="N79" s="41">
        <f t="shared" si="347"/>
        <v>1.9076437310880146E-2</v>
      </c>
      <c r="O79" s="41">
        <f t="shared" si="347"/>
        <v>1.9532921684905544E-2</v>
      </c>
      <c r="P79" s="41">
        <f t="shared" si="347"/>
        <v>1.6391943485517022E-2</v>
      </c>
      <c r="Q79" s="23">
        <f t="shared" ref="Q79:U79" si="348">Q21/Q$15</f>
        <v>1.7891416091244016E-2</v>
      </c>
      <c r="R79" s="41">
        <f t="shared" si="348"/>
        <v>2.226017808142465E-2</v>
      </c>
      <c r="S79" s="41">
        <f t="shared" si="348"/>
        <v>2.3027269134501382E-2</v>
      </c>
      <c r="T79" s="41">
        <f t="shared" si="348"/>
        <v>2.1945866861741038E-2</v>
      </c>
      <c r="U79" s="41">
        <f t="shared" si="348"/>
        <v>1.7269614411195473E-2</v>
      </c>
      <c r="V79" s="23">
        <f t="shared" ref="V79:BC79" si="349">V21/V$15</f>
        <v>2.0650377250289544E-2</v>
      </c>
      <c r="W79" s="41">
        <f t="shared" si="349"/>
        <v>2.090435327769288E-2</v>
      </c>
      <c r="X79" s="41">
        <f t="shared" si="349"/>
        <v>2.1007449986763984E-2</v>
      </c>
      <c r="Y79" s="41">
        <f t="shared" si="349"/>
        <v>1.8400028280542987E-2</v>
      </c>
      <c r="Z79" s="41">
        <f t="shared" si="349"/>
        <v>1.5431800284597213E-2</v>
      </c>
      <c r="AA79" s="23">
        <f t="shared" si="349"/>
        <v>1.8618471619283171E-2</v>
      </c>
      <c r="AB79" s="41">
        <f t="shared" si="349"/>
        <v>1.9648241206030152E-2</v>
      </c>
      <c r="AC79" s="41">
        <f t="shared" si="349"/>
        <v>2.0030282001135574E-2</v>
      </c>
      <c r="AD79" s="41">
        <f t="shared" si="349"/>
        <v>1.9262371215044084E-2</v>
      </c>
      <c r="AE79" s="41">
        <f t="shared" si="349"/>
        <v>1.6148769971522352E-2</v>
      </c>
      <c r="AF79" s="23">
        <f t="shared" si="349"/>
        <v>1.8547564896870834E-2</v>
      </c>
      <c r="AG79" s="41">
        <f t="shared" si="349"/>
        <v>1.924402268992207E-2</v>
      </c>
      <c r="AH79" s="41">
        <f t="shared" si="349"/>
        <v>1.7770379701277667E-2</v>
      </c>
      <c r="AI79" s="41">
        <f t="shared" si="349"/>
        <v>1.7348796089240209E-2</v>
      </c>
      <c r="AJ79" s="41">
        <f t="shared" si="349"/>
        <v>1.5674405638963003E-2</v>
      </c>
      <c r="AK79" s="23">
        <f t="shared" si="349"/>
        <v>1.7271747689502258E-2</v>
      </c>
      <c r="AL79" s="41">
        <f t="shared" si="349"/>
        <v>1.8310326397464015E-2</v>
      </c>
      <c r="AM79" s="41">
        <f t="shared" si="349"/>
        <v>1.9083834453484258E-2</v>
      </c>
      <c r="AN79" s="41">
        <f t="shared" si="349"/>
        <v>1.9429303685521423E-2</v>
      </c>
      <c r="AO79" s="41">
        <f t="shared" si="349"/>
        <v>1.8375396617471545E-2</v>
      </c>
      <c r="AP79" s="23">
        <f t="shared" si="349"/>
        <v>1.8779452643767215E-2</v>
      </c>
      <c r="AQ79" s="41">
        <f t="shared" si="349"/>
        <v>2.2276802583215967E-2</v>
      </c>
      <c r="AR79" s="41">
        <f t="shared" si="349"/>
        <v>2.3945427850273027E-2</v>
      </c>
      <c r="AS79" s="41">
        <f t="shared" si="349"/>
        <v>2.4083209416133625E-2</v>
      </c>
      <c r="AT79" s="41">
        <f t="shared" si="349"/>
        <v>2.2338543202595106E-2</v>
      </c>
      <c r="AU79" s="23">
        <f t="shared" si="349"/>
        <v>2.3135006410717866E-2</v>
      </c>
      <c r="AV79" s="41">
        <f t="shared" si="349"/>
        <v>2.3893277218549287E-2</v>
      </c>
      <c r="AW79" s="41">
        <f t="shared" si="349"/>
        <v>2.3827418646703825E-2</v>
      </c>
      <c r="AX79" s="41">
        <f t="shared" si="349"/>
        <v>1.7898702151897851E-2</v>
      </c>
      <c r="AY79" s="41">
        <f t="shared" si="349"/>
        <v>1.7709945222727567E-2</v>
      </c>
      <c r="AZ79" s="23">
        <f t="shared" si="349"/>
        <v>2.0557251841993092E-2</v>
      </c>
      <c r="BA79" s="41">
        <f t="shared" si="349"/>
        <v>1.9132946766866929E-2</v>
      </c>
      <c r="BB79" s="41">
        <f t="shared" si="349"/>
        <v>2.0550490954675388E-2</v>
      </c>
      <c r="BC79" s="41">
        <f t="shared" si="349"/>
        <v>1.7076102897209792E-2</v>
      </c>
      <c r="BD79" s="41"/>
      <c r="BE79" s="41"/>
      <c r="BF79" s="41"/>
      <c r="BG79" s="41"/>
      <c r="BH79" s="41"/>
      <c r="BI79" s="41"/>
      <c r="BJ79" s="41"/>
      <c r="BK79" s="41"/>
      <c r="BL79" s="41"/>
      <c r="BM79" s="41"/>
    </row>
    <row r="80" spans="1:65" ht="16.5" x14ac:dyDescent="0.3">
      <c r="A80" s="4" t="s">
        <v>130</v>
      </c>
      <c r="B80" s="4"/>
      <c r="C80" s="17"/>
      <c r="D80" s="17"/>
      <c r="E80" s="40">
        <f t="shared" si="331"/>
        <v>-1.2522174684336846E-3</v>
      </c>
      <c r="F80" s="40">
        <f t="shared" si="331"/>
        <v>4.1617365049573625E-3</v>
      </c>
      <c r="G80" s="40">
        <f t="shared" si="331"/>
        <v>3.0990527423693137E-3</v>
      </c>
      <c r="H80" s="40">
        <f t="shared" si="331"/>
        <v>3.2031948748882E-3</v>
      </c>
      <c r="I80" s="40">
        <f t="shared" si="331"/>
        <v>2.6025894947047943E-3</v>
      </c>
      <c r="J80" s="40">
        <f t="shared" si="331"/>
        <v>1.5311878794391017E-3</v>
      </c>
      <c r="K80" s="40">
        <f t="shared" si="331"/>
        <v>1.4945835393536206E-3</v>
      </c>
      <c r="L80" s="40">
        <f t="shared" si="331"/>
        <v>1.5980412313328224E-3</v>
      </c>
      <c r="M80" s="41">
        <f t="shared" ref="M80:P80" si="350">M22/M$15</f>
        <v>1.5449052458115903E-3</v>
      </c>
      <c r="N80" s="41">
        <f t="shared" si="350"/>
        <v>1.8089725036179449E-3</v>
      </c>
      <c r="O80" s="41">
        <f t="shared" si="350"/>
        <v>9.7817448187320416E-4</v>
      </c>
      <c r="P80" s="41">
        <f t="shared" si="350"/>
        <v>7.7730275942479595E-4</v>
      </c>
      <c r="Q80" s="40">
        <f t="shared" ref="Q80:U80" si="351">Q22/Q$15</f>
        <v>1.2207049203232661E-3</v>
      </c>
      <c r="R80" s="41">
        <f t="shared" si="351"/>
        <v>1.2320098560788487E-3</v>
      </c>
      <c r="S80" s="41">
        <f t="shared" si="351"/>
        <v>1.7389013305229878E-3</v>
      </c>
      <c r="T80" s="41">
        <f t="shared" si="351"/>
        <v>1.0287125091441112E-3</v>
      </c>
      <c r="U80" s="41">
        <f t="shared" si="351"/>
        <v>9.9250657535606183E-4</v>
      </c>
      <c r="V80" s="40">
        <f t="shared" ref="V80:BC80" si="352">V22/V$15</f>
        <v>1.208775145334128E-3</v>
      </c>
      <c r="W80" s="41">
        <f t="shared" si="352"/>
        <v>1.2342776536969555E-3</v>
      </c>
      <c r="X80" s="41">
        <f t="shared" si="352"/>
        <v>1.5126876678137882E-3</v>
      </c>
      <c r="Y80" s="41">
        <f t="shared" si="352"/>
        <v>1.201923076923077E-3</v>
      </c>
      <c r="Z80" s="41">
        <f t="shared" si="352"/>
        <v>1.1881242833261954E-3</v>
      </c>
      <c r="AA80" s="40">
        <f t="shared" si="352"/>
        <v>1.2752966030735936E-3</v>
      </c>
      <c r="AB80" s="41">
        <f t="shared" si="352"/>
        <v>-8.3752093802345063E-5</v>
      </c>
      <c r="AC80" s="41">
        <f t="shared" si="352"/>
        <v>1.3563813008642988E-3</v>
      </c>
      <c r="AD80" s="41">
        <f t="shared" si="352"/>
        <v>7.8592760892242178E-4</v>
      </c>
      <c r="AE80" s="41">
        <f t="shared" si="352"/>
        <v>7.4339238537461259E-4</v>
      </c>
      <c r="AF80" s="40">
        <f t="shared" si="352"/>
        <v>7.1652134235461028E-4</v>
      </c>
      <c r="AG80" s="41">
        <f t="shared" si="352"/>
        <v>9.2774214069872238E-4</v>
      </c>
      <c r="AH80" s="41">
        <f t="shared" si="352"/>
        <v>3.2616519704876733E-3</v>
      </c>
      <c r="AI80" s="41">
        <f t="shared" si="352"/>
        <v>6.4485932705808939E-4</v>
      </c>
      <c r="AJ80" s="41">
        <f t="shared" si="352"/>
        <v>-3.9504599577874239E-3</v>
      </c>
      <c r="AK80" s="40">
        <f t="shared" si="352"/>
        <v>-1.9167806374072692E-4</v>
      </c>
      <c r="AL80" s="41">
        <f t="shared" si="352"/>
        <v>3.5017232164249247E-4</v>
      </c>
      <c r="AM80" s="41">
        <f t="shared" si="352"/>
        <v>9.7276264591439695E-5</v>
      </c>
      <c r="AN80" s="41">
        <f t="shared" si="352"/>
        <v>-9.926722737609645E-5</v>
      </c>
      <c r="AO80" s="41">
        <f t="shared" si="352"/>
        <v>1.7465723517596715E-4</v>
      </c>
      <c r="AP80" s="40">
        <f t="shared" si="352"/>
        <v>1.3196487180251244E-4</v>
      </c>
      <c r="AQ80" s="41">
        <f t="shared" si="352"/>
        <v>2.1383669403318333E-3</v>
      </c>
      <c r="AR80" s="41">
        <f t="shared" si="352"/>
        <v>7.4236600293646992E-4</v>
      </c>
      <c r="AS80" s="41">
        <f t="shared" si="352"/>
        <v>1.2981801874100125E-3</v>
      </c>
      <c r="AT80" s="41">
        <f t="shared" si="352"/>
        <v>5.0869949867295783E-3</v>
      </c>
      <c r="AU80" s="40">
        <f t="shared" si="352"/>
        <v>2.4572797154769712E-3</v>
      </c>
      <c r="AV80" s="41">
        <f t="shared" si="352"/>
        <v>1.7509697074388731E-3</v>
      </c>
      <c r="AW80" s="41">
        <f t="shared" si="352"/>
        <v>1.0864469464143529E-3</v>
      </c>
      <c r="AX80" s="41">
        <f t="shared" si="352"/>
        <v>1.7053039145111578E-3</v>
      </c>
      <c r="AY80" s="41">
        <f t="shared" si="352"/>
        <v>9.0609022069768942E-4</v>
      </c>
      <c r="AZ80" s="40">
        <f t="shared" si="352"/>
        <v>1.334411997529511E-3</v>
      </c>
      <c r="BA80" s="41">
        <f t="shared" si="352"/>
        <v>1.5909233635469217E-3</v>
      </c>
      <c r="BB80" s="41">
        <f t="shared" si="352"/>
        <v>6.5550727477918871E-4</v>
      </c>
      <c r="BC80" s="41">
        <f t="shared" si="352"/>
        <v>1.649074441234414E-3</v>
      </c>
      <c r="BD80" s="41"/>
      <c r="BE80" s="41"/>
      <c r="BF80" s="41"/>
      <c r="BG80" s="41"/>
      <c r="BH80" s="41"/>
      <c r="BI80" s="41"/>
      <c r="BJ80" s="41"/>
      <c r="BK80" s="41"/>
      <c r="BL80" s="41"/>
      <c r="BM80" s="41"/>
    </row>
    <row r="81" spans="1:65" ht="16.5" x14ac:dyDescent="0.3">
      <c r="A81" s="7" t="s">
        <v>107</v>
      </c>
      <c r="B81" s="7"/>
      <c r="C81" s="4"/>
      <c r="D81" s="4"/>
      <c r="E81" s="23">
        <f t="shared" si="331"/>
        <v>0.17885839507461129</v>
      </c>
      <c r="F81" s="23">
        <f t="shared" si="331"/>
        <v>0.17960749112570892</v>
      </c>
      <c r="G81" s="23">
        <f t="shared" si="331"/>
        <v>0.18234709390714537</v>
      </c>
      <c r="H81" s="23">
        <f t="shared" si="331"/>
        <v>0.2064812696299686</v>
      </c>
      <c r="I81" s="23">
        <f t="shared" si="331"/>
        <v>0.23645916880821044</v>
      </c>
      <c r="J81" s="23">
        <f t="shared" si="331"/>
        <v>0.26226293450813948</v>
      </c>
      <c r="K81" s="23">
        <f t="shared" si="331"/>
        <v>0.29282599901110262</v>
      </c>
      <c r="L81" s="23">
        <f t="shared" si="331"/>
        <v>0.30953404481991664</v>
      </c>
      <c r="M81" s="42">
        <f t="shared" ref="M81:P81" si="353">M23/M$15</f>
        <v>0.3155383136500961</v>
      </c>
      <c r="N81" s="42">
        <f t="shared" si="353"/>
        <v>0.32689777660834102</v>
      </c>
      <c r="O81" s="42">
        <f t="shared" si="353"/>
        <v>0.33254875588433086</v>
      </c>
      <c r="P81" s="42">
        <f t="shared" si="353"/>
        <v>0.30927505086760704</v>
      </c>
      <c r="Q81" s="23">
        <f t="shared" ref="Q81:U81" si="354">Q23/Q$15</f>
        <v>0.32015560310912072</v>
      </c>
      <c r="R81" s="42">
        <f t="shared" si="354"/>
        <v>0.34353474827798625</v>
      </c>
      <c r="S81" s="42">
        <f t="shared" si="354"/>
        <v>0.36559083124752995</v>
      </c>
      <c r="T81" s="42">
        <f t="shared" si="354"/>
        <v>0.362289685442575</v>
      </c>
      <c r="U81" s="42">
        <f t="shared" si="354"/>
        <v>0.32805650670769027</v>
      </c>
      <c r="V81" s="23">
        <f t="shared" ref="V81:BC81" si="355">V23/V$15</f>
        <v>0.3475931319082905</v>
      </c>
      <c r="W81" s="42">
        <f t="shared" si="355"/>
        <v>0.36009560753888953</v>
      </c>
      <c r="X81" s="42">
        <f t="shared" si="355"/>
        <v>0.36438755058049388</v>
      </c>
      <c r="Y81" s="42">
        <f t="shared" si="355"/>
        <v>0.35083781108597284</v>
      </c>
      <c r="Z81" s="42">
        <f t="shared" si="355"/>
        <v>0.32895845709627952</v>
      </c>
      <c r="AA81" s="23">
        <f t="shared" si="355"/>
        <v>0.3491435760690807</v>
      </c>
      <c r="AB81" s="42">
        <f t="shared" si="355"/>
        <v>0.35778894472361811</v>
      </c>
      <c r="AC81" s="42">
        <f t="shared" si="355"/>
        <v>0.37825689230963344</v>
      </c>
      <c r="AD81" s="42">
        <f t="shared" si="355"/>
        <v>0.36469898972578269</v>
      </c>
      <c r="AE81" s="42">
        <f t="shared" si="355"/>
        <v>0.33831215618102178</v>
      </c>
      <c r="AF81" s="23">
        <f t="shared" si="355"/>
        <v>0.35806817290622484</v>
      </c>
      <c r="AG81" s="42">
        <f t="shared" si="355"/>
        <v>0.36057360971213487</v>
      </c>
      <c r="AH81" s="42">
        <f t="shared" si="355"/>
        <v>0.34201232679503329</v>
      </c>
      <c r="AI81" s="42">
        <f t="shared" si="355"/>
        <v>0.34161942898746683</v>
      </c>
      <c r="AJ81" s="42">
        <f t="shared" si="355"/>
        <v>0.31379076898570346</v>
      </c>
      <c r="AK81" s="23">
        <f t="shared" si="355"/>
        <v>0.33636391893572049</v>
      </c>
      <c r="AL81" s="42">
        <f t="shared" si="355"/>
        <v>0.3432610258206012</v>
      </c>
      <c r="AM81" s="42">
        <f t="shared" si="355"/>
        <v>0.3643615139724089</v>
      </c>
      <c r="AN81" s="42">
        <f t="shared" si="355"/>
        <v>0.38831534490849368</v>
      </c>
      <c r="AO81" s="42">
        <f t="shared" si="355"/>
        <v>0.37199807877041308</v>
      </c>
      <c r="AP81" s="23">
        <f t="shared" si="355"/>
        <v>0.36737104690712652</v>
      </c>
      <c r="AQ81" s="42">
        <f t="shared" si="355"/>
        <v>0.39740991377829687</v>
      </c>
      <c r="AR81" s="42">
        <f t="shared" si="355"/>
        <v>0.42474058432452944</v>
      </c>
      <c r="AS81" s="42">
        <f t="shared" si="355"/>
        <v>0.42728224010826038</v>
      </c>
      <c r="AT81" s="42">
        <f t="shared" si="355"/>
        <v>0.40767673788906461</v>
      </c>
      <c r="AU81" s="23">
        <f t="shared" si="355"/>
        <v>0.4142238167410206</v>
      </c>
      <c r="AV81" s="42">
        <f t="shared" si="355"/>
        <v>0.4302281756937138</v>
      </c>
      <c r="AW81" s="42">
        <f t="shared" si="355"/>
        <v>0.42660902048622223</v>
      </c>
      <c r="AX81" s="42">
        <f t="shared" si="355"/>
        <v>0.39748258004095527</v>
      </c>
      <c r="AY81" s="42">
        <f t="shared" si="355"/>
        <v>0.37772783167903223</v>
      </c>
      <c r="AZ81" s="23">
        <f t="shared" si="355"/>
        <v>0.40570648155397238</v>
      </c>
      <c r="BA81" s="42">
        <f t="shared" si="355"/>
        <v>0.38637806758633203</v>
      </c>
      <c r="BB81" s="42">
        <f t="shared" si="355"/>
        <v>0.40222467005007534</v>
      </c>
      <c r="BC81" s="42">
        <f t="shared" si="355"/>
        <v>0.38072848807568116</v>
      </c>
      <c r="BD81" s="42"/>
      <c r="BE81" s="42"/>
      <c r="BF81" s="42"/>
      <c r="BG81" s="42"/>
      <c r="BH81" s="42"/>
      <c r="BI81" s="42"/>
      <c r="BJ81" s="42"/>
      <c r="BK81" s="42"/>
      <c r="BL81" s="42"/>
      <c r="BM81" s="42"/>
    </row>
    <row r="82" spans="1:65" ht="16.5" x14ac:dyDescent="0.3">
      <c r="A82" s="9" t="s">
        <v>108</v>
      </c>
      <c r="B82" s="9"/>
      <c r="C82" s="9"/>
      <c r="D82" s="9"/>
      <c r="E82" s="26">
        <f t="shared" si="331"/>
        <v>4.3931962850881773E-2</v>
      </c>
      <c r="F82" s="26">
        <f t="shared" si="331"/>
        <v>4.6064710922518258E-2</v>
      </c>
      <c r="G82" s="26">
        <f t="shared" si="331"/>
        <v>4.1106303356332592E-2</v>
      </c>
      <c r="H82" s="26">
        <f t="shared" si="331"/>
        <v>1.79295713126859E-2</v>
      </c>
      <c r="I82" s="26">
        <f t="shared" si="331"/>
        <v>1.1065097474342396E-2</v>
      </c>
      <c r="J82" s="26">
        <f t="shared" si="331"/>
        <v>1.0006447106860796E-2</v>
      </c>
      <c r="K82" s="26">
        <f t="shared" si="331"/>
        <v>2.000269699285297E-3</v>
      </c>
      <c r="L82" s="26">
        <f t="shared" si="331"/>
        <v>2.0867988710913405E-2</v>
      </c>
      <c r="M82" s="49">
        <f t="shared" ref="M82:P82" si="356">M24/M$15</f>
        <v>3.6768744850315845E-2</v>
      </c>
      <c r="N82" s="49">
        <f t="shared" si="356"/>
        <v>4.2264175766346536E-2</v>
      </c>
      <c r="O82" s="49">
        <f t="shared" si="356"/>
        <v>1.7576572721159138E-2</v>
      </c>
      <c r="P82" s="49">
        <f t="shared" si="356"/>
        <v>2.8691616561121146E-2</v>
      </c>
      <c r="Q82" s="26">
        <f t="shared" ref="Q82:U82" si="357">Q24/Q$15</f>
        <v>3.0782354195621642E-2</v>
      </c>
      <c r="R82" s="49">
        <f t="shared" si="357"/>
        <v>2.8140225121800973E-2</v>
      </c>
      <c r="S82" s="49">
        <f t="shared" si="357"/>
        <v>1.6545909629824794E-2</v>
      </c>
      <c r="T82" s="49">
        <f t="shared" si="357"/>
        <v>7.932516459400147E-3</v>
      </c>
      <c r="U82" s="49">
        <f t="shared" si="357"/>
        <v>3.5184358096372388E-2</v>
      </c>
      <c r="V82" s="26">
        <f t="shared" ref="V82:BC82" si="358">V24/V$15</f>
        <v>2.3090416380870993E-2</v>
      </c>
      <c r="W82" s="49">
        <f t="shared" si="358"/>
        <v>3.7753222836095765E-2</v>
      </c>
      <c r="X82" s="49">
        <f t="shared" si="358"/>
        <v>5.6404341413606625E-2</v>
      </c>
      <c r="Y82" s="49">
        <f t="shared" si="358"/>
        <v>6.5822963800904979E-2</v>
      </c>
      <c r="Z82" s="49">
        <f t="shared" si="358"/>
        <v>5.230509926363925E-2</v>
      </c>
      <c r="AA82" s="26">
        <f t="shared" si="358"/>
        <v>5.3330585219441187E-2</v>
      </c>
      <c r="AB82" s="49">
        <f t="shared" si="358"/>
        <v>7.4036850921273031E-2</v>
      </c>
      <c r="AC82" s="49">
        <f t="shared" si="358"/>
        <v>4.8640464324017411E-2</v>
      </c>
      <c r="AD82" s="49">
        <f t="shared" si="358"/>
        <v>4.5112244752147014E-2</v>
      </c>
      <c r="AE82" s="49">
        <f t="shared" si="358"/>
        <v>4.4363370197971111E-2</v>
      </c>
      <c r="AF82" s="26">
        <f t="shared" si="358"/>
        <v>5.1831941879781268E-2</v>
      </c>
      <c r="AG82" s="49">
        <f t="shared" si="358"/>
        <v>5.2868048560674334E-2</v>
      </c>
      <c r="AH82" s="49">
        <f t="shared" si="358"/>
        <v>6.5716663667446468E-2</v>
      </c>
      <c r="AI82" s="49">
        <f t="shared" si="358"/>
        <v>6.4423526964480726E-2</v>
      </c>
      <c r="AJ82" s="49">
        <f t="shared" si="358"/>
        <v>5.4740950181195493E-2</v>
      </c>
      <c r="AK82" s="26">
        <f t="shared" si="358"/>
        <v>5.9313999751336569E-2</v>
      </c>
      <c r="AL82" s="49">
        <f t="shared" si="358"/>
        <v>8.1691516614755155E-2</v>
      </c>
      <c r="AM82" s="49">
        <f t="shared" si="358"/>
        <v>6.8111071807569867E-2</v>
      </c>
      <c r="AN82" s="49">
        <f t="shared" si="358"/>
        <v>4.3785871566256365E-2</v>
      </c>
      <c r="AO82" s="49">
        <f t="shared" si="358"/>
        <v>2.5179751404535267E-2</v>
      </c>
      <c r="AP82" s="26">
        <f t="shared" si="358"/>
        <v>5.2954097509269465E-2</v>
      </c>
      <c r="AQ82" s="49">
        <f t="shared" si="358"/>
        <v>3.1508708048504003E-2</v>
      </c>
      <c r="AR82" s="49">
        <f t="shared" si="358"/>
        <v>2.7360311463780786E-2</v>
      </c>
      <c r="AS82" s="49">
        <f t="shared" si="358"/>
        <v>1.986609074672898E-2</v>
      </c>
      <c r="AT82" s="49">
        <f t="shared" si="358"/>
        <v>1.8344012224873328E-2</v>
      </c>
      <c r="AU82" s="26">
        <f t="shared" si="358"/>
        <v>2.3829581912242232E-2</v>
      </c>
      <c r="AV82" s="49">
        <f t="shared" si="358"/>
        <v>3.7484885126964934E-2</v>
      </c>
      <c r="AW82" s="49">
        <f t="shared" si="358"/>
        <v>5.7157527365812637E-2</v>
      </c>
      <c r="AX82" s="49">
        <f t="shared" si="358"/>
        <v>7.8192377850618167E-2</v>
      </c>
      <c r="AY82" s="49">
        <f t="shared" si="358"/>
        <v>7.771782938438819E-2</v>
      </c>
      <c r="AZ82" s="26">
        <f t="shared" si="358"/>
        <v>6.4114407996033296E-2</v>
      </c>
      <c r="BA82" s="49">
        <f t="shared" si="358"/>
        <v>0.10680817511321374</v>
      </c>
      <c r="BB82" s="49">
        <f t="shared" si="358"/>
        <v>9.9150543665569649E-2</v>
      </c>
      <c r="BC82" s="49">
        <f t="shared" si="358"/>
        <v>0.1095879202150091</v>
      </c>
      <c r="BD82" s="49"/>
      <c r="BE82" s="49"/>
      <c r="BF82" s="49"/>
      <c r="BG82" s="49"/>
      <c r="BH82" s="49"/>
      <c r="BI82" s="49"/>
      <c r="BJ82" s="49"/>
      <c r="BK82" s="49"/>
      <c r="BL82" s="49"/>
      <c r="BM82" s="49"/>
    </row>
    <row r="83" spans="1:65" ht="16.5" x14ac:dyDescent="0.3">
      <c r="A83" s="4" t="s">
        <v>131</v>
      </c>
      <c r="B83" s="4"/>
      <c r="C83" s="4"/>
      <c r="D83" s="4"/>
      <c r="E83" s="23">
        <f t="shared" si="331"/>
        <v>4.3305854116664931E-3</v>
      </c>
      <c r="F83" s="23">
        <f t="shared" si="331"/>
        <v>1.5096495165041414E-3</v>
      </c>
      <c r="G83" s="23">
        <f t="shared" si="331"/>
        <v>1.4910536779324055E-3</v>
      </c>
      <c r="H83" s="23">
        <f t="shared" si="331"/>
        <v>1.2687979699232482E-3</v>
      </c>
      <c r="I83" s="23">
        <f t="shared" si="331"/>
        <v>6.547394955232187E-4</v>
      </c>
      <c r="J83" s="23">
        <f t="shared" si="331"/>
        <v>5.1039595981303392E-4</v>
      </c>
      <c r="K83" s="23">
        <f t="shared" si="331"/>
        <v>4.3826133860745269E-4</v>
      </c>
      <c r="L83" s="23">
        <f t="shared" si="331"/>
        <v>4.6726351793357384E-4</v>
      </c>
      <c r="M83" s="41">
        <f t="shared" ref="M83:P83" si="359">M25/M$15</f>
        <v>7.209557813787421E-4</v>
      </c>
      <c r="N83" s="41">
        <f t="shared" si="359"/>
        <v>7.8936981976055777E-4</v>
      </c>
      <c r="O83" s="41">
        <f t="shared" si="359"/>
        <v>7.947667665219784E-4</v>
      </c>
      <c r="P83" s="41">
        <f t="shared" si="359"/>
        <v>6.8585537596305526E-4</v>
      </c>
      <c r="Q83" s="23">
        <f t="shared" ref="Q83:U83" si="360">Q25/Q$15</f>
        <v>7.4271805393162583E-4</v>
      </c>
      <c r="R83" s="41">
        <f t="shared" si="360"/>
        <v>1.0920087360698886E-3</v>
      </c>
      <c r="S83" s="41">
        <f t="shared" si="360"/>
        <v>1.1592675536819918E-3</v>
      </c>
      <c r="T83" s="41">
        <f t="shared" si="360"/>
        <v>1.2344550109729335E-3</v>
      </c>
      <c r="U83" s="41">
        <f t="shared" si="360"/>
        <v>1.0917572328916678E-3</v>
      </c>
      <c r="V83" s="23">
        <f t="shared" ref="V83:BC83" si="361">V25/V$15</f>
        <v>1.1413086255945488E-3</v>
      </c>
      <c r="W83" s="41">
        <f t="shared" si="361"/>
        <v>1.5673367031072451E-3</v>
      </c>
      <c r="X83" s="41">
        <f t="shared" si="361"/>
        <v>1.777408009681201E-3</v>
      </c>
      <c r="Y83" s="41">
        <f t="shared" si="361"/>
        <v>2.068014705882353E-3</v>
      </c>
      <c r="Z83" s="41">
        <f t="shared" si="361"/>
        <v>2.0723097964991779E-3</v>
      </c>
      <c r="AA83" s="23">
        <f t="shared" si="361"/>
        <v>1.8936222288062452E-3</v>
      </c>
      <c r="AB83" s="41">
        <f t="shared" si="361"/>
        <v>3.065326633165829E-3</v>
      </c>
      <c r="AC83" s="41">
        <f t="shared" si="361"/>
        <v>3.3909532521607471E-3</v>
      </c>
      <c r="AD83" s="41">
        <f t="shared" si="361"/>
        <v>3.2008688072476814E-3</v>
      </c>
      <c r="AE83" s="41">
        <f t="shared" si="361"/>
        <v>2.4131660509852807E-3</v>
      </c>
      <c r="AF83" s="23">
        <f t="shared" si="361"/>
        <v>2.9694640705541812E-3</v>
      </c>
      <c r="AG83" s="41">
        <f t="shared" si="361"/>
        <v>2.6771987488734559E-3</v>
      </c>
      <c r="AH83" s="41">
        <f t="shared" si="361"/>
        <v>1.5183552276408134E-3</v>
      </c>
      <c r="AI83" s="41">
        <f t="shared" si="361"/>
        <v>1.2273129127879764E-3</v>
      </c>
      <c r="AJ83" s="41">
        <f t="shared" si="361"/>
        <v>7.9646370116681934E-4</v>
      </c>
      <c r="AK83" s="23">
        <f t="shared" si="361"/>
        <v>1.4375854780554519E-3</v>
      </c>
      <c r="AL83" s="41">
        <f t="shared" si="361"/>
        <v>9.6758141506478193E-4</v>
      </c>
      <c r="AM83" s="41">
        <f t="shared" si="361"/>
        <v>9.3738945879023698E-4</v>
      </c>
      <c r="AN83" s="41">
        <f t="shared" si="361"/>
        <v>1.0738909143414071E-3</v>
      </c>
      <c r="AO83" s="41">
        <f t="shared" si="361"/>
        <v>8.5873140628183852E-4</v>
      </c>
      <c r="AP83" s="23">
        <f t="shared" si="361"/>
        <v>9.5355262205686412E-4</v>
      </c>
      <c r="AQ83" s="41">
        <f t="shared" si="361"/>
        <v>9.2748445604754219E-4</v>
      </c>
      <c r="AR83" s="41">
        <f t="shared" si="361"/>
        <v>1.3115132718544303E-3</v>
      </c>
      <c r="AS83" s="41">
        <f t="shared" si="361"/>
        <v>2.1793691631065057E-3</v>
      </c>
      <c r="AT83" s="41">
        <f t="shared" si="361"/>
        <v>2.9824937669231388E-3</v>
      </c>
      <c r="AU83" s="23">
        <f t="shared" si="361"/>
        <v>1.9241881540829171E-3</v>
      </c>
      <c r="AV83" s="41">
        <f t="shared" si="361"/>
        <v>4.7974999607405897E-3</v>
      </c>
      <c r="AW83" s="41">
        <f t="shared" si="361"/>
        <v>4.9187769286293649E-3</v>
      </c>
      <c r="AX83" s="41">
        <f t="shared" si="361"/>
        <v>5.4234255641830266E-3</v>
      </c>
      <c r="AY83" s="41">
        <f t="shared" si="361"/>
        <v>5.3012161613546641E-3</v>
      </c>
      <c r="AZ83" s="23">
        <f t="shared" si="361"/>
        <v>5.1306140556903884E-3</v>
      </c>
      <c r="BA83" s="41">
        <f t="shared" si="361"/>
        <v>6.9288899122898831E-3</v>
      </c>
      <c r="BB83" s="41">
        <f t="shared" si="361"/>
        <v>7.9742122086540468E-3</v>
      </c>
      <c r="BC83" s="41">
        <f t="shared" si="361"/>
        <v>7.9054866343145954E-3</v>
      </c>
      <c r="BD83" s="41"/>
      <c r="BE83" s="41"/>
      <c r="BF83" s="41"/>
      <c r="BG83" s="41"/>
      <c r="BH83" s="41"/>
      <c r="BI83" s="41"/>
      <c r="BJ83" s="41"/>
      <c r="BK83" s="41"/>
      <c r="BL83" s="41"/>
      <c r="BM83" s="41"/>
    </row>
    <row r="84" spans="1:65" ht="16.5" x14ac:dyDescent="0.3">
      <c r="A84" s="4" t="s">
        <v>132</v>
      </c>
      <c r="B84" s="4"/>
      <c r="C84" s="4"/>
      <c r="D84" s="4"/>
      <c r="E84" s="23">
        <f t="shared" si="331"/>
        <v>-3.7044766774496506E-3</v>
      </c>
      <c r="F84" s="23">
        <f t="shared" si="331"/>
        <v>-1.3872455016524542E-3</v>
      </c>
      <c r="G84" s="23">
        <f t="shared" si="331"/>
        <v>-1.1402175184188983E-3</v>
      </c>
      <c r="H84" s="23">
        <f t="shared" si="331"/>
        <v>-1.3519978368034611E-3</v>
      </c>
      <c r="I84" s="23">
        <f t="shared" si="331"/>
        <v>-1.5059008397034031E-3</v>
      </c>
      <c r="J84" s="23">
        <f t="shared" si="331"/>
        <v>-1.893837640358889E-3</v>
      </c>
      <c r="K84" s="23">
        <f t="shared" si="331"/>
        <v>-2.3598687463478223E-3</v>
      </c>
      <c r="L84" s="23">
        <f t="shared" si="331"/>
        <v>-4.2894790946302079E-3</v>
      </c>
      <c r="M84" s="41">
        <f t="shared" ref="M84:P84" si="362">M26/M$15</f>
        <v>-4.0167536391101342E-3</v>
      </c>
      <c r="N84" s="41">
        <f t="shared" si="362"/>
        <v>-3.8152874621760293E-3</v>
      </c>
      <c r="O84" s="41">
        <f t="shared" si="362"/>
        <v>-3.6070184019074401E-3</v>
      </c>
      <c r="P84" s="41">
        <f t="shared" si="362"/>
        <v>-3.0406255001028783E-3</v>
      </c>
      <c r="Q84" s="23">
        <f t="shared" ref="Q84:U84" si="363">Q26/Q$15</f>
        <v>-3.5591637435931378E-3</v>
      </c>
      <c r="R84" s="41">
        <f t="shared" si="363"/>
        <v>-3.8920311362490899E-3</v>
      </c>
      <c r="S84" s="41">
        <f t="shared" si="363"/>
        <v>-3.7676195494664735E-3</v>
      </c>
      <c r="T84" s="41">
        <f t="shared" si="363"/>
        <v>-5.2121433796634966E-3</v>
      </c>
      <c r="U84" s="41">
        <f t="shared" si="363"/>
        <v>-5.6076621507617488E-3</v>
      </c>
      <c r="V84" s="23">
        <f t="shared" ref="V84:BC84" si="364">V26/V$15</f>
        <v>-4.7732562715752311E-3</v>
      </c>
      <c r="W84" s="41">
        <f t="shared" si="364"/>
        <v>-6.4652639003173855E-3</v>
      </c>
      <c r="X84" s="41">
        <f t="shared" si="364"/>
        <v>-6.4856483757516166E-3</v>
      </c>
      <c r="Y84" s="41">
        <f t="shared" si="364"/>
        <v>-6.3277714932126698E-3</v>
      </c>
      <c r="Z84" s="41">
        <f t="shared" si="364"/>
        <v>-5.3465592749678791E-3</v>
      </c>
      <c r="AA84" s="23">
        <f t="shared" si="364"/>
        <v>-6.0887898422840262E-3</v>
      </c>
      <c r="AB84" s="41">
        <f t="shared" si="364"/>
        <v>-6.1306532663316579E-3</v>
      </c>
      <c r="AC84" s="41">
        <f t="shared" si="364"/>
        <v>-6.040628351523563E-3</v>
      </c>
      <c r="AD84" s="41">
        <f t="shared" si="364"/>
        <v>-5.6586787842414369E-3</v>
      </c>
      <c r="AE84" s="41">
        <f t="shared" si="364"/>
        <v>-5.2037466976222885E-3</v>
      </c>
      <c r="AF84" s="23">
        <f t="shared" si="364"/>
        <v>-5.7036524764546093E-3</v>
      </c>
      <c r="AG84" s="41">
        <f t="shared" si="364"/>
        <v>-5.3278905794412338E-3</v>
      </c>
      <c r="AH84" s="41">
        <f t="shared" si="364"/>
        <v>-4.5325715314018357E-3</v>
      </c>
      <c r="AI84" s="41">
        <f t="shared" si="364"/>
        <v>-4.4516095480784234E-3</v>
      </c>
      <c r="AJ84" s="41">
        <f t="shared" si="364"/>
        <v>-3.2973597228306319E-3</v>
      </c>
      <c r="AK84" s="23">
        <f t="shared" si="364"/>
        <v>-4.2661320402834759E-3</v>
      </c>
      <c r="AL84" s="41">
        <f t="shared" si="364"/>
        <v>-3.676809377246171E-3</v>
      </c>
      <c r="AM84" s="41">
        <f t="shared" si="364"/>
        <v>-3.8468340997523877E-3</v>
      </c>
      <c r="AN84" s="41">
        <f t="shared" si="364"/>
        <v>-4.448976645128686E-3</v>
      </c>
      <c r="AO84" s="41">
        <f t="shared" si="364"/>
        <v>-3.5076994731173404E-3</v>
      </c>
      <c r="AP84" s="23">
        <f t="shared" si="364"/>
        <v>-3.8503944046894356E-3</v>
      </c>
      <c r="AQ84" s="41">
        <f t="shared" si="364"/>
        <v>-4.0534505856892585E-3</v>
      </c>
      <c r="AR84" s="41">
        <f t="shared" si="364"/>
        <v>-4.8171305079433161E-3</v>
      </c>
      <c r="AS84" s="41">
        <f t="shared" si="364"/>
        <v>-4.8544071250422888E-3</v>
      </c>
      <c r="AT84" s="41">
        <f t="shared" si="364"/>
        <v>-4.6513498297632771E-3</v>
      </c>
      <c r="AU84" s="23">
        <f t="shared" si="364"/>
        <v>-4.6052106781741811E-3</v>
      </c>
      <c r="AV84" s="41">
        <f t="shared" si="364"/>
        <v>-6.4620989651219402E-3</v>
      </c>
      <c r="AW84" s="41">
        <f t="shared" si="364"/>
        <v>-6.2507906506031269E-3</v>
      </c>
      <c r="AX84" s="41">
        <f t="shared" si="364"/>
        <v>-5.6330940782622673E-3</v>
      </c>
      <c r="AY84" s="41">
        <f t="shared" si="364"/>
        <v>-4.1950800477756666E-3</v>
      </c>
      <c r="AZ84" s="23">
        <f t="shared" si="364"/>
        <v>-5.5359830197378151E-3</v>
      </c>
      <c r="BA84" s="41">
        <f t="shared" si="364"/>
        <v>-4.4936607286149895E-3</v>
      </c>
      <c r="BB84" s="41">
        <f t="shared" si="364"/>
        <v>-3.9803482973705369E-3</v>
      </c>
      <c r="BC84" s="41">
        <f t="shared" si="364"/>
        <v>-3.7953888857418005E-3</v>
      </c>
      <c r="BD84" s="41"/>
      <c r="BE84" s="41"/>
      <c r="BF84" s="41"/>
      <c r="BG84" s="41"/>
      <c r="BH84" s="41"/>
      <c r="BI84" s="41"/>
      <c r="BJ84" s="41"/>
      <c r="BK84" s="41"/>
      <c r="BL84" s="41"/>
      <c r="BM84" s="41"/>
    </row>
    <row r="85" spans="1:65" ht="16.5" x14ac:dyDescent="0.3">
      <c r="A85" s="4" t="s">
        <v>133</v>
      </c>
      <c r="B85" s="4"/>
      <c r="C85" s="4"/>
      <c r="D85" s="4"/>
      <c r="E85" s="40">
        <f t="shared" si="331"/>
        <v>2.4522592090159656E-3</v>
      </c>
      <c r="F85" s="40">
        <f t="shared" si="331"/>
        <v>1.1832388102329756E-3</v>
      </c>
      <c r="G85" s="40">
        <f t="shared" si="331"/>
        <v>2.3096713834639222E-3</v>
      </c>
      <c r="H85" s="40">
        <f t="shared" si="331"/>
        <v>1.5807974707240469E-3</v>
      </c>
      <c r="I85" s="40">
        <f t="shared" si="331"/>
        <v>-1.3094789910464374E-3</v>
      </c>
      <c r="J85" s="40">
        <f t="shared" si="331"/>
        <v>-1.8266802772255949E-3</v>
      </c>
      <c r="K85" s="40">
        <f t="shared" si="331"/>
        <v>-1.3260214860430621E-3</v>
      </c>
      <c r="L85" s="40">
        <f t="shared" si="331"/>
        <v>-2.392389211819898E-3</v>
      </c>
      <c r="M85" s="41">
        <f t="shared" ref="M85:P85" si="365">M27/M$15</f>
        <v>2.7808294424608625E-3</v>
      </c>
      <c r="N85" s="41">
        <f t="shared" si="365"/>
        <v>-4.6046572819365871E-4</v>
      </c>
      <c r="O85" s="41">
        <f t="shared" si="365"/>
        <v>2.4454362046830104E-4</v>
      </c>
      <c r="P85" s="41">
        <f t="shared" si="365"/>
        <v>3.2006584211609243E-4</v>
      </c>
      <c r="Q85" s="40">
        <f t="shared" ref="Q85:U85" si="366">Q27/Q$15</f>
        <v>6.5447432475163069E-4</v>
      </c>
      <c r="R85" s="41">
        <f t="shared" si="366"/>
        <v>1.3440107520860166E-3</v>
      </c>
      <c r="S85" s="41">
        <f t="shared" si="366"/>
        <v>3.6095376103280202E-3</v>
      </c>
      <c r="T85" s="41">
        <f t="shared" si="366"/>
        <v>3.2690197512801754E-3</v>
      </c>
      <c r="U85" s="41">
        <f t="shared" si="366"/>
        <v>2.977519726068185E-4</v>
      </c>
      <c r="V85" s="40">
        <f t="shared" ref="V85:BC85" si="367">V27/V$15</f>
        <v>1.9452846524912013E-3</v>
      </c>
      <c r="W85" s="41">
        <f t="shared" si="367"/>
        <v>4.6824184005328949E-3</v>
      </c>
      <c r="X85" s="41">
        <f t="shared" si="367"/>
        <v>-2.4392088643497333E-3</v>
      </c>
      <c r="Y85" s="41">
        <f t="shared" si="367"/>
        <v>-1.6438065610859729E-3</v>
      </c>
      <c r="Z85" s="41">
        <f t="shared" si="367"/>
        <v>-2.749264330022243E-3</v>
      </c>
      <c r="AA85" s="40">
        <f t="shared" si="367"/>
        <v>-7.8149488807876784E-4</v>
      </c>
      <c r="AB85" s="41">
        <f t="shared" si="367"/>
        <v>2.7470686767169178E-3</v>
      </c>
      <c r="AC85" s="41">
        <f t="shared" si="367"/>
        <v>-4.2584064096902403E-4</v>
      </c>
      <c r="AD85" s="41">
        <f t="shared" si="367"/>
        <v>-5.0442262899929981E-3</v>
      </c>
      <c r="AE85" s="41">
        <f t="shared" si="367"/>
        <v>4.7805848782552013E-3</v>
      </c>
      <c r="AF85" s="40">
        <f t="shared" si="367"/>
        <v>7.2008612515239451E-4</v>
      </c>
      <c r="AG85" s="41">
        <f t="shared" si="367"/>
        <v>-5.3809044160525897E-3</v>
      </c>
      <c r="AH85" s="41">
        <f t="shared" si="367"/>
        <v>7.2656109411553E-3</v>
      </c>
      <c r="AI85" s="41">
        <f t="shared" si="367"/>
        <v>9.6208851214311716E-3</v>
      </c>
      <c r="AJ85" s="41">
        <f t="shared" si="367"/>
        <v>9.6053522360718402E-3</v>
      </c>
      <c r="AK85" s="40">
        <f t="shared" si="367"/>
        <v>6.141468772017075E-3</v>
      </c>
      <c r="AL85" s="41">
        <f t="shared" si="367"/>
        <v>1.5637958679666046E-2</v>
      </c>
      <c r="AM85" s="41">
        <f t="shared" si="367"/>
        <v>1.1151397240891404E-2</v>
      </c>
      <c r="AN85" s="41">
        <f t="shared" si="367"/>
        <v>-1.4709598238457928E-3</v>
      </c>
      <c r="AO85" s="41">
        <f t="shared" si="367"/>
        <v>8.6149681250545798E-2</v>
      </c>
      <c r="AP85" s="40">
        <f t="shared" si="367"/>
        <v>3.1145838211067169E-2</v>
      </c>
      <c r="AQ85" s="41">
        <f t="shared" si="367"/>
        <v>-7.3597609151179966E-2</v>
      </c>
      <c r="AR85" s="41">
        <f t="shared" si="367"/>
        <v>-4.5737994292030286E-2</v>
      </c>
      <c r="AS85" s="41">
        <f t="shared" si="367"/>
        <v>5.9716288620860576E-3</v>
      </c>
      <c r="AT85" s="41">
        <f t="shared" si="367"/>
        <v>-2.3122704485134447E-2</v>
      </c>
      <c r="AU85" s="40">
        <f t="shared" si="367"/>
        <v>-3.2697579491928724E-2</v>
      </c>
      <c r="AV85" s="41">
        <f t="shared" si="367"/>
        <v>-3.4783837685893309E-3</v>
      </c>
      <c r="AW85" s="41">
        <f t="shared" si="367"/>
        <v>4.5392646391284613E-4</v>
      </c>
      <c r="AX85" s="41">
        <f t="shared" si="367"/>
        <v>7.205607933856573E-3</v>
      </c>
      <c r="AY85" s="41">
        <f t="shared" si="367"/>
        <v>1.7003900894911185E-3</v>
      </c>
      <c r="AZ85" s="40">
        <f t="shared" si="367"/>
        <v>1.6319145419591674E-3</v>
      </c>
      <c r="BA85" s="41">
        <f t="shared" si="367"/>
        <v>-1.8651483117372466E-2</v>
      </c>
      <c r="BB85" s="41">
        <f t="shared" si="367"/>
        <v>-1.2164052521675666E-4</v>
      </c>
      <c r="BC85" s="41">
        <f t="shared" si="367"/>
        <v>-1.6994278592873731E-4</v>
      </c>
      <c r="BD85" s="41"/>
      <c r="BE85" s="41"/>
      <c r="BF85" s="41"/>
      <c r="BG85" s="41"/>
      <c r="BH85" s="41"/>
      <c r="BI85" s="41"/>
      <c r="BJ85" s="41"/>
      <c r="BK85" s="41"/>
      <c r="BL85" s="41"/>
      <c r="BM85" s="41"/>
    </row>
    <row r="86" spans="1:65" ht="16.5" x14ac:dyDescent="0.3">
      <c r="A86" s="7" t="s">
        <v>109</v>
      </c>
      <c r="B86" s="7"/>
      <c r="C86" s="7"/>
      <c r="D86" s="4"/>
      <c r="E86" s="50">
        <f t="shared" si="331"/>
        <v>4.7010330794114576E-2</v>
      </c>
      <c r="F86" s="50">
        <f t="shared" si="331"/>
        <v>4.7370353747602921E-2</v>
      </c>
      <c r="G86" s="50">
        <f t="shared" si="331"/>
        <v>4.3766810899310025E-2</v>
      </c>
      <c r="H86" s="50">
        <f t="shared" si="331"/>
        <v>1.9427168916529732E-2</v>
      </c>
      <c r="I86" s="50">
        <f t="shared" si="331"/>
        <v>8.9044571391157738E-3</v>
      </c>
      <c r="J86" s="50">
        <f t="shared" si="331"/>
        <v>6.7963251490893465E-3</v>
      </c>
      <c r="K86" s="50">
        <f t="shared" si="331"/>
        <v>-1.2473591944981346E-3</v>
      </c>
      <c r="L86" s="50">
        <f t="shared" si="331"/>
        <v>1.4653383922396875E-2</v>
      </c>
      <c r="M86" s="42">
        <f t="shared" ref="M86:P86" si="368">M28/M$15</f>
        <v>3.6253776435045321E-2</v>
      </c>
      <c r="N86" s="42">
        <f t="shared" si="368"/>
        <v>3.87777923957374E-2</v>
      </c>
      <c r="O86" s="42">
        <f t="shared" si="368"/>
        <v>1.5008864706241977E-2</v>
      </c>
      <c r="P86" s="42">
        <f t="shared" si="368"/>
        <v>2.6656912279097413E-2</v>
      </c>
      <c r="Q86" s="50">
        <f t="shared" ref="Q86:U86" si="369">Q28/Q$15</f>
        <v>2.862038283071176E-2</v>
      </c>
      <c r="R86" s="42">
        <f t="shared" si="369"/>
        <v>2.668421347370779E-2</v>
      </c>
      <c r="S86" s="42">
        <f t="shared" si="369"/>
        <v>1.754709524436833E-2</v>
      </c>
      <c r="T86" s="42">
        <f t="shared" si="369"/>
        <v>7.2238478419897586E-3</v>
      </c>
      <c r="U86" s="42">
        <f t="shared" si="369"/>
        <v>3.0966205151109125E-2</v>
      </c>
      <c r="V86" s="50">
        <f t="shared" ref="V86:BC86" si="370">V28/V$15</f>
        <v>2.1403753387381513E-2</v>
      </c>
      <c r="W86" s="42">
        <f t="shared" si="370"/>
        <v>3.7537714039418517E-2</v>
      </c>
      <c r="X86" s="42">
        <f t="shared" si="370"/>
        <v>4.9256892183186476E-2</v>
      </c>
      <c r="Y86" s="42">
        <f t="shared" si="370"/>
        <v>5.991940045248869E-2</v>
      </c>
      <c r="Z86" s="42">
        <f t="shared" si="370"/>
        <v>4.6281585455148308E-2</v>
      </c>
      <c r="AA86" s="50">
        <f t="shared" si="370"/>
        <v>4.8353922717884641E-2</v>
      </c>
      <c r="AB86" s="42">
        <f t="shared" si="370"/>
        <v>7.3718592964824123E-2</v>
      </c>
      <c r="AC86" s="42">
        <f t="shared" si="370"/>
        <v>4.5564948583685573E-2</v>
      </c>
      <c r="AD86" s="42">
        <f t="shared" si="370"/>
        <v>3.7610208485160258E-2</v>
      </c>
      <c r="AE86" s="42">
        <f t="shared" si="370"/>
        <v>4.6353374429589304E-2</v>
      </c>
      <c r="AF86" s="50">
        <f t="shared" si="370"/>
        <v>4.9817839599033228E-2</v>
      </c>
      <c r="AG86" s="42">
        <f t="shared" si="370"/>
        <v>4.4836452314053969E-2</v>
      </c>
      <c r="AH86" s="42">
        <f t="shared" si="370"/>
        <v>6.9968058304840736E-2</v>
      </c>
      <c r="AI86" s="42">
        <f t="shared" si="370"/>
        <v>7.082011545062146E-2</v>
      </c>
      <c r="AJ86" s="42">
        <f t="shared" si="370"/>
        <v>6.1845406395603521E-2</v>
      </c>
      <c r="AK86" s="50">
        <f t="shared" si="370"/>
        <v>6.2626921961125612E-2</v>
      </c>
      <c r="AL86" s="42">
        <f t="shared" si="370"/>
        <v>9.462024733223981E-2</v>
      </c>
      <c r="AM86" s="42">
        <f t="shared" si="370"/>
        <v>7.6353024407499109E-2</v>
      </c>
      <c r="AN86" s="42">
        <f t="shared" si="370"/>
        <v>3.8939826011623289E-2</v>
      </c>
      <c r="AO86" s="42">
        <f t="shared" si="370"/>
        <v>0.10868046458824557</v>
      </c>
      <c r="AP86" s="50">
        <f t="shared" si="370"/>
        <v>8.1203093937704071E-2</v>
      </c>
      <c r="AQ86" s="42">
        <f t="shared" si="370"/>
        <v>-4.5214867232317678E-2</v>
      </c>
      <c r="AR86" s="42">
        <f t="shared" si="370"/>
        <v>-2.1883300064338387E-2</v>
      </c>
      <c r="AS86" s="42">
        <f t="shared" si="370"/>
        <v>2.3162681646879252E-2</v>
      </c>
      <c r="AT86" s="42">
        <f t="shared" si="370"/>
        <v>-6.4475483231012575E-3</v>
      </c>
      <c r="AU86" s="50">
        <f t="shared" si="370"/>
        <v>-1.1549020103777752E-2</v>
      </c>
      <c r="AV86" s="42">
        <f t="shared" si="370"/>
        <v>3.2341902353994249E-2</v>
      </c>
      <c r="AW86" s="42">
        <f t="shared" si="370"/>
        <v>5.6279440107751724E-2</v>
      </c>
      <c r="AX86" s="42">
        <f t="shared" si="370"/>
        <v>8.5188317270395511E-2</v>
      </c>
      <c r="AY86" s="42">
        <f t="shared" si="370"/>
        <v>8.0524355587458296E-2</v>
      </c>
      <c r="AZ86" s="50">
        <f t="shared" si="370"/>
        <v>6.5340953573945038E-2</v>
      </c>
      <c r="BA86" s="42">
        <f t="shared" si="370"/>
        <v>9.0591921179516158E-2</v>
      </c>
      <c r="BB86" s="42">
        <f t="shared" si="370"/>
        <v>0.1030227670516364</v>
      </c>
      <c r="BC86" s="42">
        <f t="shared" si="370"/>
        <v>0.11352807517765315</v>
      </c>
      <c r="BD86" s="42"/>
      <c r="BE86" s="42"/>
      <c r="BF86" s="42"/>
      <c r="BG86" s="42"/>
      <c r="BH86" s="42"/>
      <c r="BI86" s="42"/>
      <c r="BJ86" s="42"/>
      <c r="BK86" s="42"/>
      <c r="BL86" s="42"/>
      <c r="BM86" s="42"/>
    </row>
    <row r="87" spans="1:65" ht="16.5" x14ac:dyDescent="0.3">
      <c r="A87" s="4" t="s">
        <v>110</v>
      </c>
      <c r="B87" s="4"/>
      <c r="C87" s="4"/>
      <c r="D87" s="4"/>
      <c r="E87" s="61">
        <f t="shared" si="331"/>
        <v>-1.288740477929667E-2</v>
      </c>
      <c r="F87" s="61">
        <f t="shared" si="331"/>
        <v>-1.0322738585825615E-2</v>
      </c>
      <c r="G87" s="61">
        <f t="shared" si="331"/>
        <v>-1.0291194012396211E-2</v>
      </c>
      <c r="H87" s="61">
        <f t="shared" si="331"/>
        <v>-6.052790315535495E-3</v>
      </c>
      <c r="I87" s="61">
        <f t="shared" si="331"/>
        <v>-7.0057126020984404E-3</v>
      </c>
      <c r="J87" s="61">
        <f t="shared" si="331"/>
        <v>-2.1624670928920646E-3</v>
      </c>
      <c r="K87" s="61">
        <f t="shared" si="331"/>
        <v>-1.8766575268575538E-3</v>
      </c>
      <c r="L87" s="61">
        <f t="shared" si="331"/>
        <v>-8.878006840737902E-3</v>
      </c>
      <c r="M87" s="62">
        <f t="shared" ref="M87:P87" si="371">M29/M$15</f>
        <v>-1.6307333150233451E-2</v>
      </c>
      <c r="N87" s="62">
        <f t="shared" si="371"/>
        <v>-1.0097355611103802E-2</v>
      </c>
      <c r="O87" s="62">
        <f t="shared" si="371"/>
        <v>-7.0000611359051172E-3</v>
      </c>
      <c r="P87" s="62">
        <f t="shared" si="371"/>
        <v>-9.4648041882901632E-3</v>
      </c>
      <c r="Q87" s="61">
        <f t="shared" ref="Q87:U87" si="372">Q29/Q$15</f>
        <v>-1.0478942840124423E-2</v>
      </c>
      <c r="R87" s="62">
        <f t="shared" si="372"/>
        <v>-6.4120512964103713E-3</v>
      </c>
      <c r="S87" s="62">
        <f t="shared" si="372"/>
        <v>-1.2304044262942959E-2</v>
      </c>
      <c r="T87" s="62">
        <f t="shared" si="372"/>
        <v>-1.3258961228968544E-3</v>
      </c>
      <c r="U87" s="62">
        <f t="shared" si="372"/>
        <v>-2.6466842009494979E-4</v>
      </c>
      <c r="V87" s="61">
        <f t="shared" ref="V87:BC87" si="373">V29/V$15</f>
        <v>-4.3291016832896672E-3</v>
      </c>
      <c r="W87" s="62">
        <f t="shared" si="373"/>
        <v>-5.6228204223972419E-3</v>
      </c>
      <c r="X87" s="62">
        <f t="shared" si="373"/>
        <v>-1.399236092727754E-3</v>
      </c>
      <c r="Y87" s="62">
        <f t="shared" si="373"/>
        <v>-8.9790723981900446E-3</v>
      </c>
      <c r="Z87" s="62">
        <f t="shared" si="373"/>
        <v>-4.5176353563682083E-3</v>
      </c>
      <c r="AA87" s="61">
        <f t="shared" si="373"/>
        <v>-5.1355378359461889E-3</v>
      </c>
      <c r="AB87" s="62">
        <f t="shared" si="373"/>
        <v>-1.4003350083752093E-2</v>
      </c>
      <c r="AC87" s="62">
        <f t="shared" si="373"/>
        <v>-4.053372027001451E-3</v>
      </c>
      <c r="AD87" s="62">
        <f t="shared" si="373"/>
        <v>-7.0590588874122973E-3</v>
      </c>
      <c r="AE87" s="62">
        <f t="shared" si="373"/>
        <v>-8.9893294600683921E-3</v>
      </c>
      <c r="AF87" s="61">
        <f t="shared" si="373"/>
        <v>-8.4592295791417436E-3</v>
      </c>
      <c r="AG87" s="62">
        <f t="shared" si="373"/>
        <v>-9.8605736097121342E-3</v>
      </c>
      <c r="AH87" s="62">
        <f t="shared" si="373"/>
        <v>-1.1067122548137484E-2</v>
      </c>
      <c r="AI87" s="62">
        <f t="shared" si="373"/>
        <v>-5.9181444692911747E-3</v>
      </c>
      <c r="AJ87" s="62">
        <f t="shared" si="373"/>
        <v>-4.5079845486041973E-3</v>
      </c>
      <c r="AK87" s="61">
        <f t="shared" si="373"/>
        <v>-7.4158688714824486E-3</v>
      </c>
      <c r="AL87" s="62">
        <f t="shared" si="373"/>
        <v>-1.9867671722663523E-2</v>
      </c>
      <c r="AM87" s="62">
        <f t="shared" si="373"/>
        <v>-7.6759816059426954E-3</v>
      </c>
      <c r="AN87" s="62">
        <f t="shared" si="373"/>
        <v>-1.0423058874490127E-2</v>
      </c>
      <c r="AO87" s="62">
        <f t="shared" si="373"/>
        <v>-4.4537594969871631E-3</v>
      </c>
      <c r="AP87" s="61">
        <f t="shared" si="373"/>
        <v>-1.0197479045255437E-2</v>
      </c>
      <c r="AQ87" s="62">
        <f t="shared" si="373"/>
        <v>1.2211878671292638E-2</v>
      </c>
      <c r="AR87" s="62">
        <f t="shared" si="373"/>
        <v>5.2543015985614594E-3</v>
      </c>
      <c r="AS87" s="62">
        <f t="shared" si="373"/>
        <v>-5.4287535109873251E-4</v>
      </c>
      <c r="AT87" s="62">
        <f t="shared" si="373"/>
        <v>8.2236401168869471E-3</v>
      </c>
      <c r="AU87" s="61">
        <f t="shared" si="373"/>
        <v>6.2589618722798225E-3</v>
      </c>
      <c r="AV87" s="62">
        <f t="shared" si="373"/>
        <v>-7.4435842271392454E-3</v>
      </c>
      <c r="AW87" s="62">
        <f t="shared" si="373"/>
        <v>-5.9828996227201357E-3</v>
      </c>
      <c r="AX87" s="62">
        <f t="shared" si="373"/>
        <v>-1.6116519782224302E-2</v>
      </c>
      <c r="AY87" s="62">
        <f t="shared" si="373"/>
        <v>-1.8015897764781331E-2</v>
      </c>
      <c r="AZ87" s="61">
        <f t="shared" si="373"/>
        <v>-1.2387240446427795E-2</v>
      </c>
      <c r="BA87" s="62">
        <f t="shared" si="373"/>
        <v>-1.7214069902939718E-2</v>
      </c>
      <c r="BB87" s="62">
        <f t="shared" si="373"/>
        <v>-1.1941044892111612E-2</v>
      </c>
      <c r="BC87" s="62">
        <f t="shared" si="373"/>
        <v>-1.7032043656413452E-2</v>
      </c>
      <c r="BD87" s="62"/>
      <c r="BE87" s="62"/>
      <c r="BF87" s="62"/>
      <c r="BG87" s="62"/>
      <c r="BH87" s="62"/>
      <c r="BI87" s="62"/>
      <c r="BJ87" s="62"/>
      <c r="BK87" s="62"/>
      <c r="BL87" s="62"/>
      <c r="BM87" s="62"/>
    </row>
    <row r="88" spans="1:65" ht="16.5" x14ac:dyDescent="0.3">
      <c r="A88" s="4" t="s">
        <v>134</v>
      </c>
      <c r="B88" s="4"/>
      <c r="C88" s="4"/>
      <c r="D88" s="4"/>
      <c r="E88" s="63">
        <f t="shared" si="331"/>
        <v>-4.6958155066263176E-4</v>
      </c>
      <c r="F88" s="63">
        <f t="shared" si="331"/>
        <v>-2.4480802970337426E-4</v>
      </c>
      <c r="G88" s="63">
        <f t="shared" si="331"/>
        <v>2.046544263828792E-4</v>
      </c>
      <c r="H88" s="63">
        <f t="shared" si="331"/>
        <v>-2.4959960064063899E-4</v>
      </c>
      <c r="I88" s="63">
        <f t="shared" si="331"/>
        <v>-2.5371155451524726E-3</v>
      </c>
      <c r="J88" s="63">
        <f t="shared" si="331"/>
        <v>-9.5363455649277382E-4</v>
      </c>
      <c r="K88" s="63">
        <f t="shared" si="331"/>
        <v>4.1578639816604486E-4</v>
      </c>
      <c r="L88" s="63">
        <f t="shared" si="331"/>
        <v>-2.0559594789077248E-4</v>
      </c>
      <c r="M88" s="62">
        <f t="shared" ref="M88:P88" si="374">M30/M$15</f>
        <v>-2.3345234825597363E-3</v>
      </c>
      <c r="N88" s="62">
        <f t="shared" si="374"/>
        <v>-4.9335613735034868E-4</v>
      </c>
      <c r="O88" s="62">
        <f t="shared" si="374"/>
        <v>-3.0567952558537627E-4</v>
      </c>
      <c r="P88" s="62">
        <f t="shared" si="374"/>
        <v>-6.858553759630552E-5</v>
      </c>
      <c r="Q88" s="63">
        <f t="shared" ref="Q88:U88" si="375">Q30/Q$15</f>
        <v>-7.0594983343996113E-4</v>
      </c>
      <c r="R88" s="62">
        <f t="shared" si="375"/>
        <v>0</v>
      </c>
      <c r="S88" s="62">
        <f t="shared" si="375"/>
        <v>-5.2693979712817809E-5</v>
      </c>
      <c r="T88" s="62">
        <f t="shared" si="375"/>
        <v>-4.5720555961960499E-5</v>
      </c>
      <c r="U88" s="62">
        <f t="shared" si="375"/>
        <v>0</v>
      </c>
      <c r="V88" s="63">
        <f t="shared" ref="V88:BC88" si="376">V30/V$15</f>
        <v>-2.2488839913193079E-5</v>
      </c>
      <c r="W88" s="62">
        <f t="shared" si="376"/>
        <v>0</v>
      </c>
      <c r="X88" s="62">
        <f t="shared" si="376"/>
        <v>5.6725787543017057E-5</v>
      </c>
      <c r="Y88" s="62">
        <f t="shared" si="376"/>
        <v>1.7675339366515839E-5</v>
      </c>
      <c r="Z88" s="62">
        <f t="shared" si="376"/>
        <v>5.5261594573311414E-5</v>
      </c>
      <c r="AA88" s="63">
        <f t="shared" si="376"/>
        <v>3.4351423651813971E-5</v>
      </c>
      <c r="AB88" s="62">
        <f t="shared" si="376"/>
        <v>-6.7001675041876053E-5</v>
      </c>
      <c r="AC88" s="62">
        <f t="shared" si="376"/>
        <v>-1.1040312914011735E-4</v>
      </c>
      <c r="AD88" s="62">
        <f t="shared" si="376"/>
        <v>-5.715837155799431E-5</v>
      </c>
      <c r="AE88" s="62">
        <f t="shared" si="376"/>
        <v>1.1436805928840193E-5</v>
      </c>
      <c r="AF88" s="63">
        <f t="shared" si="376"/>
        <v>-4.9906959168977831E-5</v>
      </c>
      <c r="AG88" s="62">
        <f t="shared" si="376"/>
        <v>-1.3783597518952446E-3</v>
      </c>
      <c r="AH88" s="62">
        <f t="shared" si="376"/>
        <v>6.7482454561813932E-5</v>
      </c>
      <c r="AI88" s="62">
        <f t="shared" si="376"/>
        <v>9.464870768110666E-4</v>
      </c>
      <c r="AJ88" s="62">
        <f t="shared" si="376"/>
        <v>1.8318665126836845E-4</v>
      </c>
      <c r="AK88" s="63">
        <f t="shared" si="376"/>
        <v>4.1443905673670685E-5</v>
      </c>
      <c r="AL88" s="62">
        <f t="shared" si="376"/>
        <v>-4.6075305479275327E-5</v>
      </c>
      <c r="AM88" s="62">
        <f t="shared" si="376"/>
        <v>1.0611956137247966E-4</v>
      </c>
      <c r="AN88" s="62">
        <f t="shared" si="376"/>
        <v>-3.6097173591307802E-5</v>
      </c>
      <c r="AO88" s="62">
        <f t="shared" si="376"/>
        <v>7.2773847989986316E-6</v>
      </c>
      <c r="AP88" s="63">
        <f t="shared" si="376"/>
        <v>8.5138626969362858E-6</v>
      </c>
      <c r="AQ88" s="62">
        <f t="shared" si="376"/>
        <v>-8.5878190374772417E-6</v>
      </c>
      <c r="AR88" s="62">
        <f t="shared" si="376"/>
        <v>-9.8982133724862667E-5</v>
      </c>
      <c r="AS88" s="62">
        <f t="shared" si="376"/>
        <v>-2.3603276134727501E-5</v>
      </c>
      <c r="AT88" s="62">
        <f t="shared" si="376"/>
        <v>8.7129031393260237E-5</v>
      </c>
      <c r="AU88" s="63">
        <f t="shared" si="376"/>
        <v>-5.8367689203728526E-6</v>
      </c>
      <c r="AV88" s="62">
        <f t="shared" si="376"/>
        <v>7.8518820961384437E-6</v>
      </c>
      <c r="AW88" s="62">
        <f t="shared" si="376"/>
        <v>-6.6972756970747784E-5</v>
      </c>
      <c r="AX88" s="62">
        <f t="shared" si="376"/>
        <v>-2.7955801877232095E-5</v>
      </c>
      <c r="AY88" s="62">
        <f t="shared" si="376"/>
        <v>0</v>
      </c>
      <c r="AZ88" s="63">
        <f t="shared" si="376"/>
        <v>-2.0877371538923251E-5</v>
      </c>
      <c r="BA88" s="62">
        <f t="shared" si="376"/>
        <v>-5.9310739430477346E-4</v>
      </c>
      <c r="BB88" s="62">
        <f t="shared" si="376"/>
        <v>4.7304648695405368E-5</v>
      </c>
      <c r="BC88" s="62">
        <f t="shared" si="376"/>
        <v>-1.8882531769859703E-5</v>
      </c>
      <c r="BD88" s="62"/>
      <c r="BE88" s="62"/>
      <c r="BF88" s="62"/>
      <c r="BG88" s="62"/>
      <c r="BH88" s="62"/>
      <c r="BI88" s="62"/>
      <c r="BJ88" s="62"/>
      <c r="BK88" s="62"/>
      <c r="BL88" s="62"/>
      <c r="BM88" s="62"/>
    </row>
    <row r="89" spans="1:65" s="175" customFormat="1" ht="16.5" x14ac:dyDescent="0.3">
      <c r="A89" s="173" t="s">
        <v>23</v>
      </c>
      <c r="B89" s="173"/>
      <c r="C89" s="173"/>
      <c r="D89" s="178"/>
      <c r="E89" s="179">
        <f t="shared" si="331"/>
        <v>3.3653344464155278E-2</v>
      </c>
      <c r="F89" s="179">
        <f t="shared" si="331"/>
        <v>3.6802807132073935E-2</v>
      </c>
      <c r="G89" s="179">
        <f t="shared" si="331"/>
        <v>3.3680271313296692E-2</v>
      </c>
      <c r="H89" s="179">
        <f t="shared" si="331"/>
        <v>1.3124779000353599E-2</v>
      </c>
      <c r="I89" s="179">
        <f t="shared" si="331"/>
        <v>-6.3837100813513828E-4</v>
      </c>
      <c r="J89" s="179">
        <f t="shared" si="331"/>
        <v>3.6802234997045076E-3</v>
      </c>
      <c r="K89" s="179">
        <f t="shared" si="331"/>
        <v>-2.7082303231896437E-3</v>
      </c>
      <c r="L89" s="179">
        <f t="shared" si="331"/>
        <v>5.5697811337681999E-3</v>
      </c>
      <c r="M89" s="180">
        <f t="shared" ref="M89:P89" si="377">M31/M$15</f>
        <v>1.7611919802252129E-2</v>
      </c>
      <c r="N89" s="180">
        <f t="shared" si="377"/>
        <v>2.8187080647283251E-2</v>
      </c>
      <c r="O89" s="180">
        <f t="shared" si="377"/>
        <v>7.7031240447514825E-3</v>
      </c>
      <c r="P89" s="180">
        <f t="shared" si="377"/>
        <v>1.7123522553210948E-2</v>
      </c>
      <c r="Q89" s="179">
        <f t="shared" ref="Q89:U89" si="378">Q31/Q$15</f>
        <v>1.7435490157147373E-2</v>
      </c>
      <c r="R89" s="180">
        <f t="shared" si="378"/>
        <v>2.027216217729742E-2</v>
      </c>
      <c r="S89" s="180">
        <f t="shared" si="378"/>
        <v>5.1903570017125542E-3</v>
      </c>
      <c r="T89" s="180">
        <f t="shared" si="378"/>
        <v>5.8522311631309439E-3</v>
      </c>
      <c r="U89" s="180">
        <f t="shared" si="378"/>
        <v>3.0701536731014178E-2</v>
      </c>
      <c r="V89" s="179">
        <f t="shared" ref="V89:BC89" si="379">V31/V$15</f>
        <v>1.7052162864178651E-2</v>
      </c>
      <c r="W89" s="180">
        <f t="shared" si="379"/>
        <v>3.1914893617021274E-2</v>
      </c>
      <c r="X89" s="180">
        <f t="shared" si="379"/>
        <v>4.791438187800174E-2</v>
      </c>
      <c r="Y89" s="180">
        <f t="shared" si="379"/>
        <v>5.0958003393665158E-2</v>
      </c>
      <c r="Z89" s="180">
        <f t="shared" si="379"/>
        <v>4.1819211693353411E-2</v>
      </c>
      <c r="AA89" s="179">
        <f t="shared" si="379"/>
        <v>4.3252736305590261E-2</v>
      </c>
      <c r="AB89" s="180">
        <f t="shared" si="379"/>
        <v>5.9648241206030149E-2</v>
      </c>
      <c r="AC89" s="180">
        <f t="shared" si="379"/>
        <v>4.1401173427544007E-2</v>
      </c>
      <c r="AD89" s="180">
        <f t="shared" si="379"/>
        <v>3.0493991226189964E-2</v>
      </c>
      <c r="AE89" s="180">
        <f t="shared" si="379"/>
        <v>3.7375481775449755E-2</v>
      </c>
      <c r="AF89" s="179">
        <f t="shared" si="379"/>
        <v>4.1308703060722513E-2</v>
      </c>
      <c r="AG89" s="180">
        <f t="shared" si="379"/>
        <v>3.3597518952446587E-2</v>
      </c>
      <c r="AH89" s="180">
        <f t="shared" si="379"/>
        <v>5.896841821126507E-2</v>
      </c>
      <c r="AI89" s="180">
        <f t="shared" si="379"/>
        <v>6.5848458058141351E-2</v>
      </c>
      <c r="AJ89" s="180">
        <f t="shared" si="379"/>
        <v>5.7520608498267692E-2</v>
      </c>
      <c r="AK89" s="179">
        <f t="shared" si="379"/>
        <v>5.5252496995316841E-2</v>
      </c>
      <c r="AL89" s="180">
        <f t="shared" si="379"/>
        <v>7.470650030409702E-2</v>
      </c>
      <c r="AM89" s="180">
        <f t="shared" si="379"/>
        <v>6.8783162362928904E-2</v>
      </c>
      <c r="AN89" s="180">
        <f t="shared" si="379"/>
        <v>2.8480669963541854E-2</v>
      </c>
      <c r="AO89" s="180">
        <f t="shared" si="379"/>
        <v>0.1042339824760574</v>
      </c>
      <c r="AP89" s="179">
        <f t="shared" si="379"/>
        <v>7.1014128755145567E-2</v>
      </c>
      <c r="AQ89" s="180">
        <f t="shared" si="379"/>
        <v>-3.3011576380062517E-2</v>
      </c>
      <c r="AR89" s="180">
        <f t="shared" si="379"/>
        <v>-1.6727980599501788E-2</v>
      </c>
      <c r="AS89" s="180">
        <f t="shared" si="379"/>
        <v>2.2596203019645794E-2</v>
      </c>
      <c r="AT89" s="180">
        <f t="shared" si="379"/>
        <v>1.8632208251789495E-3</v>
      </c>
      <c r="AU89" s="179">
        <f t="shared" si="379"/>
        <v>-5.2958950004183018E-3</v>
      </c>
      <c r="AV89" s="180">
        <f t="shared" si="379"/>
        <v>2.4906170008951147E-2</v>
      </c>
      <c r="AW89" s="180">
        <f t="shared" si="379"/>
        <v>5.0229567728060844E-2</v>
      </c>
      <c r="AX89" s="180">
        <f t="shared" si="379"/>
        <v>6.9043841686293975E-2</v>
      </c>
      <c r="AY89" s="180">
        <f t="shared" si="379"/>
        <v>6.2508457822676972E-2</v>
      </c>
      <c r="AZ89" s="179">
        <f t="shared" si="379"/>
        <v>5.2932835755978319E-2</v>
      </c>
      <c r="BA89" s="180">
        <f t="shared" si="379"/>
        <v>7.2784743882271671E-2</v>
      </c>
      <c r="BB89" s="180">
        <f t="shared" si="379"/>
        <v>9.1129026808220201E-2</v>
      </c>
      <c r="BC89" s="180">
        <f t="shared" si="379"/>
        <v>9.6477148989469838E-2</v>
      </c>
      <c r="BD89" s="180"/>
      <c r="BE89" s="180"/>
      <c r="BF89" s="180"/>
      <c r="BG89" s="180"/>
      <c r="BH89" s="180"/>
      <c r="BI89" s="180"/>
      <c r="BJ89" s="180"/>
      <c r="BK89" s="180"/>
      <c r="BL89" s="180"/>
      <c r="BM89" s="180"/>
    </row>
    <row r="90" spans="1:65" ht="16.5" x14ac:dyDescent="0.3">
      <c r="A90" s="4" t="s">
        <v>135</v>
      </c>
      <c r="B90" s="4"/>
      <c r="C90" s="16"/>
      <c r="D90" s="16"/>
      <c r="E90" s="61">
        <f>E29/-E28</f>
        <v>0.27413984461709212</v>
      </c>
      <c r="F90" s="61">
        <f t="shared" ref="F90:Q90" si="380">F29/-F28</f>
        <v>0.21791559000861327</v>
      </c>
      <c r="G90" s="61">
        <f t="shared" si="380"/>
        <v>0.23513694054776219</v>
      </c>
      <c r="H90" s="61">
        <f t="shared" si="380"/>
        <v>0.31156316916488225</v>
      </c>
      <c r="I90" s="61">
        <f t="shared" si="380"/>
        <v>0.78676470588235292</v>
      </c>
      <c r="J90" s="61">
        <f t="shared" si="380"/>
        <v>0.31818181818181818</v>
      </c>
      <c r="K90" s="61">
        <f t="shared" si="380"/>
        <v>-1.5045045045045045</v>
      </c>
      <c r="L90" s="61">
        <f t="shared" si="380"/>
        <v>0.60586734693877553</v>
      </c>
      <c r="M90" s="62">
        <f t="shared" si="380"/>
        <v>0.44981060606060608</v>
      </c>
      <c r="N90" s="62">
        <f t="shared" si="380"/>
        <v>0.26039016115351993</v>
      </c>
      <c r="O90" s="62">
        <f t="shared" si="380"/>
        <v>0.4663951120162933</v>
      </c>
      <c r="P90" s="62">
        <f t="shared" si="380"/>
        <v>0.35506003430531735</v>
      </c>
      <c r="Q90" s="61">
        <f t="shared" si="380"/>
        <v>0.36613566289825283</v>
      </c>
      <c r="R90" s="62">
        <f t="shared" ref="R90:BB90" si="381">R29/-R28</f>
        <v>0.2402938090241343</v>
      </c>
      <c r="S90" s="62">
        <f t="shared" si="381"/>
        <v>0.70120120120120122</v>
      </c>
      <c r="T90" s="62">
        <f t="shared" si="381"/>
        <v>0.18354430379746836</v>
      </c>
      <c r="U90" s="62">
        <f t="shared" si="381"/>
        <v>8.5470085470085479E-3</v>
      </c>
      <c r="V90" s="61">
        <f t="shared" si="381"/>
        <v>0.20225899658523772</v>
      </c>
      <c r="W90" s="62">
        <f t="shared" si="381"/>
        <v>0.14979123173277661</v>
      </c>
      <c r="X90" s="62">
        <f t="shared" si="381"/>
        <v>2.8406909788867563E-2</v>
      </c>
      <c r="Y90" s="62">
        <f t="shared" si="381"/>
        <v>0.14985250737463127</v>
      </c>
      <c r="Z90" s="62">
        <f t="shared" si="381"/>
        <v>9.7611940298507463E-2</v>
      </c>
      <c r="AA90" s="61">
        <f t="shared" si="381"/>
        <v>0.106207264008525</v>
      </c>
      <c r="AB90" s="62">
        <f t="shared" si="381"/>
        <v>0.18995682799363781</v>
      </c>
      <c r="AC90" s="62">
        <f t="shared" si="381"/>
        <v>8.8958116995500172E-2</v>
      </c>
      <c r="AD90" s="62">
        <f t="shared" si="381"/>
        <v>0.18768996960486323</v>
      </c>
      <c r="AE90" s="62">
        <f t="shared" si="381"/>
        <v>0.19393042190969653</v>
      </c>
      <c r="AF90" s="61">
        <f t="shared" si="381"/>
        <v>0.16980322003577816</v>
      </c>
      <c r="AG90" s="62">
        <f t="shared" si="381"/>
        <v>0.21992314513745195</v>
      </c>
      <c r="AH90" s="62">
        <f t="shared" si="381"/>
        <v>0.1581739270213792</v>
      </c>
      <c r="AI90" s="62">
        <f t="shared" si="381"/>
        <v>8.3565868703186955E-2</v>
      </c>
      <c r="AJ90" s="62">
        <f t="shared" si="381"/>
        <v>7.2891178364455897E-2</v>
      </c>
      <c r="AK90" s="61">
        <f t="shared" si="381"/>
        <v>0.1184134337000579</v>
      </c>
      <c r="AL90" s="62">
        <f t="shared" si="381"/>
        <v>0.20997273081417997</v>
      </c>
      <c r="AM90" s="62">
        <f t="shared" si="381"/>
        <v>0.1005327773917072</v>
      </c>
      <c r="AN90" s="62">
        <f t="shared" si="381"/>
        <v>0.26767091541135574</v>
      </c>
      <c r="AO90" s="62">
        <f t="shared" si="381"/>
        <v>4.0980313378867012E-2</v>
      </c>
      <c r="AP90" s="61">
        <f t="shared" si="381"/>
        <v>0.12557993237398757</v>
      </c>
      <c r="AQ90" s="62">
        <f t="shared" si="381"/>
        <v>0.27008547008547007</v>
      </c>
      <c r="AR90" s="62">
        <f t="shared" si="381"/>
        <v>0.24010554089709762</v>
      </c>
      <c r="AS90" s="62">
        <f t="shared" si="381"/>
        <v>2.34375E-2</v>
      </c>
      <c r="AT90" s="62">
        <f t="shared" si="381"/>
        <v>1.2754677754677755</v>
      </c>
      <c r="AU90" s="61">
        <f>AU29/-AU28</f>
        <v>0.54194743935309975</v>
      </c>
      <c r="AV90" s="62">
        <f t="shared" si="381"/>
        <v>0.23015294974508377</v>
      </c>
      <c r="AW90" s="62">
        <f t="shared" si="381"/>
        <v>0.10630702102340341</v>
      </c>
      <c r="AX90" s="62">
        <f t="shared" si="381"/>
        <v>0.18918697185987365</v>
      </c>
      <c r="AY90" s="62">
        <f t="shared" si="381"/>
        <v>0.22373228116323249</v>
      </c>
      <c r="AZ90" s="61">
        <f>AZ29/-AZ28</f>
        <v>0.18957850733551668</v>
      </c>
      <c r="BA90" s="62">
        <f t="shared" si="381"/>
        <v>0.1900177154740815</v>
      </c>
      <c r="BB90" s="62">
        <f t="shared" si="381"/>
        <v>0.11590685470646113</v>
      </c>
      <c r="BC90" s="62">
        <f>BC29/-BC28</f>
        <v>0.15002494871652713</v>
      </c>
      <c r="BD90" s="62"/>
      <c r="BE90" s="62"/>
      <c r="BF90" s="62"/>
      <c r="BG90" s="62"/>
      <c r="BH90" s="62"/>
      <c r="BI90" s="62"/>
      <c r="BJ90" s="62"/>
      <c r="BK90" s="62"/>
      <c r="BL90" s="62"/>
      <c r="BM90" s="62"/>
    </row>
    <row r="91" spans="1:65" ht="16.5" x14ac:dyDescent="0.3">
      <c r="A91" s="12" t="s">
        <v>0</v>
      </c>
      <c r="B91" s="12"/>
      <c r="C91" s="8" t="s">
        <v>0</v>
      </c>
      <c r="D91" s="4"/>
      <c r="E91" s="64" t="s">
        <v>0</v>
      </c>
      <c r="F91" s="64"/>
      <c r="G91" s="64"/>
      <c r="H91" s="64"/>
      <c r="I91" s="64"/>
      <c r="J91" s="64"/>
      <c r="K91" s="64"/>
      <c r="L91" s="64"/>
      <c r="M91" s="62"/>
      <c r="N91" s="62"/>
      <c r="O91" s="62"/>
      <c r="P91" s="62"/>
      <c r="Q91" s="64"/>
      <c r="R91" s="41"/>
      <c r="S91" s="41"/>
      <c r="T91" s="41"/>
      <c r="U91" s="41"/>
      <c r="V91" s="50"/>
      <c r="W91" s="41"/>
      <c r="X91" s="41"/>
      <c r="Y91" s="41"/>
      <c r="Z91" s="41"/>
      <c r="AA91" s="50"/>
      <c r="AB91" s="41"/>
      <c r="AC91" s="41"/>
      <c r="AD91" s="41"/>
      <c r="AE91" s="41"/>
      <c r="AF91" s="50"/>
      <c r="AG91" s="41"/>
      <c r="AH91" s="41"/>
      <c r="AI91" s="41"/>
      <c r="AJ91" s="41"/>
      <c r="AK91" s="50"/>
      <c r="AL91" s="41"/>
      <c r="AM91" s="41"/>
      <c r="AN91" s="41"/>
      <c r="AO91" s="41"/>
      <c r="AP91" s="23"/>
      <c r="AQ91" s="41"/>
      <c r="AR91" s="41"/>
      <c r="AS91" s="41"/>
      <c r="AT91" s="41"/>
      <c r="AU91" s="23"/>
      <c r="AV91" s="41"/>
      <c r="AW91" s="41"/>
      <c r="AX91" s="41"/>
      <c r="AY91" s="41"/>
      <c r="AZ91" s="23"/>
      <c r="BA91" s="41"/>
      <c r="BB91" s="41"/>
      <c r="BC91" s="41"/>
      <c r="BD91" s="43"/>
      <c r="BE91" s="43"/>
      <c r="BF91" s="43"/>
      <c r="BG91" s="43"/>
      <c r="BH91" s="43"/>
      <c r="BI91" s="43"/>
      <c r="BJ91" s="43"/>
    </row>
    <row r="92" spans="1:65" ht="16.5" x14ac:dyDescent="0.3">
      <c r="A92" s="2"/>
      <c r="B92" s="2"/>
      <c r="C92" s="4"/>
      <c r="D92" s="4"/>
      <c r="E92" s="64"/>
      <c r="F92" s="64"/>
      <c r="G92" s="64"/>
      <c r="H92" s="64"/>
      <c r="I92" s="64"/>
      <c r="J92" s="64"/>
      <c r="K92" s="64"/>
      <c r="L92" s="64"/>
      <c r="M92" s="62"/>
      <c r="N92" s="62"/>
      <c r="O92" s="62"/>
      <c r="P92" s="62"/>
      <c r="Q92" s="64"/>
      <c r="R92" s="41"/>
      <c r="S92" s="41"/>
      <c r="T92" s="41"/>
      <c r="U92" s="41"/>
      <c r="V92" s="50"/>
      <c r="W92" s="41"/>
      <c r="X92" s="41"/>
      <c r="Y92" s="41"/>
      <c r="Z92" s="41"/>
      <c r="AA92" s="50"/>
      <c r="AB92" s="41"/>
      <c r="AC92" s="41"/>
      <c r="AD92" s="41"/>
      <c r="AE92" s="41"/>
      <c r="AF92" s="50"/>
      <c r="AG92" s="41"/>
      <c r="AH92" s="41"/>
      <c r="AI92" s="41"/>
      <c r="AJ92" s="41"/>
      <c r="AK92" s="50"/>
      <c r="AL92" s="41"/>
      <c r="AM92" s="41"/>
      <c r="AN92" s="41"/>
      <c r="AO92" s="41"/>
      <c r="AP92" s="23"/>
      <c r="AQ92" s="41"/>
      <c r="AR92" s="41"/>
      <c r="AS92" s="41"/>
      <c r="AT92" s="41"/>
      <c r="AU92" s="23"/>
      <c r="AV92" s="41"/>
      <c r="AW92" s="41"/>
      <c r="AX92" s="41"/>
      <c r="AY92" s="41"/>
      <c r="AZ92" s="23"/>
      <c r="BA92" s="41"/>
      <c r="BB92" s="41"/>
      <c r="BC92" s="41"/>
      <c r="BD92" s="43"/>
      <c r="BE92" s="43"/>
      <c r="BF92" s="43"/>
      <c r="BG92" s="43"/>
      <c r="BH92" s="43"/>
      <c r="BI92" s="43"/>
      <c r="BJ92" s="43"/>
    </row>
    <row r="93" spans="1:65" ht="16.5" x14ac:dyDescent="0.3">
      <c r="A93" s="7" t="s">
        <v>69</v>
      </c>
      <c r="B93" s="4"/>
      <c r="C93" s="4"/>
      <c r="D93" s="4"/>
      <c r="E93" s="22">
        <f>CF!E9+CF!E11</f>
        <v>263</v>
      </c>
      <c r="F93" s="22">
        <f>CF!F9+CF!F11</f>
        <v>481</v>
      </c>
      <c r="G93" s="22">
        <f>CF!G9+CF!G11</f>
        <v>674</v>
      </c>
      <c r="H93" s="22">
        <f>CF!H9+CF!H11</f>
        <v>1237</v>
      </c>
      <c r="I93" s="22">
        <f>CF!I9+CF!I11</f>
        <v>2313</v>
      </c>
      <c r="J93" s="22">
        <f>CF!J9+CF!J11</f>
        <v>3367</v>
      </c>
      <c r="K93" s="22">
        <f>CF!K9+CF!K11</f>
        <v>4875</v>
      </c>
      <c r="L93" s="22">
        <f>CF!L9+CF!L11</f>
        <v>6436</v>
      </c>
      <c r="M93" s="30">
        <f>CF!M9+CF!M11</f>
        <v>1870</v>
      </c>
      <c r="N93" s="30">
        <f>CF!N9+CF!N11</f>
        <v>1962</v>
      </c>
      <c r="O93" s="30">
        <f>CF!O9+CF!O11</f>
        <v>2115</v>
      </c>
      <c r="P93" s="30">
        <f>CF!P9+CF!P11</f>
        <v>2328</v>
      </c>
      <c r="Q93" s="22">
        <f>CF!Q9+CF!Q11</f>
        <v>8275</v>
      </c>
      <c r="R93" s="30">
        <f>CF!R9+CF!R11</f>
        <v>2477</v>
      </c>
      <c r="S93" s="30">
        <f>CF!S9+CF!S11</f>
        <v>2693</v>
      </c>
      <c r="T93" s="30">
        <f>CF!T9+CF!T11</f>
        <v>2955</v>
      </c>
      <c r="U93" s="30">
        <f>CF!U9+CF!U11</f>
        <v>3554</v>
      </c>
      <c r="V93" s="22">
        <f>CF!V9+CF!V11</f>
        <v>11679</v>
      </c>
      <c r="W93" s="30">
        <f>CF!W9+CF!W11</f>
        <v>3727</v>
      </c>
      <c r="X93" s="30">
        <f>CF!X9+CF!X11</f>
        <v>3715</v>
      </c>
      <c r="Y93" s="30">
        <f>CF!Y9+CF!Y11</f>
        <v>3840</v>
      </c>
      <c r="Z93" s="30">
        <f>CF!Z9+CF!Z11</f>
        <v>4334</v>
      </c>
      <c r="AA93" s="22">
        <f>CF!AA9+CF!AA11</f>
        <v>15616</v>
      </c>
      <c r="AB93" s="30">
        <f>CF!AB9+CF!AB11</f>
        <v>4841</v>
      </c>
      <c r="AC93" s="30">
        <f>CF!AC9+CF!AC11</f>
        <v>5282</v>
      </c>
      <c r="AD93" s="30">
        <f>CF!AD9+CF!AD11</f>
        <v>5610</v>
      </c>
      <c r="AE93" s="30">
        <f>CF!AE9+CF!AE11</f>
        <v>6220</v>
      </c>
      <c r="AF93" s="22">
        <f>CF!AF9+CF!AF11</f>
        <v>21953</v>
      </c>
      <c r="AG93" s="30">
        <f>CF!AG9+CF!AG11</f>
        <v>5429</v>
      </c>
      <c r="AH93" s="30">
        <f>CF!AH9+CF!AH11</f>
        <v>6030</v>
      </c>
      <c r="AI93" s="30">
        <f>CF!AI9+CF!AI11</f>
        <v>6590</v>
      </c>
      <c r="AJ93" s="30">
        <f>CF!AJ9+CF!AJ11</f>
        <v>7131</v>
      </c>
      <c r="AK93" s="22">
        <f>CF!AK9+CF!AK11</f>
        <v>25180</v>
      </c>
      <c r="AL93" s="30">
        <f>CF!AL9+CF!AL11</f>
        <v>7538</v>
      </c>
      <c r="AM93" s="30">
        <f>CF!AM9+CF!AM11</f>
        <v>8056</v>
      </c>
      <c r="AN93" s="30">
        <f>CF!AN9+CF!AN11</f>
        <v>8972</v>
      </c>
      <c r="AO93" s="30">
        <f>CF!AO9+CF!AO11</f>
        <v>9867</v>
      </c>
      <c r="AP93" s="21">
        <f>CF!AP9+CF!AP11</f>
        <v>34433</v>
      </c>
      <c r="AQ93" s="30">
        <f>CF!AQ9+CF!AQ11</f>
        <v>9193</v>
      </c>
      <c r="AR93" s="30">
        <f>CF!AR9+CF!AR11</f>
        <v>9716</v>
      </c>
      <c r="AS93" s="30">
        <f>CF!AS9+CF!AS11</f>
        <v>10327</v>
      </c>
      <c r="AT93" s="30">
        <f>CF!AT9+CF!AT11</f>
        <v>12685</v>
      </c>
      <c r="AU93" s="21">
        <f>CF!AU9+CF!AU11</f>
        <v>41921</v>
      </c>
      <c r="AV93" s="30">
        <f>CF!AV9</f>
        <v>11123</v>
      </c>
      <c r="AW93" s="30">
        <f>CF!AW9</f>
        <v>11589</v>
      </c>
      <c r="AX93" s="30">
        <f>CF!AX9</f>
        <v>12131</v>
      </c>
      <c r="AY93" s="30">
        <f>CF!AY9</f>
        <v>13820</v>
      </c>
      <c r="AZ93" s="21">
        <f>CF!AZ9</f>
        <v>48663</v>
      </c>
      <c r="BA93" s="30">
        <f>CF!BA9</f>
        <v>11684</v>
      </c>
      <c r="BB93" s="30">
        <f>CF!BB9</f>
        <v>12038</v>
      </c>
      <c r="BC93" s="30">
        <f>CF!BC9</f>
        <v>13442</v>
      </c>
      <c r="BD93" s="65">
        <f>CF!BD9</f>
        <v>15313.530624021103</v>
      </c>
      <c r="BE93" s="65">
        <f>CF!BE9</f>
        <v>52477.530624021107</v>
      </c>
      <c r="BF93" s="65">
        <f>CF!BF9</f>
        <v>12946.69260572088</v>
      </c>
      <c r="BG93" s="65">
        <f>CF!BG9</f>
        <v>13338.949468304345</v>
      </c>
      <c r="BH93" s="65">
        <f>CF!BH9</f>
        <v>14894.680075838762</v>
      </c>
      <c r="BI93" s="65">
        <f>CF!BI9</f>
        <v>16968.467451000881</v>
      </c>
      <c r="BJ93" s="65">
        <f>CF!BJ9</f>
        <v>58148.789600864868</v>
      </c>
      <c r="BK93" s="65">
        <f>CF!BK9</f>
        <v>76688.177609459031</v>
      </c>
      <c r="BL93" s="65">
        <f>CF!BL9</f>
        <v>88168.006094069686</v>
      </c>
      <c r="BM93" s="65">
        <f>CF!BM9</f>
        <v>101277.85747528901</v>
      </c>
    </row>
    <row r="94" spans="1:65" ht="16.5" x14ac:dyDescent="0.3">
      <c r="A94" s="4" t="s">
        <v>21</v>
      </c>
      <c r="B94" s="4"/>
      <c r="C94" s="4"/>
      <c r="D94" s="4"/>
      <c r="E94" s="22">
        <f t="shared" ref="E94:AY94" si="382">E95+E93</f>
        <v>1152</v>
      </c>
      <c r="F94" s="22">
        <f t="shared" si="382"/>
        <v>1639</v>
      </c>
      <c r="G94" s="22">
        <f t="shared" si="382"/>
        <v>2159</v>
      </c>
      <c r="H94" s="22">
        <f t="shared" si="382"/>
        <v>2175</v>
      </c>
      <c r="I94" s="22">
        <f t="shared" si="382"/>
        <v>2909</v>
      </c>
      <c r="J94" s="22">
        <f t="shared" si="382"/>
        <v>3976</v>
      </c>
      <c r="K94" s="22">
        <f t="shared" si="382"/>
        <v>4935</v>
      </c>
      <c r="L94" s="22">
        <f t="shared" si="382"/>
        <v>8413</v>
      </c>
      <c r="M94" s="30">
        <f t="shared" si="382"/>
        <v>3022</v>
      </c>
      <c r="N94" s="30">
        <f t="shared" si="382"/>
        <v>3233</v>
      </c>
      <c r="O94" s="30">
        <f t="shared" si="382"/>
        <v>2698</v>
      </c>
      <c r="P94" s="30">
        <f t="shared" si="382"/>
        <v>3597</v>
      </c>
      <c r="Q94" s="22">
        <f t="shared" si="382"/>
        <v>12550</v>
      </c>
      <c r="R94" s="30">
        <f t="shared" si="382"/>
        <v>3530</v>
      </c>
      <c r="S94" s="30">
        <f t="shared" si="382"/>
        <v>3458</v>
      </c>
      <c r="T94" s="30">
        <f t="shared" si="382"/>
        <v>3445</v>
      </c>
      <c r="U94" s="30">
        <f t="shared" si="382"/>
        <v>5699</v>
      </c>
      <c r="V94" s="22">
        <f t="shared" si="382"/>
        <v>16132</v>
      </c>
      <c r="W94" s="30">
        <f t="shared" si="382"/>
        <v>5893</v>
      </c>
      <c r="X94" s="30">
        <f t="shared" si="382"/>
        <v>6569</v>
      </c>
      <c r="Y94" s="30">
        <f t="shared" si="382"/>
        <v>7471</v>
      </c>
      <c r="Z94" s="30">
        <f t="shared" si="382"/>
        <v>7921</v>
      </c>
      <c r="AA94" s="22">
        <f t="shared" si="382"/>
        <v>27854</v>
      </c>
      <c r="AB94" s="30">
        <f t="shared" si="382"/>
        <v>9425</v>
      </c>
      <c r="AC94" s="30">
        <f t="shared" si="382"/>
        <v>8339</v>
      </c>
      <c r="AD94" s="30">
        <f t="shared" si="382"/>
        <v>8414</v>
      </c>
      <c r="AE94" s="30">
        <f t="shared" si="382"/>
        <v>10517</v>
      </c>
      <c r="AF94" s="22">
        <f t="shared" si="382"/>
        <v>36695</v>
      </c>
      <c r="AG94" s="30">
        <f t="shared" si="382"/>
        <v>9012</v>
      </c>
      <c r="AH94" s="30">
        <f t="shared" si="382"/>
        <v>12519</v>
      </c>
      <c r="AI94" s="30">
        <f t="shared" si="382"/>
        <v>13709</v>
      </c>
      <c r="AJ94" s="30">
        <f t="shared" si="382"/>
        <v>15210</v>
      </c>
      <c r="AK94" s="22">
        <f t="shared" si="382"/>
        <v>50450</v>
      </c>
      <c r="AL94" s="30">
        <f t="shared" si="382"/>
        <v>18100</v>
      </c>
      <c r="AM94" s="30">
        <f t="shared" si="382"/>
        <v>17019</v>
      </c>
      <c r="AN94" s="30">
        <f t="shared" si="382"/>
        <v>13661</v>
      </c>
      <c r="AO94" s="30">
        <f t="shared" si="382"/>
        <v>25165</v>
      </c>
      <c r="AP94" s="21">
        <f t="shared" si="382"/>
        <v>73945</v>
      </c>
      <c r="AQ94" s="30">
        <f t="shared" si="382"/>
        <v>4292</v>
      </c>
      <c r="AR94" s="30">
        <f t="shared" si="382"/>
        <v>7488</v>
      </c>
      <c r="AS94" s="30">
        <f t="shared" si="382"/>
        <v>13611</v>
      </c>
      <c r="AT94" s="30">
        <f t="shared" si="382"/>
        <v>11972</v>
      </c>
      <c r="AU94" s="21">
        <f t="shared" si="382"/>
        <v>37363</v>
      </c>
      <c r="AV94" s="30">
        <f t="shared" si="382"/>
        <v>15454</v>
      </c>
      <c r="AW94" s="30">
        <f t="shared" si="382"/>
        <v>19331</v>
      </c>
      <c r="AX94" s="30">
        <f t="shared" si="382"/>
        <v>24350</v>
      </c>
      <c r="AY94" s="30">
        <f t="shared" si="382"/>
        <v>27318</v>
      </c>
      <c r="AZ94" s="21">
        <f>AZ95+AZ93</f>
        <v>86453</v>
      </c>
      <c r="BA94" s="30">
        <f t="shared" ref="BA94:BI94" si="383">BA95+BA93</f>
        <v>24318</v>
      </c>
      <c r="BB94" s="30">
        <f t="shared" si="383"/>
        <v>26692</v>
      </c>
      <c r="BC94" s="30">
        <f t="shared" si="383"/>
        <v>30826</v>
      </c>
      <c r="BD94" s="65">
        <f t="shared" si="383"/>
        <v>33537.538390519927</v>
      </c>
      <c r="BE94" s="65">
        <f>BE95+BE93</f>
        <v>115373.53839052009</v>
      </c>
      <c r="BF94" s="65">
        <f t="shared" si="383"/>
        <v>29803.095965720873</v>
      </c>
      <c r="BG94" s="65">
        <f t="shared" si="383"/>
        <v>30759.187188304346</v>
      </c>
      <c r="BH94" s="65">
        <f t="shared" si="383"/>
        <v>33588.622255838767</v>
      </c>
      <c r="BI94" s="65">
        <f t="shared" si="383"/>
        <v>39043.044968324059</v>
      </c>
      <c r="BJ94" s="65">
        <f>BJ95+BJ93</f>
        <v>133193.95037818793</v>
      </c>
      <c r="BK94" s="65">
        <f t="shared" ref="BK94:BM94" si="384">BK95+BK93</f>
        <v>157977.64587548556</v>
      </c>
      <c r="BL94" s="65">
        <f t="shared" si="384"/>
        <v>172977.2310036034</v>
      </c>
      <c r="BM94" s="65">
        <f t="shared" si="384"/>
        <v>194269.34479350899</v>
      </c>
    </row>
    <row r="95" spans="1:65" ht="16.5" x14ac:dyDescent="0.3">
      <c r="A95" s="4" t="s">
        <v>136</v>
      </c>
      <c r="B95" s="4"/>
      <c r="C95" s="4"/>
      <c r="D95" s="4"/>
      <c r="E95" s="22">
        <f t="shared" ref="E95:AY95" si="385">E28+(-E26-E25)</f>
        <v>889</v>
      </c>
      <c r="F95" s="22">
        <f t="shared" si="385"/>
        <v>1158</v>
      </c>
      <c r="G95" s="22">
        <f t="shared" si="385"/>
        <v>1485</v>
      </c>
      <c r="H95" s="22">
        <f t="shared" si="385"/>
        <v>938</v>
      </c>
      <c r="I95" s="22">
        <f t="shared" si="385"/>
        <v>596</v>
      </c>
      <c r="J95" s="22">
        <f t="shared" si="385"/>
        <v>609</v>
      </c>
      <c r="K95" s="22">
        <f t="shared" si="385"/>
        <v>60</v>
      </c>
      <c r="L95" s="22">
        <f t="shared" si="385"/>
        <v>1977</v>
      </c>
      <c r="M95" s="30">
        <f t="shared" si="385"/>
        <v>1152</v>
      </c>
      <c r="N95" s="30">
        <f t="shared" si="385"/>
        <v>1271</v>
      </c>
      <c r="O95" s="30">
        <f t="shared" si="385"/>
        <v>583</v>
      </c>
      <c r="P95" s="30">
        <f t="shared" si="385"/>
        <v>1269</v>
      </c>
      <c r="Q95" s="22">
        <f t="shared" si="385"/>
        <v>4275</v>
      </c>
      <c r="R95" s="30">
        <f t="shared" si="385"/>
        <v>1053</v>
      </c>
      <c r="S95" s="30">
        <f t="shared" si="385"/>
        <v>765</v>
      </c>
      <c r="T95" s="30">
        <f t="shared" si="385"/>
        <v>490</v>
      </c>
      <c r="U95" s="30">
        <f t="shared" si="385"/>
        <v>2145</v>
      </c>
      <c r="V95" s="22">
        <f t="shared" si="385"/>
        <v>4453</v>
      </c>
      <c r="W95" s="30">
        <f t="shared" si="385"/>
        <v>2166</v>
      </c>
      <c r="X95" s="30">
        <f t="shared" si="385"/>
        <v>2854</v>
      </c>
      <c r="Y95" s="30">
        <f t="shared" si="385"/>
        <v>3631</v>
      </c>
      <c r="Z95" s="30">
        <f t="shared" si="385"/>
        <v>3587</v>
      </c>
      <c r="AA95" s="22">
        <f t="shared" si="385"/>
        <v>12238</v>
      </c>
      <c r="AB95" s="30">
        <f t="shared" si="385"/>
        <v>4584</v>
      </c>
      <c r="AC95" s="30">
        <f t="shared" si="385"/>
        <v>3057</v>
      </c>
      <c r="AD95" s="30">
        <f t="shared" si="385"/>
        <v>2804</v>
      </c>
      <c r="AE95" s="30">
        <f t="shared" si="385"/>
        <v>4297</v>
      </c>
      <c r="AF95" s="22">
        <f t="shared" si="385"/>
        <v>14742</v>
      </c>
      <c r="AG95" s="30">
        <f t="shared" si="385"/>
        <v>3583</v>
      </c>
      <c r="AH95" s="30">
        <f t="shared" si="385"/>
        <v>6489</v>
      </c>
      <c r="AI95" s="30">
        <f t="shared" si="385"/>
        <v>7119</v>
      </c>
      <c r="AJ95" s="30">
        <f t="shared" si="385"/>
        <v>8079</v>
      </c>
      <c r="AK95" s="22">
        <f t="shared" si="385"/>
        <v>25270</v>
      </c>
      <c r="AL95" s="30">
        <f t="shared" si="385"/>
        <v>10562</v>
      </c>
      <c r="AM95" s="30">
        <f t="shared" si="385"/>
        <v>8963</v>
      </c>
      <c r="AN95" s="30">
        <f t="shared" si="385"/>
        <v>4689</v>
      </c>
      <c r="AO95" s="30">
        <f t="shared" si="385"/>
        <v>15298</v>
      </c>
      <c r="AP95" s="21">
        <f t="shared" si="385"/>
        <v>39512</v>
      </c>
      <c r="AQ95" s="30">
        <f t="shared" si="385"/>
        <v>-4901</v>
      </c>
      <c r="AR95" s="30">
        <f t="shared" si="385"/>
        <v>-2228</v>
      </c>
      <c r="AS95" s="30">
        <f t="shared" si="385"/>
        <v>3284</v>
      </c>
      <c r="AT95" s="30">
        <f t="shared" si="385"/>
        <v>-713</v>
      </c>
      <c r="AU95" s="21">
        <f>AU28+(-AU26-AU25)</f>
        <v>-4558</v>
      </c>
      <c r="AV95" s="30">
        <f t="shared" si="385"/>
        <v>4331</v>
      </c>
      <c r="AW95" s="30">
        <f t="shared" si="385"/>
        <v>7742</v>
      </c>
      <c r="AX95" s="30">
        <f t="shared" si="385"/>
        <v>12219</v>
      </c>
      <c r="AY95" s="30">
        <f t="shared" si="385"/>
        <v>13498</v>
      </c>
      <c r="AZ95" s="21">
        <f>AZ28+(-AZ26-AZ25)</f>
        <v>37790</v>
      </c>
      <c r="BA95" s="30">
        <f t="shared" ref="BA95:BJ95" si="386">BA28+(-BA26-BA25)</f>
        <v>12634</v>
      </c>
      <c r="BB95" s="30">
        <f t="shared" si="386"/>
        <v>14654</v>
      </c>
      <c r="BC95" s="30">
        <f t="shared" si="386"/>
        <v>17384</v>
      </c>
      <c r="BD95" s="65">
        <f t="shared" si="386"/>
        <v>18224.00776649882</v>
      </c>
      <c r="BE95" s="65">
        <f t="shared" si="386"/>
        <v>62896.007766498988</v>
      </c>
      <c r="BF95" s="65">
        <f t="shared" si="386"/>
        <v>16856.403359999993</v>
      </c>
      <c r="BG95" s="65">
        <f t="shared" si="386"/>
        <v>17420.237720000001</v>
      </c>
      <c r="BH95" s="65">
        <f t="shared" si="386"/>
        <v>18693.942180000009</v>
      </c>
      <c r="BI95" s="65">
        <f t="shared" si="386"/>
        <v>22074.577517323174</v>
      </c>
      <c r="BJ95" s="65">
        <f t="shared" si="386"/>
        <v>75045.16077732305</v>
      </c>
      <c r="BK95" s="65">
        <f>BK28+(-BK26-BK25)</f>
        <v>81289.468266026539</v>
      </c>
      <c r="BL95" s="65">
        <f t="shared" ref="BL95:BM95" si="387">BL28+(-BL26-BL25)</f>
        <v>84809.224909533717</v>
      </c>
      <c r="BM95" s="65">
        <f t="shared" si="387"/>
        <v>92991.487318219995</v>
      </c>
    </row>
    <row r="96" spans="1:65" ht="16.5" x14ac:dyDescent="0.3">
      <c r="A96" s="4" t="s">
        <v>137</v>
      </c>
      <c r="B96" s="4"/>
      <c r="C96" s="4"/>
      <c r="D96" s="4"/>
      <c r="E96" s="4"/>
      <c r="Q96" s="21">
        <f>SUM(M95:O95,K95)</f>
        <v>3066</v>
      </c>
      <c r="V96" s="21">
        <f>SUM(R95:T95,P95)</f>
        <v>3577</v>
      </c>
      <c r="AA96" s="21">
        <f>SUM(W95:Y95,U95)</f>
        <v>10796</v>
      </c>
      <c r="AF96" s="21">
        <f>SUM(AB95:AD95,Z95)</f>
        <v>14032</v>
      </c>
      <c r="AK96" s="21">
        <f>SUM(AG95:AI95,AE95)</f>
        <v>21488</v>
      </c>
      <c r="AP96" s="21">
        <f>SUM(AL95:AN95,AJ95)</f>
        <v>32293</v>
      </c>
      <c r="AU96" s="21">
        <f>SUM(AQ95:AS95,AO95)</f>
        <v>11453</v>
      </c>
      <c r="AZ96" s="21">
        <f>SUM(AV95:AX95,AT95)</f>
        <v>23579</v>
      </c>
      <c r="BE96" s="65">
        <f>SUM(BA95:BC95,AY95)</f>
        <v>58170</v>
      </c>
      <c r="BF96" s="65"/>
      <c r="BG96" s="65"/>
      <c r="BH96" s="65"/>
      <c r="BI96" s="65"/>
      <c r="BJ96" s="65">
        <f>SUM(BF95:BH95,BD95)</f>
        <v>71194.59102649882</v>
      </c>
      <c r="BK96" s="65">
        <f>BJ95</f>
        <v>75045.16077732305</v>
      </c>
      <c r="BL96" s="65">
        <f>BK95</f>
        <v>81289.468266026539</v>
      </c>
      <c r="BM96" s="65">
        <f>BL95</f>
        <v>84809.224909533717</v>
      </c>
    </row>
    <row r="97" spans="1:65" ht="16.5" x14ac:dyDescent="0.3">
      <c r="A97" s="4" t="s">
        <v>138</v>
      </c>
      <c r="B97" s="4"/>
      <c r="E97" s="4"/>
      <c r="P97" s="43"/>
      <c r="Q97" s="21">
        <f>SUM(M15:O15,K15)</f>
        <v>181234</v>
      </c>
      <c r="U97" s="43"/>
      <c r="V97" s="21">
        <f>SUM(R15:T15,P15)</f>
        <v>161154</v>
      </c>
      <c r="Z97" s="43"/>
      <c r="AA97" s="21">
        <f>SUM(W15:Y15,U15)</f>
        <v>220957</v>
      </c>
      <c r="AE97" s="43"/>
      <c r="AF97" s="21">
        <f>SUM(AB15:AD15,Z15)</f>
        <v>265468</v>
      </c>
      <c r="AJ97" s="43"/>
      <c r="AK97" s="21">
        <f>SUM(AG15:AI15,AE15)</f>
        <v>347946</v>
      </c>
      <c r="AO97" s="43"/>
      <c r="AP97" s="21">
        <f>SUM(AL15:AN15,AJ15)</f>
        <v>457965</v>
      </c>
      <c r="AT97" s="43"/>
      <c r="AU97" s="21">
        <f>SUM(AQ15:AS15,AO15)</f>
        <v>502191</v>
      </c>
      <c r="AY97" s="43"/>
      <c r="AZ97" s="21">
        <f>SUM(AV15:AX15,AT15)</f>
        <v>554028</v>
      </c>
      <c r="BD97" s="43"/>
      <c r="BE97" s="65">
        <f>SUM(BA15:BC15,AY15)</f>
        <v>620128</v>
      </c>
      <c r="BF97" s="65"/>
      <c r="BG97" s="65"/>
      <c r="BH97" s="65"/>
      <c r="BI97" s="65"/>
      <c r="BJ97" s="65">
        <f>SUM(BF15:BH15,BD15)</f>
        <v>682928.5487267921</v>
      </c>
      <c r="BK97" s="65">
        <f>BJ15</f>
        <v>701356.64277872129</v>
      </c>
      <c r="BL97" s="65">
        <f>BK15</f>
        <v>766881.77609459031</v>
      </c>
      <c r="BM97" s="65">
        <f>BL15</f>
        <v>839695.29613399704</v>
      </c>
    </row>
    <row r="98" spans="1:65" ht="16.5" x14ac:dyDescent="0.3">
      <c r="A98" s="4" t="s">
        <v>139</v>
      </c>
      <c r="B98" s="4"/>
      <c r="E98" s="4"/>
      <c r="Q98" s="21">
        <f>SUM(M31:O31,K31)</f>
        <v>1381</v>
      </c>
      <c r="V98" s="21">
        <f>SUM(R31:T31,P31)</f>
        <v>1926</v>
      </c>
      <c r="AA98" s="21">
        <f>SUM(W31:Y31,U31)</f>
        <v>8902</v>
      </c>
      <c r="AF98" s="21">
        <f>SUM(AB31:AD31,Z31)</f>
        <v>11347</v>
      </c>
      <c r="AK98" s="21">
        <f>SUM(AG31:AI31,AE31)</f>
        <v>17377</v>
      </c>
      <c r="AP98" s="21">
        <f>SUM(AL31:AN31,AJ31)</f>
        <v>26263</v>
      </c>
      <c r="AU98" s="21">
        <f>SUM(AQ31:AS31,AO31)</f>
        <v>11323</v>
      </c>
      <c r="AZ98" s="21">
        <f>SUM(AV31:AX31,AT31)</f>
        <v>20079</v>
      </c>
      <c r="BE98" s="65">
        <f>SUM(BA31:BC31,AY31)</f>
        <v>49868</v>
      </c>
      <c r="BF98" s="65"/>
      <c r="BG98" s="65"/>
      <c r="BH98" s="65"/>
      <c r="BI98" s="65"/>
      <c r="BJ98" s="65">
        <f>SUM(BF31:BH31,BD31)</f>
        <v>53546.159143463236</v>
      </c>
      <c r="BK98" s="65">
        <f>BJ31</f>
        <v>56515.318275109239</v>
      </c>
      <c r="BL98" s="65">
        <f>BK31</f>
        <v>61189.496914587333</v>
      </c>
      <c r="BM98" s="65">
        <f>BL31</f>
        <v>63682.491258802351</v>
      </c>
    </row>
    <row r="99" spans="1:65" ht="16.5" x14ac:dyDescent="0.3">
      <c r="A99" s="4"/>
      <c r="B99" s="4"/>
      <c r="E99" s="4"/>
    </row>
    <row r="100" spans="1:65" ht="16.5" x14ac:dyDescent="0.3">
      <c r="A100" s="4"/>
      <c r="B100" s="4"/>
      <c r="E100" s="4"/>
    </row>
    <row r="101" spans="1:65" ht="16.5" x14ac:dyDescent="0.3">
      <c r="A101" s="156" t="s">
        <v>43</v>
      </c>
      <c r="B101" s="5"/>
      <c r="C101" s="5"/>
      <c r="E101" s="4"/>
      <c r="BA101" s="28">
        <v>45382</v>
      </c>
      <c r="BB101" s="28">
        <v>45473</v>
      </c>
      <c r="BC101" s="28">
        <v>45565</v>
      </c>
      <c r="BD101" s="28">
        <v>45657</v>
      </c>
      <c r="BE101" s="27">
        <v>2024</v>
      </c>
      <c r="BF101" s="28">
        <v>45747</v>
      </c>
      <c r="BG101" s="28">
        <v>45838</v>
      </c>
      <c r="BH101" s="28">
        <v>45930</v>
      </c>
      <c r="BI101" s="28">
        <v>46022</v>
      </c>
      <c r="BJ101" s="27">
        <v>2025</v>
      </c>
      <c r="BK101" s="27">
        <v>2026</v>
      </c>
      <c r="BL101" s="27">
        <v>2027</v>
      </c>
      <c r="BM101" s="27">
        <v>2028</v>
      </c>
    </row>
    <row r="102" spans="1:65" ht="16.5" x14ac:dyDescent="0.3">
      <c r="A102" s="110" t="s">
        <v>49</v>
      </c>
      <c r="B102" s="110"/>
      <c r="C102" s="110"/>
      <c r="D102" s="4"/>
      <c r="BA102" s="189">
        <f>AV8*(1+'Assumptions + Estimates'!F11)</f>
        <v>52117.919999999998</v>
      </c>
      <c r="BB102" s="189">
        <f>AW8*(1+'Assumptions + Estimates'!G11)</f>
        <v>54025.32</v>
      </c>
      <c r="BC102" s="189">
        <f>AX8*(1+'Assumptions + Estimates'!H11)</f>
        <v>61275.69</v>
      </c>
      <c r="BD102" s="189">
        <f>AY8*(1+'Assumptions + Estimates'!I11)</f>
        <v>76186.44</v>
      </c>
      <c r="BE102" s="21">
        <f>SUM(BA102:BD102)</f>
        <v>243605.37</v>
      </c>
      <c r="BF102" s="189">
        <f>BF8</f>
        <v>57403.5</v>
      </c>
      <c r="BG102" s="189">
        <f t="shared" ref="BG102:BM102" si="388">BG8</f>
        <v>58161.600000000006</v>
      </c>
      <c r="BH102" s="189">
        <f t="shared" si="388"/>
        <v>64481.55</v>
      </c>
      <c r="BI102" s="189">
        <f t="shared" si="388"/>
        <v>77818.306206465204</v>
      </c>
      <c r="BJ102" s="21">
        <f>SUM(BF102:BI102)</f>
        <v>257864.95620646523</v>
      </c>
      <c r="BK102" s="21">
        <f t="shared" si="388"/>
        <v>270758.20401678851</v>
      </c>
      <c r="BL102" s="21">
        <f t="shared" si="388"/>
        <v>284296.11421762797</v>
      </c>
      <c r="BM102" s="21">
        <f t="shared" si="388"/>
        <v>298510.91992850939</v>
      </c>
    </row>
    <row r="103" spans="1:65" ht="16.5" x14ac:dyDescent="0.3">
      <c r="A103" s="110" t="s">
        <v>50</v>
      </c>
      <c r="B103" s="110"/>
      <c r="C103" s="110"/>
      <c r="D103" s="4"/>
      <c r="BA103" s="189">
        <f>AV9*(1+'Assumptions + Estimates'!F12)</f>
        <v>5090.8</v>
      </c>
      <c r="BB103" s="189">
        <f>AW9*(1+'Assumptions + Estimates'!G12)</f>
        <v>5224.96</v>
      </c>
      <c r="BC103" s="189">
        <f>AX9*(1+'Assumptions + Estimates'!H12)</f>
        <v>5256.54</v>
      </c>
      <c r="BD103" s="189">
        <f>AY9*(1+'Assumptions + Estimates'!I12)</f>
        <v>5461.12</v>
      </c>
      <c r="BE103" s="21">
        <f t="shared" ref="BE103:BE108" si="389">SUM(BA103:BD103)</f>
        <v>21033.42</v>
      </c>
      <c r="BF103" s="189">
        <f t="shared" ref="BF103:BM103" si="390">BF9</f>
        <v>5462.1</v>
      </c>
      <c r="BG103" s="189">
        <f t="shared" si="390"/>
        <v>5466.3</v>
      </c>
      <c r="BH103" s="189">
        <f t="shared" si="390"/>
        <v>5489.4000000000005</v>
      </c>
      <c r="BI103" s="189">
        <f t="shared" si="390"/>
        <v>5680.5985437843228</v>
      </c>
      <c r="BJ103" s="21">
        <f t="shared" ref="BJ103:BJ108" si="391">SUM(BF103:BI103)</f>
        <v>22098.398543784326</v>
      </c>
      <c r="BK103" s="21">
        <f t="shared" si="390"/>
        <v>23203.318470973543</v>
      </c>
      <c r="BL103" s="21">
        <f t="shared" si="390"/>
        <v>24363.48439452222</v>
      </c>
      <c r="BM103" s="21">
        <f t="shared" si="390"/>
        <v>25581.658614248332</v>
      </c>
    </row>
    <row r="104" spans="1:65" ht="16.5" x14ac:dyDescent="0.3">
      <c r="A104" s="110" t="s">
        <v>51</v>
      </c>
      <c r="B104" s="110"/>
      <c r="C104" s="110"/>
      <c r="D104" s="4"/>
      <c r="BA104" s="189">
        <f>AV10*(1+'Assumptions + Estimates'!F13)</f>
        <v>32802</v>
      </c>
      <c r="BB104" s="189">
        <f>AW10*(1+'Assumptions + Estimates'!G13)</f>
        <v>35565.200000000004</v>
      </c>
      <c r="BC104" s="189">
        <f>AX10*(1+'Assumptions + Estimates'!H13)</f>
        <v>39493.299999999996</v>
      </c>
      <c r="BD104" s="189">
        <f>AY10*(1+'Assumptions + Estimates'!I13)</f>
        <v>50092.85</v>
      </c>
      <c r="BE104" s="21">
        <f t="shared" si="389"/>
        <v>157953.35</v>
      </c>
      <c r="BF104" s="189">
        <f t="shared" ref="BF104:BM104" si="392">BF10</f>
        <v>38055.600000000006</v>
      </c>
      <c r="BG104" s="189">
        <f t="shared" si="392"/>
        <v>39821.100000000006</v>
      </c>
      <c r="BH104" s="189">
        <f t="shared" si="392"/>
        <v>41650.400000000001</v>
      </c>
      <c r="BI104" s="189">
        <f t="shared" si="392"/>
        <v>54038.963606027726</v>
      </c>
      <c r="BJ104" s="21">
        <f t="shared" si="391"/>
        <v>173566.06360602775</v>
      </c>
      <c r="BK104" s="21">
        <f t="shared" si="392"/>
        <v>190922.66996663055</v>
      </c>
      <c r="BL104" s="21">
        <f t="shared" si="392"/>
        <v>210014.93696329361</v>
      </c>
      <c r="BM104" s="21">
        <f t="shared" si="392"/>
        <v>231016.430659623</v>
      </c>
    </row>
    <row r="105" spans="1:65" ht="16.5" x14ac:dyDescent="0.3">
      <c r="A105" s="110" t="s">
        <v>52</v>
      </c>
      <c r="B105" s="110"/>
      <c r="C105" s="110"/>
      <c r="D105" s="4"/>
      <c r="BA105" s="189">
        <f>AV11*(1+'Assumptions + Estimates'!F14)</f>
        <v>10622.7</v>
      </c>
      <c r="BB105" s="189">
        <f>AW11*(1+'Assumptions + Estimates'!G14)</f>
        <v>10883.400000000001</v>
      </c>
      <c r="BC105" s="189">
        <f>AX11*(1+'Assumptions + Estimates'!H14)</f>
        <v>11593.800000000001</v>
      </c>
      <c r="BD105" s="189">
        <f>AY11*(1+'Assumptions + Estimates'!I14)</f>
        <v>11746.560000000001</v>
      </c>
      <c r="BE105" s="21">
        <f t="shared" si="389"/>
        <v>44846.460000000006</v>
      </c>
      <c r="BF105" s="189">
        <f t="shared" ref="BF105:BM105" si="393">BF11</f>
        <v>11794.2</v>
      </c>
      <c r="BG105" s="189">
        <f t="shared" si="393"/>
        <v>11952.6</v>
      </c>
      <c r="BH105" s="189">
        <f t="shared" si="393"/>
        <v>12405.800000000001</v>
      </c>
      <c r="BI105" s="189">
        <f t="shared" si="393"/>
        <v>12867.383912258452</v>
      </c>
      <c r="BJ105" s="21">
        <f t="shared" si="391"/>
        <v>49019.98391225846</v>
      </c>
      <c r="BK105" s="21">
        <f t="shared" si="393"/>
        <v>53921.982303484307</v>
      </c>
      <c r="BL105" s="21">
        <f t="shared" si="393"/>
        <v>59314.180533832739</v>
      </c>
      <c r="BM105" s="21">
        <f t="shared" si="393"/>
        <v>65245.598587216016</v>
      </c>
    </row>
    <row r="106" spans="1:65" ht="16.5" x14ac:dyDescent="0.3">
      <c r="A106" s="110" t="s">
        <v>53</v>
      </c>
      <c r="B106" s="110"/>
      <c r="C106" s="110"/>
      <c r="D106" s="4"/>
      <c r="BA106" s="189">
        <f>AV12*(1+'Assumptions + Estimates'!F15)</f>
        <v>11220.619999999999</v>
      </c>
      <c r="BB106" s="189">
        <f>AW12*(1+'Assumptions + Estimates'!G15)</f>
        <v>12605.939999999999</v>
      </c>
      <c r="BC106" s="189">
        <f>AX12*(1+'Assumptions + Estimates'!H15)</f>
        <v>14472</v>
      </c>
      <c r="BD106" s="189">
        <f>AY12*(1+'Assumptions + Estimates'!I15)</f>
        <v>17584.8</v>
      </c>
      <c r="BE106" s="21">
        <f t="shared" si="389"/>
        <v>55883.360000000001</v>
      </c>
      <c r="BF106" s="189">
        <f t="shared" ref="BF106:BM106" si="394">BF12</f>
        <v>13952.32</v>
      </c>
      <c r="BG106" s="189">
        <f t="shared" si="394"/>
        <v>15069.779999999999</v>
      </c>
      <c r="BH106" s="189">
        <f t="shared" si="394"/>
        <v>16910.579999999998</v>
      </c>
      <c r="BI106" s="189">
        <f t="shared" si="394"/>
        <v>20601.189907031083</v>
      </c>
      <c r="BJ106" s="21">
        <f t="shared" si="391"/>
        <v>66533.869907031069</v>
      </c>
      <c r="BK106" s="21">
        <f t="shared" si="394"/>
        <v>76513.950393085717</v>
      </c>
      <c r="BL106" s="21">
        <f t="shared" si="394"/>
        <v>87991.042952048563</v>
      </c>
      <c r="BM106" s="21">
        <f t="shared" si="394"/>
        <v>101189.69939485584</v>
      </c>
    </row>
    <row r="107" spans="1:65" ht="16.5" x14ac:dyDescent="0.3">
      <c r="A107" s="110" t="s">
        <v>54</v>
      </c>
      <c r="B107" s="110"/>
      <c r="C107" s="110"/>
      <c r="D107" s="4"/>
      <c r="BA107" s="189">
        <f>AV13*(1+'Assumptions + Estimates'!F16)</f>
        <v>24557.1</v>
      </c>
      <c r="BB107" s="189">
        <f>AW13*(1+'Assumptions + Estimates'!G16)</f>
        <v>26125.199999999997</v>
      </c>
      <c r="BC107" s="189">
        <f>AX13*(1+'Assumptions + Estimates'!H16)</f>
        <v>27670.799999999999</v>
      </c>
      <c r="BD107" s="189">
        <f>AY13*(1+'Assumptions + Estimates'!I16)</f>
        <v>29044.799999999999</v>
      </c>
      <c r="BE107" s="21">
        <f t="shared" si="389"/>
        <v>107397.9</v>
      </c>
      <c r="BF107" s="189">
        <f t="shared" ref="BF107:BM107" si="395">BF13</f>
        <v>29543.66</v>
      </c>
      <c r="BG107" s="189">
        <f t="shared" si="395"/>
        <v>31011.579999999998</v>
      </c>
      <c r="BH107" s="189">
        <f t="shared" si="395"/>
        <v>32393.359999999997</v>
      </c>
      <c r="BI107" s="189">
        <f t="shared" si="395"/>
        <v>33797.518103154573</v>
      </c>
      <c r="BJ107" s="21">
        <f t="shared" si="391"/>
        <v>126746.11810315456</v>
      </c>
      <c r="BK107" s="21">
        <f t="shared" si="395"/>
        <v>145758.03581862772</v>
      </c>
      <c r="BL107" s="21">
        <f t="shared" si="395"/>
        <v>167621.74119142187</v>
      </c>
      <c r="BM107" s="21">
        <f t="shared" si="395"/>
        <v>192765.00237013513</v>
      </c>
    </row>
    <row r="108" spans="1:65" ht="16.5" x14ac:dyDescent="0.3">
      <c r="A108" s="17" t="s">
        <v>105</v>
      </c>
      <c r="B108" s="17"/>
      <c r="C108" s="17"/>
      <c r="D108" s="4"/>
      <c r="BA108" s="189">
        <f>AV14*(1+'Assumptions + Estimates'!F17)</f>
        <v>1078.3500000000001</v>
      </c>
      <c r="BB108" s="189">
        <f>AW14*(1+'Assumptions + Estimates'!G17)</f>
        <v>1411.2</v>
      </c>
      <c r="BC108" s="189">
        <f>AX14*(1+'Assumptions + Estimates'!H17)</f>
        <v>1287.3</v>
      </c>
      <c r="BD108" s="189">
        <f>AY14*(1+'Assumptions + Estimates'!I17)</f>
        <v>1429.05</v>
      </c>
      <c r="BE108" s="21">
        <f t="shared" si="389"/>
        <v>5205.9000000000005</v>
      </c>
      <c r="BF108" s="189">
        <f t="shared" ref="BF108:BM108" si="396">BF14</f>
        <v>1325.1000000000001</v>
      </c>
      <c r="BG108" s="189">
        <f t="shared" si="396"/>
        <v>1323</v>
      </c>
      <c r="BH108" s="189">
        <f t="shared" si="396"/>
        <v>1378.65</v>
      </c>
      <c r="BI108" s="189">
        <f t="shared" si="396"/>
        <v>1500.5025000000001</v>
      </c>
      <c r="BJ108" s="21">
        <f t="shared" si="391"/>
        <v>5527.2525000000005</v>
      </c>
      <c r="BK108" s="21">
        <f t="shared" si="396"/>
        <v>5803.6151250000012</v>
      </c>
      <c r="BL108" s="21">
        <f t="shared" si="396"/>
        <v>6093.7958812500019</v>
      </c>
      <c r="BM108" s="21">
        <f t="shared" si="396"/>
        <v>6398.4856753125023</v>
      </c>
    </row>
    <row r="109" spans="1:65" ht="16.5" x14ac:dyDescent="0.3">
      <c r="A109" s="162" t="s">
        <v>56</v>
      </c>
      <c r="B109" s="162"/>
      <c r="C109" s="162"/>
      <c r="D109" s="4"/>
      <c r="BA109" s="195">
        <f>SUM(BA102:BA108)</f>
        <v>137489.49</v>
      </c>
      <c r="BB109" s="195">
        <f t="shared" ref="BB109:BM109" si="397">SUM(BB102:BB108)</f>
        <v>145841.22000000003</v>
      </c>
      <c r="BC109" s="195">
        <f t="shared" si="397"/>
        <v>161049.43</v>
      </c>
      <c r="BD109" s="195">
        <f t="shared" si="397"/>
        <v>191545.61999999997</v>
      </c>
      <c r="BE109" s="165">
        <f t="shared" si="397"/>
        <v>635925.76000000001</v>
      </c>
      <c r="BF109" s="195">
        <f t="shared" si="397"/>
        <v>157536.48000000001</v>
      </c>
      <c r="BG109" s="195">
        <f t="shared" si="397"/>
        <v>162805.96000000002</v>
      </c>
      <c r="BH109" s="195">
        <f t="shared" si="397"/>
        <v>174709.74</v>
      </c>
      <c r="BI109" s="195">
        <f t="shared" si="397"/>
        <v>206304.46277872135</v>
      </c>
      <c r="BJ109" s="165">
        <f t="shared" si="397"/>
        <v>701356.64277872129</v>
      </c>
      <c r="BK109" s="165">
        <f t="shared" si="397"/>
        <v>766881.77609459031</v>
      </c>
      <c r="BL109" s="165">
        <f t="shared" si="397"/>
        <v>839695.29613399704</v>
      </c>
      <c r="BM109" s="165">
        <f t="shared" si="397"/>
        <v>920707.79522990016</v>
      </c>
    </row>
    <row r="110" spans="1:65" ht="16.5" x14ac:dyDescent="0.3">
      <c r="A110" s="162" t="s">
        <v>23</v>
      </c>
      <c r="B110" s="162"/>
      <c r="C110" s="162"/>
      <c r="D110" s="4"/>
      <c r="BA110" s="195">
        <f>BA109*'Assumptions + Estimates'!F20</f>
        <v>6874.4745000000003</v>
      </c>
      <c r="BB110" s="195">
        <f>BB109*'Assumptions + Estimates'!G20</f>
        <v>10208.885400000003</v>
      </c>
      <c r="BC110" s="195">
        <f>BC109*'Assumptions + Estimates'!H20</f>
        <v>14494.448699999999</v>
      </c>
      <c r="BD110" s="195">
        <f>BD109*'Assumptions + Estimates'!I20</f>
        <v>15323.649599999997</v>
      </c>
      <c r="BE110" s="165">
        <f>SUM(BA110:BD110)</f>
        <v>46901.458200000001</v>
      </c>
      <c r="BF110" s="195">
        <f>BF109*'Assumptions + Estimates'!K20</f>
        <v>12602.9184</v>
      </c>
      <c r="BG110" s="195">
        <f>BG109*'Assumptions + Estimates'!L20</f>
        <v>13024.476800000002</v>
      </c>
      <c r="BH110" s="195">
        <f>BH109*'Assumptions + Estimates'!M20</f>
        <v>13976.779199999999</v>
      </c>
      <c r="BI110" s="195">
        <f>BI109*'Assumptions + Estimates'!N20</f>
        <v>16504.357022297707</v>
      </c>
      <c r="BJ110" s="165">
        <f>SUM(BF110:BI110)</f>
        <v>56108.53142229771</v>
      </c>
      <c r="BK110" s="165">
        <f>BK109*'Assumptions + Estimates'!P20</f>
        <v>61350.542087567228</v>
      </c>
      <c r="BL110" s="165">
        <f>BL109*'Assumptions + Estimates'!Q20</f>
        <v>63816.84250618377</v>
      </c>
      <c r="BM110" s="165">
        <f>BM109*'Assumptions + Estimates'!R20</f>
        <v>69973.79243747241</v>
      </c>
    </row>
    <row r="111" spans="1:65" ht="16.5" x14ac:dyDescent="0.3">
      <c r="A111" s="4"/>
      <c r="B111" s="4"/>
      <c r="C111" s="4"/>
      <c r="D111" s="4"/>
      <c r="BA111" t="s">
        <v>19</v>
      </c>
    </row>
    <row r="112" spans="1:65" ht="16.5" x14ac:dyDescent="0.3">
      <c r="A112" s="156" t="s">
        <v>140</v>
      </c>
      <c r="B112" s="5"/>
      <c r="C112" s="5"/>
      <c r="D112" s="4"/>
    </row>
    <row r="113" spans="1:55" ht="16.5" x14ac:dyDescent="0.3">
      <c r="A113" s="162" t="s">
        <v>56</v>
      </c>
      <c r="B113" s="162"/>
      <c r="C113" s="162"/>
      <c r="D113" s="4"/>
      <c r="BA113" s="207">
        <f>BA15-BA109</f>
        <v>5823.5100000000093</v>
      </c>
      <c r="BB113" s="207">
        <f>BB15-BB109</f>
        <v>2135.7799999999697</v>
      </c>
      <c r="BC113" s="207">
        <f>BC15-BC109</f>
        <v>-2172.429999999993</v>
      </c>
    </row>
    <row r="114" spans="1:55" ht="16.5" x14ac:dyDescent="0.3">
      <c r="A114" s="162" t="s">
        <v>23</v>
      </c>
      <c r="B114" s="162"/>
      <c r="C114" s="162"/>
      <c r="D114" s="4"/>
      <c r="BA114" s="209">
        <f>BA31-BA110</f>
        <v>3556.5254999999997</v>
      </c>
      <c r="BB114" s="209">
        <f t="shared" ref="BB114:BC114" si="398">BB31-BB110</f>
        <v>3276.1145999999972</v>
      </c>
      <c r="BC114" s="209">
        <f t="shared" si="398"/>
        <v>833.55130000000099</v>
      </c>
    </row>
    <row r="115" spans="1:55" ht="16.5" x14ac:dyDescent="0.3">
      <c r="A115" s="4"/>
      <c r="B115" s="4"/>
      <c r="C115" s="4"/>
      <c r="D115" s="4"/>
    </row>
    <row r="116" spans="1:55" ht="16.5" x14ac:dyDescent="0.3">
      <c r="A116" s="162" t="s">
        <v>141</v>
      </c>
      <c r="B116" s="162"/>
      <c r="C116" s="162"/>
      <c r="D116" s="4"/>
      <c r="BA116" s="49">
        <f>BA113/BA109</f>
        <v>4.2356037541487784E-2</v>
      </c>
      <c r="BB116" s="49">
        <f t="shared" ref="BB116:BC116" si="399">BB113/BB109</f>
        <v>1.4644556593807768E-2</v>
      </c>
      <c r="BC116" s="49">
        <f t="shared" si="399"/>
        <v>-1.3489212597647772E-2</v>
      </c>
    </row>
    <row r="117" spans="1:55" ht="16.5" x14ac:dyDescent="0.3">
      <c r="A117" s="162" t="s">
        <v>142</v>
      </c>
      <c r="B117" s="162"/>
      <c r="C117" s="162"/>
      <c r="BA117" s="49">
        <f>BA114/BA110</f>
        <v>0.51735234453193468</v>
      </c>
      <c r="BB117" s="49">
        <f t="shared" ref="BB117:BC117" si="400">BB114/BB110</f>
        <v>0.3209081571235971</v>
      </c>
      <c r="BC117" s="49">
        <f t="shared" si="400"/>
        <v>5.7508313510399402E-2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E564-600D-436C-831D-A53522149E8C}">
  <dimension ref="A1:BM57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BE46" sqref="BE46:BM52"/>
    </sheetView>
  </sheetViews>
  <sheetFormatPr defaultColWidth="9.140625" defaultRowHeight="15" outlineLevelCol="2" x14ac:dyDescent="0.25"/>
  <cols>
    <col min="5" max="12" width="9.140625" hidden="1" customWidth="1" outlineLevel="1"/>
    <col min="13" max="16" width="9.140625" hidden="1" customWidth="1" outlineLevel="2"/>
    <col min="17" max="17" width="9.140625" hidden="1" customWidth="1" outlineLevel="1"/>
    <col min="18" max="19" width="9.140625" style="139" hidden="1" customWidth="1" outlineLevel="2"/>
    <col min="20" max="20" width="9.42578125" style="139" hidden="1" customWidth="1" outlineLevel="2"/>
    <col min="21" max="21" width="9.140625" style="139" hidden="1" customWidth="1" outlineLevel="2"/>
    <col min="22" max="22" width="9.140625" hidden="1" customWidth="1" outlineLevel="1"/>
    <col min="23" max="26" width="9.140625" hidden="1" customWidth="1" outlineLevel="2"/>
    <col min="27" max="27" width="9.140625" hidden="1" customWidth="1" outlineLevel="1"/>
    <col min="28" max="31" width="9.140625" hidden="1" customWidth="1" outlineLevel="2"/>
    <col min="32" max="32" width="9.140625" hidden="1" customWidth="1" outlineLevel="1" collapsed="1"/>
    <col min="33" max="36" width="9.140625" hidden="1" customWidth="1" outlineLevel="2"/>
    <col min="37" max="37" width="9.140625" hidden="1" customWidth="1" outlineLevel="1" collapsed="1"/>
    <col min="38" max="41" width="9.140625" hidden="1" customWidth="1" outlineLevel="1"/>
    <col min="42" max="42" width="9.140625" collapsed="1"/>
    <col min="43" max="44" width="9.140625" hidden="1" customWidth="1" outlineLevel="1"/>
    <col min="45" max="45" width="9.42578125" hidden="1" customWidth="1" outlineLevel="1"/>
    <col min="46" max="46" width="9.140625" hidden="1" customWidth="1" outlineLevel="1"/>
    <col min="47" max="47" width="9.140625" collapsed="1"/>
    <col min="48" max="48" width="9.42578125" hidden="1" customWidth="1" outlineLevel="1"/>
    <col min="49" max="51" width="9.140625" hidden="1" customWidth="1" outlineLevel="1"/>
    <col min="52" max="52" width="9.140625" collapsed="1"/>
    <col min="53" max="55" width="9.140625" hidden="1" customWidth="1" outlineLevel="1"/>
    <col min="56" max="56" width="10.5703125" hidden="1" customWidth="1" outlineLevel="1"/>
    <col min="57" max="57" width="9.7109375" bestFit="1" customWidth="1" collapsed="1"/>
    <col min="58" max="61" width="10.7109375" hidden="1" customWidth="1" outlineLevel="1"/>
    <col min="62" max="62" width="9.140625" collapsed="1"/>
  </cols>
  <sheetData>
    <row r="1" spans="1:65" ht="16.5" x14ac:dyDescent="0.3">
      <c r="A1" s="122" t="s">
        <v>10</v>
      </c>
      <c r="B1" s="2"/>
      <c r="C1" s="2"/>
      <c r="D1" s="4"/>
    </row>
    <row r="2" spans="1:65" ht="16.5" x14ac:dyDescent="0.3">
      <c r="A2" s="1" t="s">
        <v>78</v>
      </c>
      <c r="B2" s="1"/>
      <c r="C2" s="1"/>
      <c r="D2" s="4"/>
    </row>
    <row r="3" spans="1:65" ht="16.5" x14ac:dyDescent="0.3">
      <c r="A3" s="3" t="s">
        <v>104</v>
      </c>
      <c r="B3" s="3"/>
      <c r="C3" s="3"/>
      <c r="D3" s="4"/>
    </row>
    <row r="4" spans="1:65" ht="16.5" x14ac:dyDescent="0.3">
      <c r="A4" s="4"/>
      <c r="B4" s="4"/>
      <c r="C4" s="4"/>
      <c r="D4" s="4"/>
    </row>
    <row r="5" spans="1:65" ht="16.5" x14ac:dyDescent="0.3">
      <c r="A5" s="4"/>
      <c r="B5" s="4"/>
      <c r="C5" s="4"/>
      <c r="D5" s="4"/>
      <c r="BD5" s="66" t="s">
        <v>43</v>
      </c>
      <c r="BE5" s="66" t="s">
        <v>43</v>
      </c>
      <c r="BF5" s="66" t="s">
        <v>43</v>
      </c>
      <c r="BG5" s="66" t="s">
        <v>43</v>
      </c>
      <c r="BH5" s="66" t="s">
        <v>43</v>
      </c>
      <c r="BI5" s="66" t="s">
        <v>43</v>
      </c>
      <c r="BJ5" s="66" t="s">
        <v>43</v>
      </c>
      <c r="BK5" s="66" t="s">
        <v>43</v>
      </c>
      <c r="BL5" s="66" t="s">
        <v>43</v>
      </c>
      <c r="BM5" s="66" t="s">
        <v>43</v>
      </c>
    </row>
    <row r="6" spans="1:65" ht="16.5" x14ac:dyDescent="0.3">
      <c r="A6" s="5" t="s">
        <v>0</v>
      </c>
      <c r="B6" s="6"/>
      <c r="C6" s="6"/>
      <c r="D6" s="6" t="s">
        <v>0</v>
      </c>
      <c r="E6" s="27">
        <v>2008</v>
      </c>
      <c r="F6" s="27">
        <v>2009</v>
      </c>
      <c r="G6" s="27">
        <v>2010</v>
      </c>
      <c r="H6" s="27">
        <v>2011</v>
      </c>
      <c r="I6" s="27">
        <v>2012</v>
      </c>
      <c r="J6" s="27">
        <v>2013</v>
      </c>
      <c r="K6" s="27">
        <v>2014</v>
      </c>
      <c r="L6" s="27">
        <v>2015</v>
      </c>
      <c r="M6" s="28">
        <v>42460</v>
      </c>
      <c r="N6" s="28">
        <v>42551</v>
      </c>
      <c r="O6" s="28">
        <v>42643</v>
      </c>
      <c r="P6" s="28">
        <v>42735</v>
      </c>
      <c r="Q6" s="27">
        <v>2016</v>
      </c>
      <c r="R6" s="82">
        <v>42825</v>
      </c>
      <c r="S6" s="82">
        <v>42916</v>
      </c>
      <c r="T6" s="82">
        <v>43008</v>
      </c>
      <c r="U6" s="82">
        <v>43100</v>
      </c>
      <c r="V6" s="27">
        <v>2017</v>
      </c>
      <c r="W6" s="28">
        <v>43190</v>
      </c>
      <c r="X6" s="28">
        <v>43281</v>
      </c>
      <c r="Y6" s="28">
        <v>43373</v>
      </c>
      <c r="Z6" s="28">
        <v>43465</v>
      </c>
      <c r="AA6" s="27">
        <v>2018</v>
      </c>
      <c r="AB6" s="28">
        <v>43555</v>
      </c>
      <c r="AC6" s="28">
        <v>43646</v>
      </c>
      <c r="AD6" s="28">
        <v>43738</v>
      </c>
      <c r="AE6" s="28">
        <v>43830</v>
      </c>
      <c r="AF6" s="27">
        <v>2019</v>
      </c>
      <c r="AG6" s="28">
        <v>43921</v>
      </c>
      <c r="AH6" s="28">
        <v>44012</v>
      </c>
      <c r="AI6" s="28">
        <v>44104</v>
      </c>
      <c r="AJ6" s="28">
        <v>44196</v>
      </c>
      <c r="AK6" s="27">
        <v>2020</v>
      </c>
      <c r="AL6" s="28">
        <v>44286</v>
      </c>
      <c r="AM6" s="28">
        <v>44377</v>
      </c>
      <c r="AN6" s="28">
        <v>44469</v>
      </c>
      <c r="AO6" s="28">
        <v>44561</v>
      </c>
      <c r="AP6" s="27">
        <v>2021</v>
      </c>
      <c r="AQ6" s="28">
        <v>44651</v>
      </c>
      <c r="AR6" s="28">
        <v>44742</v>
      </c>
      <c r="AS6" s="28">
        <v>44834</v>
      </c>
      <c r="AT6" s="28">
        <v>44926</v>
      </c>
      <c r="AU6" s="27">
        <v>2022</v>
      </c>
      <c r="AV6" s="28">
        <v>45016</v>
      </c>
      <c r="AW6" s="28">
        <v>45107</v>
      </c>
      <c r="AX6" s="28">
        <v>45199</v>
      </c>
      <c r="AY6" s="28">
        <v>45291</v>
      </c>
      <c r="AZ6" s="27">
        <v>2023</v>
      </c>
      <c r="BA6" s="28">
        <v>45382</v>
      </c>
      <c r="BB6" s="28">
        <v>45473</v>
      </c>
      <c r="BC6" s="28">
        <v>45565</v>
      </c>
      <c r="BD6" s="28">
        <v>45657</v>
      </c>
      <c r="BE6" s="27">
        <v>2024</v>
      </c>
      <c r="BF6" s="28">
        <v>45747</v>
      </c>
      <c r="BG6" s="28">
        <v>45838</v>
      </c>
      <c r="BH6" s="28">
        <v>45930</v>
      </c>
      <c r="BI6" s="28">
        <v>46022</v>
      </c>
      <c r="BJ6" s="27">
        <v>2025</v>
      </c>
      <c r="BK6" s="27">
        <v>2026</v>
      </c>
      <c r="BL6" s="27">
        <v>2027</v>
      </c>
      <c r="BM6" s="27">
        <v>2028</v>
      </c>
    </row>
    <row r="7" spans="1:65" ht="16.5" x14ac:dyDescent="0.3">
      <c r="A7" s="4"/>
      <c r="B7" s="4"/>
      <c r="C7" s="4"/>
      <c r="D7" s="4"/>
    </row>
    <row r="8" spans="1:65" ht="16.5" x14ac:dyDescent="0.3">
      <c r="A8" s="4" t="s">
        <v>79</v>
      </c>
      <c r="B8" s="4"/>
      <c r="C8" s="4"/>
      <c r="D8" s="4"/>
      <c r="E8" s="21">
        <v>2769</v>
      </c>
      <c r="F8" s="21">
        <v>3444</v>
      </c>
      <c r="G8" s="21">
        <v>3777</v>
      </c>
      <c r="H8" s="21">
        <v>5269</v>
      </c>
      <c r="I8" s="21">
        <v>8084</v>
      </c>
      <c r="J8" s="21">
        <v>8658</v>
      </c>
      <c r="K8" s="21">
        <v>14557</v>
      </c>
      <c r="L8" s="21">
        <v>15890</v>
      </c>
      <c r="M8" s="30">
        <v>12470</v>
      </c>
      <c r="N8" s="30">
        <v>12521</v>
      </c>
      <c r="O8" s="30">
        <v>13656</v>
      </c>
      <c r="P8" s="30">
        <v>19334</v>
      </c>
      <c r="Q8" s="21">
        <v>19334</v>
      </c>
      <c r="R8" s="76">
        <v>15440</v>
      </c>
      <c r="S8" s="76">
        <v>13203</v>
      </c>
      <c r="T8" s="76">
        <v>12767</v>
      </c>
      <c r="U8" s="76">
        <v>20522</v>
      </c>
      <c r="V8" s="21">
        <v>20522</v>
      </c>
      <c r="W8" s="30">
        <v>16676</v>
      </c>
      <c r="X8" s="30">
        <v>19823</v>
      </c>
      <c r="Y8" s="30">
        <v>20425</v>
      </c>
      <c r="Z8" s="30">
        <v>31750</v>
      </c>
      <c r="AA8" s="21">
        <v>31750</v>
      </c>
      <c r="AB8" s="30">
        <v>23115</v>
      </c>
      <c r="AC8" s="30">
        <v>22616</v>
      </c>
      <c r="AD8" s="30">
        <v>23255</v>
      </c>
      <c r="AE8" s="30">
        <v>36092</v>
      </c>
      <c r="AF8" s="21">
        <v>36092</v>
      </c>
      <c r="AG8" s="30">
        <v>27201</v>
      </c>
      <c r="AH8" s="30">
        <v>36092</v>
      </c>
      <c r="AI8" s="30">
        <v>29930</v>
      </c>
      <c r="AJ8" s="30">
        <v>42122</v>
      </c>
      <c r="AK8" s="21">
        <v>42122</v>
      </c>
      <c r="AL8" s="30">
        <v>33834</v>
      </c>
      <c r="AM8" s="30">
        <v>40380</v>
      </c>
      <c r="AN8" s="30">
        <v>29944</v>
      </c>
      <c r="AO8" s="30">
        <v>36220</v>
      </c>
      <c r="AP8" s="21">
        <v>36220</v>
      </c>
      <c r="AQ8" s="30">
        <v>36393</v>
      </c>
      <c r="AR8" s="30">
        <v>37478</v>
      </c>
      <c r="AS8" s="30">
        <v>34947</v>
      </c>
      <c r="AT8" s="30">
        <v>53888</v>
      </c>
      <c r="AU8" s="21">
        <v>53888</v>
      </c>
      <c r="AV8" s="30">
        <v>49343</v>
      </c>
      <c r="AW8" s="30">
        <v>49529</v>
      </c>
      <c r="AX8" s="30">
        <v>49605</v>
      </c>
      <c r="AY8" s="30">
        <v>73387</v>
      </c>
      <c r="AZ8" s="21">
        <v>73387</v>
      </c>
      <c r="BA8" s="30">
        <v>72852</v>
      </c>
      <c r="BB8" s="30">
        <v>71178</v>
      </c>
      <c r="BC8" s="30">
        <v>75091</v>
      </c>
      <c r="BD8" s="193">
        <f>BD32+BD40-BD18-BD9-BD10-BD11</f>
        <v>85676.71827700529</v>
      </c>
      <c r="BE8" s="141">
        <f>BD8</f>
        <v>85676.71827700529</v>
      </c>
      <c r="BF8" s="189">
        <f>BF32+BF40-BF18-BF9-BF10-BF11</f>
        <v>88244.538605416659</v>
      </c>
      <c r="BG8" s="189">
        <f t="shared" ref="BG8:BK8" si="0">BG32+BG40-BG18-BG9-BG10-BG11</f>
        <v>96981.30363270102</v>
      </c>
      <c r="BH8" s="189">
        <f t="shared" si="0"/>
        <v>110678.75499799306</v>
      </c>
      <c r="BI8" s="189">
        <f t="shared" si="0"/>
        <v>119328.84758259509</v>
      </c>
      <c r="BJ8" s="141">
        <f>BI8</f>
        <v>119328.84758259509</v>
      </c>
      <c r="BK8" s="141">
        <f t="shared" si="0"/>
        <v>162927.40276445597</v>
      </c>
      <c r="BL8" s="141">
        <f t="shared" ref="BL8" si="1">BL32+BL40-BL18-BL9-BL10-BL11</f>
        <v>208523.49702055485</v>
      </c>
      <c r="BM8" s="141">
        <f>BM32+BM40-BM18-BM9-BM10-BM11</f>
        <v>260421.2214150115</v>
      </c>
    </row>
    <row r="9" spans="1:65" ht="16.5" x14ac:dyDescent="0.3">
      <c r="A9" s="4" t="s">
        <v>143</v>
      </c>
      <c r="B9" s="4"/>
      <c r="C9" s="4"/>
      <c r="D9" s="4"/>
      <c r="E9" s="13">
        <v>958</v>
      </c>
      <c r="F9" s="21">
        <v>2922</v>
      </c>
      <c r="G9" s="21">
        <v>4985</v>
      </c>
      <c r="H9" s="21">
        <v>4307</v>
      </c>
      <c r="I9" s="21">
        <v>3364</v>
      </c>
      <c r="J9" s="21">
        <v>3789</v>
      </c>
      <c r="K9" s="21">
        <v>2859</v>
      </c>
      <c r="L9" s="21">
        <v>3918</v>
      </c>
      <c r="M9" s="30">
        <v>3389</v>
      </c>
      <c r="N9" s="30">
        <v>4019</v>
      </c>
      <c r="O9" s="30">
        <v>4691</v>
      </c>
      <c r="P9" s="30">
        <v>6647</v>
      </c>
      <c r="Q9" s="21">
        <v>6647</v>
      </c>
      <c r="R9" s="76">
        <v>6091</v>
      </c>
      <c r="S9" s="76">
        <v>8248</v>
      </c>
      <c r="T9" s="76">
        <v>11543</v>
      </c>
      <c r="U9" s="76">
        <v>10464</v>
      </c>
      <c r="V9" s="21">
        <v>10464</v>
      </c>
      <c r="W9" s="30">
        <v>8287</v>
      </c>
      <c r="X9" s="30">
        <v>7227</v>
      </c>
      <c r="Y9" s="30">
        <v>9340</v>
      </c>
      <c r="Z9" s="30">
        <v>9500</v>
      </c>
      <c r="AA9" s="21">
        <v>9500</v>
      </c>
      <c r="AB9" s="30">
        <v>13905</v>
      </c>
      <c r="AC9" s="30">
        <v>18847</v>
      </c>
      <c r="AD9" s="30">
        <v>20146</v>
      </c>
      <c r="AE9" s="30">
        <v>18929</v>
      </c>
      <c r="AF9" s="21">
        <v>18929</v>
      </c>
      <c r="AG9" s="30">
        <v>22091</v>
      </c>
      <c r="AH9" s="30">
        <v>18929</v>
      </c>
      <c r="AI9" s="30">
        <v>38472</v>
      </c>
      <c r="AJ9" s="30">
        <v>42274</v>
      </c>
      <c r="AK9" s="21">
        <v>42274</v>
      </c>
      <c r="AL9" s="30">
        <v>39436</v>
      </c>
      <c r="AM9" s="30">
        <v>49514</v>
      </c>
      <c r="AN9" s="30">
        <v>49044</v>
      </c>
      <c r="AO9" s="30">
        <v>59829</v>
      </c>
      <c r="AP9" s="21">
        <v>59829</v>
      </c>
      <c r="AQ9" s="30">
        <v>29992</v>
      </c>
      <c r="AR9" s="30">
        <v>23232</v>
      </c>
      <c r="AS9" s="30">
        <v>23715</v>
      </c>
      <c r="AT9" s="30">
        <v>16138</v>
      </c>
      <c r="AU9" s="21">
        <v>16138</v>
      </c>
      <c r="AV9" s="30">
        <v>15062</v>
      </c>
      <c r="AW9" s="30">
        <v>14441</v>
      </c>
      <c r="AX9" s="30">
        <v>14564</v>
      </c>
      <c r="AY9" s="30">
        <v>13393</v>
      </c>
      <c r="AZ9" s="21">
        <v>13393</v>
      </c>
      <c r="BA9" s="30">
        <v>12222</v>
      </c>
      <c r="BB9" s="30">
        <v>17914</v>
      </c>
      <c r="BC9" s="30">
        <v>12960</v>
      </c>
      <c r="BD9" s="189">
        <f>BC9*(1+'Assumptions + Estimates'!$J$8)</f>
        <v>13530.24</v>
      </c>
      <c r="BE9" s="141">
        <f>BD9</f>
        <v>13530.24</v>
      </c>
      <c r="BF9" s="189">
        <f>BE9*(1+'Assumptions + Estimates'!$O$8)</f>
        <v>13990.26816</v>
      </c>
      <c r="BG9" s="189">
        <f>BF9*(1+'Assumptions + Estimates'!$O$8)</f>
        <v>14465.93727744</v>
      </c>
      <c r="BH9" s="189">
        <f>BG9*(1+'Assumptions + Estimates'!$O$8)</f>
        <v>14957.77914487296</v>
      </c>
      <c r="BI9" s="189">
        <f>BH9*(1+'Assumptions + Estimates'!$O$8)</f>
        <v>15466.343635798641</v>
      </c>
      <c r="BJ9" s="141">
        <f>BI9</f>
        <v>15466.343635798641</v>
      </c>
      <c r="BK9" s="141">
        <f>BJ9*(1+'Assumptions + Estimates'!$O$8)</f>
        <v>15992.199319415795</v>
      </c>
      <c r="BL9" s="141">
        <f>BK9*(1+'Assumptions + Estimates'!$O$8)</f>
        <v>16535.934096275931</v>
      </c>
      <c r="BM9" s="141">
        <f>BL9*(1+'Assumptions + Estimates'!$O$8)</f>
        <v>17098.155855549314</v>
      </c>
    </row>
    <row r="10" spans="1:65" ht="16.5" x14ac:dyDescent="0.3">
      <c r="A10" s="4" t="s">
        <v>80</v>
      </c>
      <c r="B10" s="4"/>
      <c r="C10" s="4"/>
      <c r="D10" s="4"/>
      <c r="E10" s="21">
        <v>1399</v>
      </c>
      <c r="F10" s="21">
        <v>2171</v>
      </c>
      <c r="G10" s="21">
        <v>3202</v>
      </c>
      <c r="H10" s="21">
        <v>4992</v>
      </c>
      <c r="I10" s="21">
        <v>6031</v>
      </c>
      <c r="J10" s="21">
        <v>7411</v>
      </c>
      <c r="K10" s="21">
        <v>8299</v>
      </c>
      <c r="L10" s="21">
        <v>10243</v>
      </c>
      <c r="M10" s="30">
        <v>9582</v>
      </c>
      <c r="N10" s="30">
        <v>9588</v>
      </c>
      <c r="O10" s="30">
        <v>10696</v>
      </c>
      <c r="P10" s="30">
        <v>11461</v>
      </c>
      <c r="Q10" s="21">
        <v>11461</v>
      </c>
      <c r="R10" s="76">
        <v>10600</v>
      </c>
      <c r="S10" s="76">
        <v>11510</v>
      </c>
      <c r="T10" s="76">
        <v>13711</v>
      </c>
      <c r="U10" s="76">
        <v>16047</v>
      </c>
      <c r="V10" s="21">
        <v>16047</v>
      </c>
      <c r="W10" s="30">
        <v>13840</v>
      </c>
      <c r="X10" s="30">
        <v>14824</v>
      </c>
      <c r="Y10" s="30">
        <v>15862</v>
      </c>
      <c r="Z10" s="30">
        <v>17174</v>
      </c>
      <c r="AA10" s="21">
        <v>17174</v>
      </c>
      <c r="AB10" s="30">
        <v>16432</v>
      </c>
      <c r="AC10" s="30">
        <v>18580</v>
      </c>
      <c r="AD10" s="30">
        <v>18766</v>
      </c>
      <c r="AE10" s="30">
        <v>20497</v>
      </c>
      <c r="AF10" s="21">
        <v>20497</v>
      </c>
      <c r="AG10" s="30">
        <v>18857</v>
      </c>
      <c r="AH10" s="30">
        <v>20497</v>
      </c>
      <c r="AI10" s="30">
        <v>23735</v>
      </c>
      <c r="AJ10" s="30">
        <v>23795</v>
      </c>
      <c r="AK10" s="21">
        <v>23795</v>
      </c>
      <c r="AL10" s="30">
        <v>23849</v>
      </c>
      <c r="AM10" s="30">
        <v>24119</v>
      </c>
      <c r="AN10" s="30">
        <v>30933</v>
      </c>
      <c r="AO10" s="30">
        <v>32640</v>
      </c>
      <c r="AP10" s="21">
        <v>32640</v>
      </c>
      <c r="AQ10" s="30">
        <v>34987</v>
      </c>
      <c r="AR10" s="30">
        <v>38153</v>
      </c>
      <c r="AS10" s="30">
        <v>36647</v>
      </c>
      <c r="AT10" s="30">
        <v>34405</v>
      </c>
      <c r="AU10" s="21">
        <v>34405</v>
      </c>
      <c r="AV10" s="30">
        <v>34170</v>
      </c>
      <c r="AW10" s="30">
        <v>36587</v>
      </c>
      <c r="AX10" s="30">
        <v>35406</v>
      </c>
      <c r="AY10" s="30">
        <v>33318</v>
      </c>
      <c r="AZ10" s="21">
        <v>33318</v>
      </c>
      <c r="BA10" s="30">
        <v>31147</v>
      </c>
      <c r="BB10" s="30">
        <v>34109</v>
      </c>
      <c r="BC10" s="30">
        <v>36103</v>
      </c>
      <c r="BD10" s="189">
        <f>BC10*(1+'Assumptions + Estimates'!$J$7)</f>
        <v>37041.678</v>
      </c>
      <c r="BE10" s="141">
        <f>BD10</f>
        <v>37041.678</v>
      </c>
      <c r="BF10" s="189">
        <f>BE10*(1+'Assumptions + Estimates'!$O$7)</f>
        <v>37819.553237999993</v>
      </c>
      <c r="BG10" s="189">
        <f>BF10*(1+'Assumptions + Estimates'!$O$7)</f>
        <v>38613.76385599799</v>
      </c>
      <c r="BH10" s="189">
        <f>BG10*(1+'Assumptions + Estimates'!$O$7)</f>
        <v>39424.652896973945</v>
      </c>
      <c r="BI10" s="189">
        <f>BH10*(1+'Assumptions + Estimates'!$O$7)</f>
        <v>40252.57060781039</v>
      </c>
      <c r="BJ10" s="141">
        <f>BI10</f>
        <v>40252.57060781039</v>
      </c>
      <c r="BK10" s="141">
        <f>BJ10*(1+'Assumptions + Estimates'!P7)</f>
        <v>41057.622019966599</v>
      </c>
      <c r="BL10" s="141">
        <f>BK10*(1+'Assumptions + Estimates'!Q7)</f>
        <v>41878.77446036593</v>
      </c>
      <c r="BM10" s="141">
        <f>BL10*(1+'Assumptions + Estimates'!R7)</f>
        <v>42716.349949573247</v>
      </c>
    </row>
    <row r="11" spans="1:65" ht="16.5" x14ac:dyDescent="0.3">
      <c r="A11" s="4" t="s">
        <v>81</v>
      </c>
      <c r="B11" s="4"/>
      <c r="C11" s="4"/>
      <c r="D11" s="4"/>
      <c r="E11" s="13">
        <v>827</v>
      </c>
      <c r="F11" s="13">
        <v>988</v>
      </c>
      <c r="G11" s="21">
        <v>1587</v>
      </c>
      <c r="H11" s="21">
        <v>2571</v>
      </c>
      <c r="I11" s="21">
        <v>3817</v>
      </c>
      <c r="J11" s="21">
        <v>4767</v>
      </c>
      <c r="K11" s="21">
        <v>5612</v>
      </c>
      <c r="L11" s="21">
        <v>5654</v>
      </c>
      <c r="M11" s="30">
        <v>5072</v>
      </c>
      <c r="N11" s="30">
        <v>6092</v>
      </c>
      <c r="O11" s="30">
        <v>6566</v>
      </c>
      <c r="P11" s="30">
        <v>8339</v>
      </c>
      <c r="Q11" s="21">
        <v>8339</v>
      </c>
      <c r="R11" s="76">
        <v>7329</v>
      </c>
      <c r="S11" s="76">
        <v>8046</v>
      </c>
      <c r="T11" s="76">
        <v>10557</v>
      </c>
      <c r="U11" s="76">
        <v>13164</v>
      </c>
      <c r="V11" s="21">
        <v>13164</v>
      </c>
      <c r="W11" s="30">
        <v>12026</v>
      </c>
      <c r="X11" s="30">
        <v>12607</v>
      </c>
      <c r="Y11" s="30">
        <v>14258</v>
      </c>
      <c r="Z11" s="30">
        <v>16677</v>
      </c>
      <c r="AA11" s="21">
        <v>16677</v>
      </c>
      <c r="AB11" s="30">
        <v>15979</v>
      </c>
      <c r="AC11" s="30">
        <v>16747</v>
      </c>
      <c r="AD11" s="30">
        <v>16887</v>
      </c>
      <c r="AE11" s="30">
        <v>20816</v>
      </c>
      <c r="AF11" s="21">
        <v>20816</v>
      </c>
      <c r="AG11" s="30">
        <v>17836</v>
      </c>
      <c r="AH11" s="30">
        <v>20816</v>
      </c>
      <c r="AI11" s="30">
        <v>20832</v>
      </c>
      <c r="AJ11" s="30">
        <v>24542</v>
      </c>
      <c r="AK11" s="21">
        <v>24542</v>
      </c>
      <c r="AL11" s="30">
        <v>24289</v>
      </c>
      <c r="AM11" s="30">
        <v>26835</v>
      </c>
      <c r="AN11" s="30">
        <v>28610</v>
      </c>
      <c r="AO11" s="30">
        <v>32891</v>
      </c>
      <c r="AP11" s="21">
        <v>32891</v>
      </c>
      <c r="AQ11" s="30">
        <v>32504</v>
      </c>
      <c r="AR11" s="30">
        <v>34804</v>
      </c>
      <c r="AS11" s="30">
        <v>36154</v>
      </c>
      <c r="AT11" s="30">
        <v>42360</v>
      </c>
      <c r="AU11" s="21">
        <v>42360</v>
      </c>
      <c r="AV11" s="30">
        <v>37646</v>
      </c>
      <c r="AW11" s="30">
        <v>39925</v>
      </c>
      <c r="AX11" s="30">
        <v>43420</v>
      </c>
      <c r="AY11" s="30">
        <v>52253</v>
      </c>
      <c r="AZ11" s="21">
        <v>52253</v>
      </c>
      <c r="BA11" s="30">
        <v>47768</v>
      </c>
      <c r="BB11" s="30">
        <v>50106</v>
      </c>
      <c r="BC11" s="30">
        <v>51638</v>
      </c>
      <c r="BD11" s="189">
        <f>BC11*(AY11/AX11)</f>
        <v>62142.800875172732</v>
      </c>
      <c r="BE11" s="141">
        <f>BD11</f>
        <v>62142.800875172732</v>
      </c>
      <c r="BF11" s="189">
        <f>BE11*(BA11/AZ11)</f>
        <v>56808.935605711653</v>
      </c>
      <c r="BG11" s="189">
        <f t="shared" ref="BG11:BI11" si="2">BF11*(BB11/BA11)</f>
        <v>59589.443298019352</v>
      </c>
      <c r="BH11" s="189">
        <f t="shared" si="2"/>
        <v>61411.401289728245</v>
      </c>
      <c r="BI11" s="189">
        <f t="shared" si="2"/>
        <v>73904.420810505995</v>
      </c>
      <c r="BJ11" s="141">
        <f>BI11</f>
        <v>73904.420810505995</v>
      </c>
      <c r="BK11" s="141">
        <f>BJ11*(BJ11/BE11)</f>
        <v>87892.134541983163</v>
      </c>
      <c r="BL11" s="141">
        <f>BK11*(BK11/BJ11)</f>
        <v>104527.26954120054</v>
      </c>
      <c r="BM11" s="141">
        <f>BL11*(BL11/BK11)</f>
        <v>124310.89692695795</v>
      </c>
    </row>
    <row r="12" spans="1:65" ht="16.5" x14ac:dyDescent="0.3">
      <c r="A12" s="7" t="s">
        <v>144</v>
      </c>
      <c r="B12" s="7"/>
      <c r="C12" s="7"/>
      <c r="D12" s="7" t="s">
        <v>0</v>
      </c>
      <c r="E12" s="20">
        <f t="shared" ref="E12:AJ12" si="3">SUM(E8:E11)</f>
        <v>5953</v>
      </c>
      <c r="F12" s="20">
        <f t="shared" si="3"/>
        <v>9525</v>
      </c>
      <c r="G12" s="20">
        <f t="shared" si="3"/>
        <v>13551</v>
      </c>
      <c r="H12" s="20">
        <f t="shared" si="3"/>
        <v>17139</v>
      </c>
      <c r="I12" s="20">
        <f t="shared" si="3"/>
        <v>21296</v>
      </c>
      <c r="J12" s="20">
        <f t="shared" si="3"/>
        <v>24625</v>
      </c>
      <c r="K12" s="20">
        <f t="shared" si="3"/>
        <v>31327</v>
      </c>
      <c r="L12" s="20">
        <f t="shared" si="3"/>
        <v>35705</v>
      </c>
      <c r="M12" s="31">
        <f t="shared" si="3"/>
        <v>30513</v>
      </c>
      <c r="N12" s="31">
        <f t="shared" si="3"/>
        <v>32220</v>
      </c>
      <c r="O12" s="31">
        <f t="shared" si="3"/>
        <v>35609</v>
      </c>
      <c r="P12" s="31">
        <f t="shared" si="3"/>
        <v>45781</v>
      </c>
      <c r="Q12" s="20">
        <f t="shared" si="3"/>
        <v>45781</v>
      </c>
      <c r="R12" s="79">
        <f t="shared" si="3"/>
        <v>39460</v>
      </c>
      <c r="S12" s="79">
        <f t="shared" si="3"/>
        <v>41007</v>
      </c>
      <c r="T12" s="79">
        <f t="shared" si="3"/>
        <v>48578</v>
      </c>
      <c r="U12" s="79">
        <f t="shared" si="3"/>
        <v>60197</v>
      </c>
      <c r="V12" s="20">
        <f t="shared" si="3"/>
        <v>60197</v>
      </c>
      <c r="W12" s="31">
        <f t="shared" si="3"/>
        <v>50829</v>
      </c>
      <c r="X12" s="31">
        <f t="shared" si="3"/>
        <v>54481</v>
      </c>
      <c r="Y12" s="31">
        <f t="shared" si="3"/>
        <v>59885</v>
      </c>
      <c r="Z12" s="31">
        <f t="shared" si="3"/>
        <v>75101</v>
      </c>
      <c r="AA12" s="20">
        <f t="shared" si="3"/>
        <v>75101</v>
      </c>
      <c r="AB12" s="31">
        <f t="shared" si="3"/>
        <v>69431</v>
      </c>
      <c r="AC12" s="31">
        <f t="shared" si="3"/>
        <v>76790</v>
      </c>
      <c r="AD12" s="31">
        <f t="shared" si="3"/>
        <v>79054</v>
      </c>
      <c r="AE12" s="31">
        <f t="shared" si="3"/>
        <v>96334</v>
      </c>
      <c r="AF12" s="20">
        <f t="shared" si="3"/>
        <v>96334</v>
      </c>
      <c r="AG12" s="31">
        <f t="shared" si="3"/>
        <v>85985</v>
      </c>
      <c r="AH12" s="31">
        <f t="shared" si="3"/>
        <v>96334</v>
      </c>
      <c r="AI12" s="31">
        <f t="shared" si="3"/>
        <v>112969</v>
      </c>
      <c r="AJ12" s="31">
        <f t="shared" si="3"/>
        <v>132733</v>
      </c>
      <c r="AK12" s="20">
        <f t="shared" ref="AK12:BJ12" si="4">SUM(AK8:AK11)</f>
        <v>132733</v>
      </c>
      <c r="AL12" s="31">
        <f t="shared" si="4"/>
        <v>121408</v>
      </c>
      <c r="AM12" s="31">
        <f t="shared" si="4"/>
        <v>140848</v>
      </c>
      <c r="AN12" s="31">
        <f t="shared" si="4"/>
        <v>138531</v>
      </c>
      <c r="AO12" s="31">
        <f t="shared" si="4"/>
        <v>161580</v>
      </c>
      <c r="AP12" s="20">
        <f t="shared" si="4"/>
        <v>161580</v>
      </c>
      <c r="AQ12" s="31">
        <f t="shared" si="4"/>
        <v>133876</v>
      </c>
      <c r="AR12" s="31">
        <f t="shared" si="4"/>
        <v>133667</v>
      </c>
      <c r="AS12" s="31">
        <f t="shared" si="4"/>
        <v>131463</v>
      </c>
      <c r="AT12" s="31">
        <f t="shared" si="4"/>
        <v>146791</v>
      </c>
      <c r="AU12" s="20">
        <f t="shared" si="4"/>
        <v>146791</v>
      </c>
      <c r="AV12" s="31">
        <f t="shared" si="4"/>
        <v>136221</v>
      </c>
      <c r="AW12" s="31">
        <f t="shared" si="4"/>
        <v>140482</v>
      </c>
      <c r="AX12" s="31">
        <f t="shared" si="4"/>
        <v>142995</v>
      </c>
      <c r="AY12" s="31">
        <f t="shared" si="4"/>
        <v>172351</v>
      </c>
      <c r="AZ12" s="20">
        <f t="shared" si="4"/>
        <v>172351</v>
      </c>
      <c r="BA12" s="31">
        <f t="shared" si="4"/>
        <v>163989</v>
      </c>
      <c r="BB12" s="31">
        <f t="shared" si="4"/>
        <v>173307</v>
      </c>
      <c r="BC12" s="31">
        <f t="shared" si="4"/>
        <v>175792</v>
      </c>
      <c r="BD12" s="190">
        <f t="shared" si="4"/>
        <v>198391.43715217803</v>
      </c>
      <c r="BE12" s="245">
        <f t="shared" si="4"/>
        <v>198391.43715217803</v>
      </c>
      <c r="BF12" s="190">
        <f t="shared" si="4"/>
        <v>196863.29560912831</v>
      </c>
      <c r="BG12" s="190">
        <f t="shared" si="4"/>
        <v>209650.44806415835</v>
      </c>
      <c r="BH12" s="190">
        <f t="shared" si="4"/>
        <v>226472.58832956821</v>
      </c>
      <c r="BI12" s="190">
        <f t="shared" si="4"/>
        <v>248952.18263671012</v>
      </c>
      <c r="BJ12" s="245">
        <f t="shared" si="4"/>
        <v>248952.18263671012</v>
      </c>
      <c r="BK12" s="245">
        <f t="shared" ref="BK12:BM12" si="5">SUM(BK8:BK11)</f>
        <v>307869.35864582151</v>
      </c>
      <c r="BL12" s="245">
        <f t="shared" si="5"/>
        <v>371465.47511839727</v>
      </c>
      <c r="BM12" s="245">
        <f t="shared" si="5"/>
        <v>444546.62414709199</v>
      </c>
    </row>
    <row r="13" spans="1:65" ht="16.5" x14ac:dyDescent="0.3">
      <c r="A13" s="4"/>
      <c r="B13" s="4"/>
      <c r="C13" s="4"/>
      <c r="D13" s="4"/>
      <c r="E13" s="13"/>
      <c r="F13" s="13"/>
      <c r="G13" s="13"/>
      <c r="H13" s="13"/>
      <c r="I13" s="13"/>
      <c r="J13" s="13"/>
      <c r="K13" s="13"/>
      <c r="L13" s="13"/>
      <c r="M13" s="29"/>
      <c r="N13" s="29"/>
      <c r="O13" s="29"/>
      <c r="P13" s="29"/>
      <c r="Q13" s="13"/>
      <c r="R13" s="81"/>
      <c r="S13" s="81"/>
      <c r="T13" s="81"/>
      <c r="U13" s="81"/>
      <c r="V13" s="13"/>
      <c r="W13" s="29"/>
      <c r="X13" s="29"/>
      <c r="Y13" s="29"/>
      <c r="Z13" s="29"/>
      <c r="AA13" s="13"/>
      <c r="AB13" s="29"/>
      <c r="AC13" s="29"/>
      <c r="AD13" s="29"/>
      <c r="AE13" s="29"/>
      <c r="AF13" s="13"/>
      <c r="AG13" s="29"/>
      <c r="AH13" s="29"/>
      <c r="AI13" s="29"/>
      <c r="AJ13" s="29"/>
      <c r="AK13" s="13"/>
      <c r="AL13" s="29"/>
      <c r="AM13" s="29"/>
      <c r="AN13" s="29"/>
      <c r="AO13" s="29"/>
      <c r="AP13" s="13"/>
      <c r="AQ13" s="29"/>
      <c r="AR13" s="29"/>
      <c r="AS13" s="29"/>
      <c r="AT13" s="29"/>
      <c r="AU13" s="13"/>
      <c r="AV13" s="29"/>
      <c r="AW13" s="29"/>
      <c r="AX13" s="29"/>
      <c r="AY13" s="29"/>
      <c r="AZ13" s="13"/>
      <c r="BA13" s="29"/>
      <c r="BB13" s="29"/>
      <c r="BC13" s="29"/>
      <c r="BD13" s="191"/>
      <c r="BE13" s="251"/>
      <c r="BF13" s="191"/>
      <c r="BG13" s="191"/>
      <c r="BH13" s="191"/>
      <c r="BI13" s="191"/>
      <c r="BJ13" s="251"/>
      <c r="BK13" s="251"/>
      <c r="BL13" s="251"/>
      <c r="BM13" s="251"/>
    </row>
    <row r="14" spans="1:65" ht="16.5" x14ac:dyDescent="0.3">
      <c r="A14" s="4" t="s">
        <v>82</v>
      </c>
      <c r="B14" s="4"/>
      <c r="C14" s="4"/>
      <c r="D14" s="4"/>
      <c r="E14" s="13">
        <v>854</v>
      </c>
      <c r="F14" s="21">
        <v>1290</v>
      </c>
      <c r="G14" s="21">
        <v>2414</v>
      </c>
      <c r="H14" s="21">
        <v>4417</v>
      </c>
      <c r="I14" s="21">
        <v>7060</v>
      </c>
      <c r="J14" s="21">
        <v>10949</v>
      </c>
      <c r="K14" s="21">
        <v>16967</v>
      </c>
      <c r="L14" s="21">
        <v>21838</v>
      </c>
      <c r="M14" s="30">
        <v>23308</v>
      </c>
      <c r="N14" s="30">
        <v>25190</v>
      </c>
      <c r="O14" s="30">
        <v>27177</v>
      </c>
      <c r="P14" s="30">
        <v>29114</v>
      </c>
      <c r="Q14" s="21">
        <v>29114</v>
      </c>
      <c r="R14" s="76">
        <v>32632</v>
      </c>
      <c r="S14" s="76">
        <v>37083</v>
      </c>
      <c r="T14" s="76">
        <v>45335</v>
      </c>
      <c r="U14" s="76">
        <v>48866</v>
      </c>
      <c r="V14" s="21">
        <v>48866</v>
      </c>
      <c r="W14" s="30">
        <v>52331</v>
      </c>
      <c r="X14" s="30">
        <v>54768</v>
      </c>
      <c r="Y14" s="30">
        <v>58019</v>
      </c>
      <c r="Z14" s="30">
        <v>61797</v>
      </c>
      <c r="AA14" s="21">
        <v>61797</v>
      </c>
      <c r="AB14" s="30">
        <v>61048</v>
      </c>
      <c r="AC14" s="30">
        <v>64723</v>
      </c>
      <c r="AD14" s="30">
        <v>67662</v>
      </c>
      <c r="AE14" s="30">
        <v>72705</v>
      </c>
      <c r="AF14" s="21">
        <v>72705</v>
      </c>
      <c r="AG14" s="30">
        <v>77779</v>
      </c>
      <c r="AH14" s="30">
        <v>72705</v>
      </c>
      <c r="AI14" s="30">
        <v>99981</v>
      </c>
      <c r="AJ14" s="30">
        <v>113114</v>
      </c>
      <c r="AK14" s="21">
        <v>113114</v>
      </c>
      <c r="AL14" s="30">
        <v>121461</v>
      </c>
      <c r="AM14" s="30">
        <v>133502</v>
      </c>
      <c r="AN14" s="30">
        <v>147152</v>
      </c>
      <c r="AO14" s="30">
        <v>160281</v>
      </c>
      <c r="AP14" s="21">
        <v>160281</v>
      </c>
      <c r="AQ14" s="30">
        <v>168468</v>
      </c>
      <c r="AR14" s="30">
        <v>173706</v>
      </c>
      <c r="AS14" s="30">
        <v>177195</v>
      </c>
      <c r="AT14" s="30">
        <v>186715</v>
      </c>
      <c r="AU14" s="21">
        <v>186715</v>
      </c>
      <c r="AV14" s="30">
        <v>190754</v>
      </c>
      <c r="AW14" s="30">
        <v>193784</v>
      </c>
      <c r="AX14" s="30">
        <v>196468</v>
      </c>
      <c r="AY14" s="30">
        <v>204177</v>
      </c>
      <c r="AZ14" s="21">
        <v>204177</v>
      </c>
      <c r="BA14" s="30">
        <v>209950</v>
      </c>
      <c r="BB14" s="30">
        <v>220717</v>
      </c>
      <c r="BC14" s="30">
        <v>237917</v>
      </c>
      <c r="BD14" s="189">
        <f>BC14+(-CF!BD22-CF!BD23)-CF!BD9</f>
        <v>239987.7446906564</v>
      </c>
      <c r="BE14" s="141">
        <f>BD14</f>
        <v>239987.7446906564</v>
      </c>
      <c r="BF14" s="189">
        <f>BE14+(-CF!BF22-CF!BF23)-CF!BF9</f>
        <v>244856.42968493552</v>
      </c>
      <c r="BG14" s="189">
        <f>BF14+(-CF!BG22-CF!BG23)-CF!BG9</f>
        <v>249704.49541663117</v>
      </c>
      <c r="BH14" s="189">
        <f>BG14+(-CF!BH22-CF!BH23)-CF!BH9</f>
        <v>254298.78414079238</v>
      </c>
      <c r="BI14" s="189">
        <f>BH14+(-CF!BI22-CF!BI23)-CF!BI9</f>
        <v>260543.15450943622</v>
      </c>
      <c r="BJ14" s="141">
        <f>BI14</f>
        <v>260543.15450943622</v>
      </c>
      <c r="BK14" s="141">
        <f>BJ14+(-CF!BK22-CF!BK23)-CF!BK9</f>
        <v>269876.332546146</v>
      </c>
      <c r="BL14" s="141">
        <f>BK14+(-CF!BL22-CF!BL23)-CF!BL9</f>
        <v>275866.85875445569</v>
      </c>
      <c r="BM14" s="141">
        <f>BL14+(-CF!BM22-CF!BM23)-CF!BM9</f>
        <v>277808.54314968444</v>
      </c>
    </row>
    <row r="15" spans="1:65" ht="16.5" x14ac:dyDescent="0.3">
      <c r="A15" s="4" t="s">
        <v>83</v>
      </c>
      <c r="B15" s="4"/>
      <c r="C15" s="4"/>
      <c r="D15" s="4"/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29">
        <v>0</v>
      </c>
      <c r="N15" s="29">
        <v>0</v>
      </c>
      <c r="O15" s="29">
        <v>0</v>
      </c>
      <c r="P15" s="29">
        <v>0</v>
      </c>
      <c r="Q15" s="13">
        <v>0</v>
      </c>
      <c r="R15" s="81">
        <v>0</v>
      </c>
      <c r="S15" s="81">
        <v>0</v>
      </c>
      <c r="T15" s="81">
        <v>0</v>
      </c>
      <c r="U15" s="81">
        <v>0</v>
      </c>
      <c r="V15" s="13">
        <v>0</v>
      </c>
      <c r="W15" s="29">
        <v>0</v>
      </c>
      <c r="X15" s="29">
        <v>0</v>
      </c>
      <c r="Y15" s="29">
        <v>0</v>
      </c>
      <c r="Z15" s="29">
        <v>0</v>
      </c>
      <c r="AA15" s="13">
        <v>0</v>
      </c>
      <c r="AB15" s="30">
        <v>20132</v>
      </c>
      <c r="AC15" s="30">
        <v>21649</v>
      </c>
      <c r="AD15" s="30">
        <v>23114</v>
      </c>
      <c r="AE15" s="30">
        <v>25141</v>
      </c>
      <c r="AF15" s="21">
        <v>25141</v>
      </c>
      <c r="AG15" s="30">
        <v>26279</v>
      </c>
      <c r="AH15" s="30">
        <v>25141</v>
      </c>
      <c r="AI15" s="30">
        <v>34119</v>
      </c>
      <c r="AJ15" s="30">
        <v>37553</v>
      </c>
      <c r="AK15" s="21">
        <v>37553</v>
      </c>
      <c r="AL15" s="30">
        <v>39328</v>
      </c>
      <c r="AM15" s="30">
        <v>43346</v>
      </c>
      <c r="AN15" s="30">
        <v>52151</v>
      </c>
      <c r="AO15" s="30">
        <v>56082</v>
      </c>
      <c r="AP15" s="21">
        <v>56082</v>
      </c>
      <c r="AQ15" s="30">
        <v>56161</v>
      </c>
      <c r="AR15" s="30">
        <v>58430</v>
      </c>
      <c r="AS15" s="30">
        <v>62033</v>
      </c>
      <c r="AT15" s="30">
        <v>66123</v>
      </c>
      <c r="AU15" s="21">
        <v>66123</v>
      </c>
      <c r="AV15" s="30">
        <v>68262</v>
      </c>
      <c r="AW15" s="30">
        <v>70332</v>
      </c>
      <c r="AX15" s="30">
        <v>70758</v>
      </c>
      <c r="AY15" s="30">
        <v>72513</v>
      </c>
      <c r="AZ15" s="21">
        <v>72513</v>
      </c>
      <c r="BA15" s="30">
        <v>73313</v>
      </c>
      <c r="BB15" s="30">
        <v>74575</v>
      </c>
      <c r="BC15" s="30">
        <v>76527</v>
      </c>
      <c r="BD15" s="189">
        <f>BC15*(AY15/AX15)</f>
        <v>78425.08763673366</v>
      </c>
      <c r="BE15" s="141">
        <f>BD15</f>
        <v>78425.08763673366</v>
      </c>
      <c r="BF15" s="189">
        <f>BE15*(BA15/AZ15)</f>
        <v>79290.312770287463</v>
      </c>
      <c r="BG15" s="189">
        <f t="shared" ref="BG15" si="6">BF15*(BB15/BA15)</f>
        <v>80655.205418468584</v>
      </c>
      <c r="BH15" s="189">
        <f t="shared" ref="BH15" si="7">BG15*(BC15/BB15)</f>
        <v>82766.354744339871</v>
      </c>
      <c r="BI15" s="189">
        <f t="shared" ref="BI15" si="8">BH15*(BD15/BC15)</f>
        <v>84819.196155576996</v>
      </c>
      <c r="BJ15" s="141">
        <f>BI15</f>
        <v>84819.196155576996</v>
      </c>
      <c r="BK15" s="141">
        <f>BJ15*(BJ15/BE15)</f>
        <v>91734.625402044156</v>
      </c>
      <c r="BL15" s="141">
        <f>BK15*(BK15/BJ15)</f>
        <v>99213.879393739684</v>
      </c>
      <c r="BM15" s="141">
        <f>BL15*(BL15/BK15)</f>
        <v>107302.92756104916</v>
      </c>
    </row>
    <row r="16" spans="1:65" ht="16.5" x14ac:dyDescent="0.3">
      <c r="A16" s="4" t="s">
        <v>84</v>
      </c>
      <c r="B16" s="4"/>
      <c r="C16" s="4"/>
      <c r="D16" s="4"/>
      <c r="E16" s="13">
        <v>438</v>
      </c>
      <c r="F16" s="21">
        <v>1234</v>
      </c>
      <c r="G16" s="21">
        <v>1349</v>
      </c>
      <c r="H16" s="21">
        <v>1955</v>
      </c>
      <c r="I16" s="21">
        <v>2552</v>
      </c>
      <c r="J16" s="21">
        <v>2655</v>
      </c>
      <c r="K16" s="21">
        <v>3319</v>
      </c>
      <c r="L16" s="21">
        <v>3759</v>
      </c>
      <c r="M16" s="30">
        <v>3785</v>
      </c>
      <c r="N16" s="30">
        <v>3774</v>
      </c>
      <c r="O16" s="30">
        <v>3815</v>
      </c>
      <c r="P16" s="30">
        <v>3784</v>
      </c>
      <c r="Q16" s="21">
        <v>3784</v>
      </c>
      <c r="R16" s="76">
        <v>3823</v>
      </c>
      <c r="S16" s="76">
        <v>4254</v>
      </c>
      <c r="T16" s="76">
        <v>13271</v>
      </c>
      <c r="U16" s="76">
        <v>13350</v>
      </c>
      <c r="V16" s="21">
        <v>13350</v>
      </c>
      <c r="W16" s="30">
        <v>13388</v>
      </c>
      <c r="X16" s="30">
        <v>13944</v>
      </c>
      <c r="Y16" s="30">
        <v>14553</v>
      </c>
      <c r="Z16" s="30">
        <v>14548</v>
      </c>
      <c r="AA16" s="21">
        <v>14548</v>
      </c>
      <c r="AB16" s="30">
        <v>14708</v>
      </c>
      <c r="AC16" s="30">
        <v>14727</v>
      </c>
      <c r="AD16" s="30">
        <v>14734</v>
      </c>
      <c r="AE16" s="30">
        <v>14754</v>
      </c>
      <c r="AF16" s="21">
        <v>14754</v>
      </c>
      <c r="AG16" s="30">
        <v>14739</v>
      </c>
      <c r="AH16" s="30">
        <v>14754</v>
      </c>
      <c r="AI16" s="30">
        <v>14960</v>
      </c>
      <c r="AJ16" s="30">
        <v>15017</v>
      </c>
      <c r="AK16" s="21">
        <v>15017</v>
      </c>
      <c r="AL16" s="30">
        <v>15220</v>
      </c>
      <c r="AM16" s="30">
        <v>15350</v>
      </c>
      <c r="AN16" s="30">
        <v>15345</v>
      </c>
      <c r="AO16" s="30">
        <v>15371</v>
      </c>
      <c r="AP16" s="21">
        <v>15371</v>
      </c>
      <c r="AQ16" s="30">
        <v>20229</v>
      </c>
      <c r="AR16" s="30">
        <v>20195</v>
      </c>
      <c r="AS16" s="30">
        <v>20168</v>
      </c>
      <c r="AT16" s="30">
        <v>20288</v>
      </c>
      <c r="AU16" s="21">
        <v>20288</v>
      </c>
      <c r="AV16" s="30">
        <v>22749</v>
      </c>
      <c r="AW16" s="30">
        <v>22785</v>
      </c>
      <c r="AX16" s="30">
        <v>22749</v>
      </c>
      <c r="AY16" s="30">
        <v>22789</v>
      </c>
      <c r="AZ16" s="21">
        <v>22789</v>
      </c>
      <c r="BA16" s="30">
        <v>22770</v>
      </c>
      <c r="BB16" s="30">
        <v>22879</v>
      </c>
      <c r="BC16" s="30">
        <v>23081</v>
      </c>
      <c r="BD16" s="189">
        <f>AVERAGE(BA16:BC16)</f>
        <v>22910</v>
      </c>
      <c r="BE16" s="141">
        <f>BD16</f>
        <v>22910</v>
      </c>
      <c r="BF16" s="189">
        <f t="shared" ref="BF16:BI16" si="9">AVERAGE(BC16:BE16)</f>
        <v>22967</v>
      </c>
      <c r="BG16" s="189">
        <f t="shared" si="9"/>
        <v>22929</v>
      </c>
      <c r="BH16" s="189">
        <f t="shared" si="9"/>
        <v>22935.333333333332</v>
      </c>
      <c r="BI16" s="189">
        <f t="shared" si="9"/>
        <v>22943.777777777777</v>
      </c>
      <c r="BJ16" s="141">
        <f>BI16</f>
        <v>22943.777777777777</v>
      </c>
      <c r="BK16" s="141">
        <f t="shared" ref="BK16" si="10">AVERAGE(BH16:BJ16)</f>
        <v>22940.962962962964</v>
      </c>
      <c r="BL16" s="141">
        <f t="shared" ref="BL16" si="11">AVERAGE(BI16:BK16)</f>
        <v>22942.839506172837</v>
      </c>
      <c r="BM16" s="141">
        <f t="shared" ref="BM16" si="12">AVERAGE(BJ16:BL16)</f>
        <v>22942.526748971195</v>
      </c>
    </row>
    <row r="17" spans="1:65" ht="16.5" x14ac:dyDescent="0.3">
      <c r="A17" s="4" t="s">
        <v>145</v>
      </c>
      <c r="B17" s="4"/>
      <c r="C17" s="4"/>
      <c r="D17" s="4"/>
      <c r="E17" s="13">
        <v>865</v>
      </c>
      <c r="F17" s="21">
        <v>1492</v>
      </c>
      <c r="G17" s="21">
        <v>1287</v>
      </c>
      <c r="H17" s="21">
        <v>1416</v>
      </c>
      <c r="I17" s="21">
        <v>1647</v>
      </c>
      <c r="J17" s="21">
        <v>1930</v>
      </c>
      <c r="K17" s="21">
        <v>2892</v>
      </c>
      <c r="L17" s="21">
        <v>3445</v>
      </c>
      <c r="M17" s="30">
        <v>3522</v>
      </c>
      <c r="N17" s="30">
        <v>3892</v>
      </c>
      <c r="O17" s="30">
        <v>4296</v>
      </c>
      <c r="P17" s="30">
        <v>4723</v>
      </c>
      <c r="Q17" s="21">
        <v>4723</v>
      </c>
      <c r="R17" s="76">
        <v>5054</v>
      </c>
      <c r="S17" s="76">
        <v>5437</v>
      </c>
      <c r="T17" s="76">
        <v>8083</v>
      </c>
      <c r="U17" s="76">
        <v>8897</v>
      </c>
      <c r="V17" s="21">
        <v>8897</v>
      </c>
      <c r="W17" s="30">
        <v>9814</v>
      </c>
      <c r="X17" s="30">
        <v>10907</v>
      </c>
      <c r="Y17" s="30">
        <v>11238</v>
      </c>
      <c r="Z17" s="30">
        <v>11202</v>
      </c>
      <c r="AA17" s="21">
        <v>11202</v>
      </c>
      <c r="AB17" s="30">
        <v>12783</v>
      </c>
      <c r="AC17" s="30">
        <v>13462</v>
      </c>
      <c r="AD17" s="30">
        <v>14535</v>
      </c>
      <c r="AE17" s="30">
        <v>16314</v>
      </c>
      <c r="AF17" s="21">
        <v>16314</v>
      </c>
      <c r="AG17" s="30">
        <v>16456</v>
      </c>
      <c r="AH17" s="30">
        <v>16314</v>
      </c>
      <c r="AI17" s="30">
        <v>20150</v>
      </c>
      <c r="AJ17" s="30">
        <v>22778</v>
      </c>
      <c r="AK17" s="21">
        <v>22778</v>
      </c>
      <c r="AL17" s="30">
        <v>25660</v>
      </c>
      <c r="AM17" s="30">
        <v>27273</v>
      </c>
      <c r="AN17" s="30">
        <v>29227</v>
      </c>
      <c r="AO17" s="30">
        <v>27235</v>
      </c>
      <c r="AP17" s="21">
        <v>27235</v>
      </c>
      <c r="AQ17" s="30">
        <v>32033</v>
      </c>
      <c r="AR17" s="30">
        <v>33730</v>
      </c>
      <c r="AS17" s="30">
        <v>37503</v>
      </c>
      <c r="AT17" s="30">
        <v>42758</v>
      </c>
      <c r="AU17" s="21">
        <v>42758</v>
      </c>
      <c r="AV17" s="30">
        <v>46392</v>
      </c>
      <c r="AW17" s="30">
        <v>50224</v>
      </c>
      <c r="AX17" s="30">
        <v>53913</v>
      </c>
      <c r="AY17" s="30">
        <v>56024</v>
      </c>
      <c r="AZ17" s="21">
        <v>56024</v>
      </c>
      <c r="BA17" s="30">
        <v>60947</v>
      </c>
      <c r="BB17" s="30">
        <v>63340</v>
      </c>
      <c r="BC17" s="30">
        <v>71309</v>
      </c>
      <c r="BD17" s="189">
        <f>BC17*(AY17/AX17)</f>
        <v>74101.152152542054</v>
      </c>
      <c r="BE17" s="141">
        <f>BD17</f>
        <v>74101.152152542054</v>
      </c>
      <c r="BF17" s="189">
        <f>BE17</f>
        <v>74101.152152542054</v>
      </c>
      <c r="BG17" s="189">
        <f t="shared" ref="BG17" si="13">BF17*(BB17/BA17)</f>
        <v>77010.631816857494</v>
      </c>
      <c r="BH17" s="189">
        <f>BG17</f>
        <v>77010.631816857494</v>
      </c>
      <c r="BI17" s="189">
        <f t="shared" ref="BI17" si="14">BH17*(BD17/BC17)</f>
        <v>80026.03522170207</v>
      </c>
      <c r="BJ17" s="141">
        <f>BI17</f>
        <v>80026.03522170207</v>
      </c>
      <c r="BK17" s="141">
        <f>BJ17*(BJ17/BE17)</f>
        <v>86424.652347128242</v>
      </c>
      <c r="BL17" s="141">
        <f>BK17*(BK17/BJ17)</f>
        <v>93334.881737292657</v>
      </c>
      <c r="BM17" s="141">
        <f>BL17*(BL17/BK17)</f>
        <v>100797.63021695131</v>
      </c>
    </row>
    <row r="18" spans="1:65" ht="16.5" x14ac:dyDescent="0.3">
      <c r="A18" s="7" t="s">
        <v>146</v>
      </c>
      <c r="B18" s="7"/>
      <c r="C18" s="7"/>
      <c r="D18" s="7" t="s">
        <v>0</v>
      </c>
      <c r="E18" s="20">
        <f>SUM(E14:E17)</f>
        <v>2157</v>
      </c>
      <c r="F18" s="20">
        <f t="shared" ref="F18:BM18" si="15">SUM(F14:F17)</f>
        <v>4016</v>
      </c>
      <c r="G18" s="20">
        <f t="shared" si="15"/>
        <v>5050</v>
      </c>
      <c r="H18" s="20">
        <f t="shared" si="15"/>
        <v>7788</v>
      </c>
      <c r="I18" s="20">
        <f t="shared" si="15"/>
        <v>11259</v>
      </c>
      <c r="J18" s="20">
        <f t="shared" si="15"/>
        <v>15534</v>
      </c>
      <c r="K18" s="20">
        <f t="shared" si="15"/>
        <v>23178</v>
      </c>
      <c r="L18" s="20">
        <f t="shared" si="15"/>
        <v>29042</v>
      </c>
      <c r="M18" s="31">
        <f t="shared" si="15"/>
        <v>30615</v>
      </c>
      <c r="N18" s="31">
        <f t="shared" si="15"/>
        <v>32856</v>
      </c>
      <c r="O18" s="31">
        <f t="shared" si="15"/>
        <v>35288</v>
      </c>
      <c r="P18" s="31">
        <f t="shared" si="15"/>
        <v>37621</v>
      </c>
      <c r="Q18" s="20">
        <f t="shared" si="15"/>
        <v>37621</v>
      </c>
      <c r="R18" s="79">
        <f t="shared" si="15"/>
        <v>41509</v>
      </c>
      <c r="S18" s="79">
        <f t="shared" si="15"/>
        <v>46774</v>
      </c>
      <c r="T18" s="79">
        <f t="shared" si="15"/>
        <v>66689</v>
      </c>
      <c r="U18" s="79">
        <f t="shared" si="15"/>
        <v>71113</v>
      </c>
      <c r="V18" s="20">
        <f t="shared" si="15"/>
        <v>71113</v>
      </c>
      <c r="W18" s="31">
        <f t="shared" si="15"/>
        <v>75533</v>
      </c>
      <c r="X18" s="31">
        <f t="shared" si="15"/>
        <v>79619</v>
      </c>
      <c r="Y18" s="31">
        <f t="shared" si="15"/>
        <v>83810</v>
      </c>
      <c r="Z18" s="31">
        <f t="shared" si="15"/>
        <v>87547</v>
      </c>
      <c r="AA18" s="20">
        <f t="shared" si="15"/>
        <v>87547</v>
      </c>
      <c r="AB18" s="31">
        <f t="shared" si="15"/>
        <v>108671</v>
      </c>
      <c r="AC18" s="31">
        <f t="shared" si="15"/>
        <v>114561</v>
      </c>
      <c r="AD18" s="31">
        <f t="shared" si="15"/>
        <v>120045</v>
      </c>
      <c r="AE18" s="31">
        <f t="shared" si="15"/>
        <v>128914</v>
      </c>
      <c r="AF18" s="20">
        <f t="shared" si="15"/>
        <v>128914</v>
      </c>
      <c r="AG18" s="31">
        <f t="shared" si="15"/>
        <v>135253</v>
      </c>
      <c r="AH18" s="31">
        <f t="shared" si="15"/>
        <v>128914</v>
      </c>
      <c r="AI18" s="31">
        <f t="shared" si="15"/>
        <v>169210</v>
      </c>
      <c r="AJ18" s="31">
        <f t="shared" si="15"/>
        <v>188462</v>
      </c>
      <c r="AK18" s="20">
        <f t="shared" si="15"/>
        <v>188462</v>
      </c>
      <c r="AL18" s="31">
        <f t="shared" si="15"/>
        <v>201669</v>
      </c>
      <c r="AM18" s="31">
        <f t="shared" si="15"/>
        <v>219471</v>
      </c>
      <c r="AN18" s="31">
        <f t="shared" si="15"/>
        <v>243875</v>
      </c>
      <c r="AO18" s="31">
        <f t="shared" si="15"/>
        <v>258969</v>
      </c>
      <c r="AP18" s="20">
        <f t="shared" si="15"/>
        <v>258969</v>
      </c>
      <c r="AQ18" s="31">
        <f t="shared" si="15"/>
        <v>276891</v>
      </c>
      <c r="AR18" s="31">
        <f t="shared" si="15"/>
        <v>286061</v>
      </c>
      <c r="AS18" s="31">
        <f t="shared" si="15"/>
        <v>296899</v>
      </c>
      <c r="AT18" s="31">
        <f t="shared" si="15"/>
        <v>315884</v>
      </c>
      <c r="AU18" s="20">
        <f t="shared" si="15"/>
        <v>315884</v>
      </c>
      <c r="AV18" s="31">
        <f t="shared" si="15"/>
        <v>328157</v>
      </c>
      <c r="AW18" s="31">
        <f t="shared" si="15"/>
        <v>337125</v>
      </c>
      <c r="AX18" s="31">
        <f t="shared" si="15"/>
        <v>343888</v>
      </c>
      <c r="AY18" s="31">
        <f t="shared" si="15"/>
        <v>355503</v>
      </c>
      <c r="AZ18" s="20">
        <f t="shared" si="15"/>
        <v>355503</v>
      </c>
      <c r="BA18" s="31">
        <f>SUM(BA14:BA17)</f>
        <v>366980</v>
      </c>
      <c r="BB18" s="31">
        <f t="shared" si="15"/>
        <v>381511</v>
      </c>
      <c r="BC18" s="31">
        <f t="shared" si="15"/>
        <v>408834</v>
      </c>
      <c r="BD18" s="190">
        <f t="shared" si="15"/>
        <v>415423.98447993211</v>
      </c>
      <c r="BE18" s="245">
        <f t="shared" si="15"/>
        <v>415423.98447993211</v>
      </c>
      <c r="BF18" s="190">
        <f>SUM(BF14:BF17)</f>
        <v>421214.89460776502</v>
      </c>
      <c r="BG18" s="190">
        <f t="shared" si="15"/>
        <v>430299.33265195723</v>
      </c>
      <c r="BH18" s="190">
        <f t="shared" si="15"/>
        <v>437011.10403532308</v>
      </c>
      <c r="BI18" s="190">
        <f t="shared" si="15"/>
        <v>448332.16366449301</v>
      </c>
      <c r="BJ18" s="245">
        <f t="shared" si="15"/>
        <v>448332.16366449301</v>
      </c>
      <c r="BK18" s="245">
        <f t="shared" si="15"/>
        <v>470976.57325828139</v>
      </c>
      <c r="BL18" s="245">
        <f t="shared" si="15"/>
        <v>491358.45939166087</v>
      </c>
      <c r="BM18" s="245">
        <f t="shared" si="15"/>
        <v>508851.62767665612</v>
      </c>
    </row>
    <row r="19" spans="1:65" ht="16.5" x14ac:dyDescent="0.3">
      <c r="A19" s="4"/>
      <c r="B19" s="4"/>
      <c r="C19" s="4"/>
      <c r="D19" s="4"/>
      <c r="E19" s="13"/>
      <c r="F19" s="13"/>
      <c r="G19" s="13"/>
      <c r="H19" s="13"/>
      <c r="I19" s="13"/>
      <c r="J19" s="13"/>
      <c r="K19" s="13"/>
      <c r="L19" s="13"/>
      <c r="M19" s="29"/>
      <c r="N19" s="29"/>
      <c r="O19" s="29"/>
      <c r="P19" s="29"/>
      <c r="Q19" s="13"/>
      <c r="R19" s="81"/>
      <c r="S19" s="81"/>
      <c r="T19" s="81"/>
      <c r="U19" s="81"/>
      <c r="V19" s="13"/>
      <c r="W19" s="29"/>
      <c r="X19" s="29"/>
      <c r="Y19" s="29"/>
      <c r="Z19" s="29"/>
      <c r="AA19" s="13"/>
      <c r="AB19" s="29"/>
      <c r="AC19" s="29"/>
      <c r="AD19" s="29"/>
      <c r="AE19" s="29"/>
      <c r="AF19" s="13"/>
      <c r="AG19" s="29"/>
      <c r="AH19" s="29"/>
      <c r="AI19" s="29"/>
      <c r="AJ19" s="29"/>
      <c r="AK19" s="13"/>
      <c r="AL19" s="29"/>
      <c r="AM19" s="29"/>
      <c r="AN19" s="29"/>
      <c r="AO19" s="29"/>
      <c r="AP19" s="13"/>
      <c r="AQ19" s="29"/>
      <c r="AR19" s="29"/>
      <c r="AS19" s="29"/>
      <c r="AT19" s="29"/>
      <c r="AU19" s="13"/>
      <c r="AV19" s="29"/>
      <c r="AW19" s="29"/>
      <c r="AX19" s="29"/>
      <c r="AY19" s="29"/>
      <c r="AZ19" s="13"/>
      <c r="BA19" s="29"/>
      <c r="BB19" s="29"/>
      <c r="BC19" s="29"/>
      <c r="BD19" s="191"/>
      <c r="BE19" s="251"/>
      <c r="BF19" s="191"/>
      <c r="BG19" s="191"/>
      <c r="BH19" s="191"/>
      <c r="BI19" s="191"/>
      <c r="BJ19" s="251"/>
      <c r="BK19" s="251"/>
      <c r="BL19" s="251"/>
      <c r="BM19" s="251"/>
    </row>
    <row r="20" spans="1:65" ht="16.5" x14ac:dyDescent="0.3">
      <c r="A20" s="67" t="s">
        <v>86</v>
      </c>
      <c r="B20" s="67"/>
      <c r="C20" s="67"/>
      <c r="D20" s="67" t="s">
        <v>0</v>
      </c>
      <c r="E20" s="71">
        <f>E18+E12</f>
        <v>8110</v>
      </c>
      <c r="F20" s="71">
        <f t="shared" ref="F20:BI20" si="16">F18+F12</f>
        <v>13541</v>
      </c>
      <c r="G20" s="71">
        <f t="shared" si="16"/>
        <v>18601</v>
      </c>
      <c r="H20" s="71">
        <f t="shared" si="16"/>
        <v>24927</v>
      </c>
      <c r="I20" s="71">
        <f t="shared" si="16"/>
        <v>32555</v>
      </c>
      <c r="J20" s="71">
        <f t="shared" si="16"/>
        <v>40159</v>
      </c>
      <c r="K20" s="71">
        <f t="shared" si="16"/>
        <v>54505</v>
      </c>
      <c r="L20" s="71">
        <f t="shared" si="16"/>
        <v>64747</v>
      </c>
      <c r="M20" s="73">
        <f t="shared" si="16"/>
        <v>61128</v>
      </c>
      <c r="N20" s="73">
        <f t="shared" si="16"/>
        <v>65076</v>
      </c>
      <c r="O20" s="73">
        <f t="shared" si="16"/>
        <v>70897</v>
      </c>
      <c r="P20" s="73">
        <f t="shared" si="16"/>
        <v>83402</v>
      </c>
      <c r="Q20" s="71">
        <f t="shared" si="16"/>
        <v>83402</v>
      </c>
      <c r="R20" s="83">
        <f t="shared" si="16"/>
        <v>80969</v>
      </c>
      <c r="S20" s="83">
        <f t="shared" si="16"/>
        <v>87781</v>
      </c>
      <c r="T20" s="83">
        <f t="shared" si="16"/>
        <v>115267</v>
      </c>
      <c r="U20" s="83">
        <f t="shared" si="16"/>
        <v>131310</v>
      </c>
      <c r="V20" s="71">
        <f t="shared" si="16"/>
        <v>131310</v>
      </c>
      <c r="W20" s="73">
        <f t="shared" si="16"/>
        <v>126362</v>
      </c>
      <c r="X20" s="73">
        <f t="shared" si="16"/>
        <v>134100</v>
      </c>
      <c r="Y20" s="73">
        <f t="shared" si="16"/>
        <v>143695</v>
      </c>
      <c r="Z20" s="73">
        <f t="shared" si="16"/>
        <v>162648</v>
      </c>
      <c r="AA20" s="71">
        <f t="shared" si="16"/>
        <v>162648</v>
      </c>
      <c r="AB20" s="73">
        <f t="shared" si="16"/>
        <v>178102</v>
      </c>
      <c r="AC20" s="73">
        <f t="shared" si="16"/>
        <v>191351</v>
      </c>
      <c r="AD20" s="73">
        <f t="shared" si="16"/>
        <v>199099</v>
      </c>
      <c r="AE20" s="73">
        <f t="shared" si="16"/>
        <v>225248</v>
      </c>
      <c r="AF20" s="71">
        <f t="shared" si="16"/>
        <v>225248</v>
      </c>
      <c r="AG20" s="73">
        <f t="shared" si="16"/>
        <v>221238</v>
      </c>
      <c r="AH20" s="73">
        <f t="shared" si="16"/>
        <v>225248</v>
      </c>
      <c r="AI20" s="73">
        <f t="shared" si="16"/>
        <v>282179</v>
      </c>
      <c r="AJ20" s="73">
        <f t="shared" si="16"/>
        <v>321195</v>
      </c>
      <c r="AK20" s="71">
        <f t="shared" si="16"/>
        <v>321195</v>
      </c>
      <c r="AL20" s="73">
        <f t="shared" si="16"/>
        <v>323077</v>
      </c>
      <c r="AM20" s="73">
        <f t="shared" si="16"/>
        <v>360319</v>
      </c>
      <c r="AN20" s="73">
        <f t="shared" si="16"/>
        <v>382406</v>
      </c>
      <c r="AO20" s="73">
        <f t="shared" si="16"/>
        <v>420549</v>
      </c>
      <c r="AP20" s="71">
        <f t="shared" si="16"/>
        <v>420549</v>
      </c>
      <c r="AQ20" s="73">
        <f t="shared" si="16"/>
        <v>410767</v>
      </c>
      <c r="AR20" s="73">
        <f t="shared" si="16"/>
        <v>419728</v>
      </c>
      <c r="AS20" s="73">
        <f t="shared" si="16"/>
        <v>428362</v>
      </c>
      <c r="AT20" s="73">
        <f t="shared" si="16"/>
        <v>462675</v>
      </c>
      <c r="AU20" s="71">
        <f t="shared" si="16"/>
        <v>462675</v>
      </c>
      <c r="AV20" s="73">
        <f t="shared" si="16"/>
        <v>464378</v>
      </c>
      <c r="AW20" s="73">
        <f t="shared" si="16"/>
        <v>477607</v>
      </c>
      <c r="AX20" s="73">
        <f t="shared" si="16"/>
        <v>486883</v>
      </c>
      <c r="AY20" s="73">
        <f t="shared" si="16"/>
        <v>527854</v>
      </c>
      <c r="AZ20" s="71">
        <f t="shared" si="16"/>
        <v>527854</v>
      </c>
      <c r="BA20" s="73">
        <f>BA18+BA12</f>
        <v>530969</v>
      </c>
      <c r="BB20" s="73">
        <f t="shared" si="16"/>
        <v>554818</v>
      </c>
      <c r="BC20" s="73">
        <f t="shared" si="16"/>
        <v>584626</v>
      </c>
      <c r="BD20" s="192">
        <f t="shared" si="16"/>
        <v>613815.42163211014</v>
      </c>
      <c r="BE20" s="252">
        <f t="shared" si="16"/>
        <v>613815.42163211014</v>
      </c>
      <c r="BF20" s="192">
        <f t="shared" si="16"/>
        <v>618078.19021689333</v>
      </c>
      <c r="BG20" s="192">
        <f t="shared" si="16"/>
        <v>639949.78071611561</v>
      </c>
      <c r="BH20" s="192">
        <f t="shared" si="16"/>
        <v>663483.69236489129</v>
      </c>
      <c r="BI20" s="192">
        <f t="shared" si="16"/>
        <v>697284.34630120313</v>
      </c>
      <c r="BJ20" s="252">
        <f t="shared" ref="BJ20:BM20" si="17">BJ18+BJ12</f>
        <v>697284.34630120313</v>
      </c>
      <c r="BK20" s="252">
        <f t="shared" si="17"/>
        <v>778845.93190410291</v>
      </c>
      <c r="BL20" s="252">
        <f t="shared" si="17"/>
        <v>862823.93451005814</v>
      </c>
      <c r="BM20" s="252">
        <f t="shared" si="17"/>
        <v>953398.25182374811</v>
      </c>
    </row>
    <row r="21" spans="1:65" ht="16.5" x14ac:dyDescent="0.3">
      <c r="A21" s="4"/>
      <c r="B21" s="4"/>
      <c r="C21" s="4"/>
      <c r="D21" s="4"/>
      <c r="E21" s="13"/>
      <c r="F21" s="13"/>
      <c r="G21" s="13"/>
      <c r="H21" s="13"/>
      <c r="I21" s="13"/>
      <c r="J21" s="13"/>
      <c r="K21" s="13"/>
      <c r="L21" s="13"/>
      <c r="M21" s="29"/>
      <c r="N21" s="29"/>
      <c r="O21" s="29"/>
      <c r="P21" s="29"/>
      <c r="Q21" s="13"/>
      <c r="R21" s="81"/>
      <c r="S21" s="81"/>
      <c r="T21" s="81"/>
      <c r="U21" s="81"/>
      <c r="V21" s="13"/>
      <c r="W21" s="29"/>
      <c r="X21" s="29"/>
      <c r="Y21" s="29"/>
      <c r="Z21" s="29"/>
      <c r="AA21" s="13"/>
      <c r="AB21" s="29"/>
      <c r="AC21" s="29"/>
      <c r="AD21" s="29"/>
      <c r="AE21" s="29"/>
      <c r="AF21" s="13"/>
      <c r="AG21" s="29"/>
      <c r="AH21" s="29"/>
      <c r="AI21" s="29"/>
      <c r="AJ21" s="29"/>
      <c r="AK21" s="13"/>
      <c r="AL21" s="29"/>
      <c r="AM21" s="29"/>
      <c r="AN21" s="29"/>
      <c r="AO21" s="29"/>
      <c r="AP21" s="13"/>
      <c r="AQ21" s="29"/>
      <c r="AR21" s="29"/>
      <c r="AS21" s="29"/>
      <c r="AT21" s="29"/>
      <c r="AU21" s="13"/>
      <c r="AV21" s="29"/>
      <c r="AW21" s="29"/>
      <c r="AX21" s="29"/>
      <c r="AY21" s="29"/>
      <c r="AZ21" s="13"/>
      <c r="BA21" s="29"/>
      <c r="BB21" s="29"/>
      <c r="BC21" s="29"/>
      <c r="BD21" s="191"/>
      <c r="BE21" s="251"/>
      <c r="BF21" s="191"/>
      <c r="BG21" s="191"/>
      <c r="BH21" s="191"/>
      <c r="BI21" s="191"/>
      <c r="BJ21" s="251"/>
      <c r="BK21" s="251"/>
      <c r="BL21" s="251"/>
      <c r="BM21" s="251"/>
    </row>
    <row r="22" spans="1:65" ht="16.5" x14ac:dyDescent="0.3">
      <c r="A22" s="4" t="s">
        <v>87</v>
      </c>
      <c r="B22" s="4"/>
      <c r="C22" s="4"/>
      <c r="D22" s="4"/>
      <c r="E22" s="21">
        <v>3594</v>
      </c>
      <c r="F22" s="21">
        <v>5605</v>
      </c>
      <c r="G22" s="21">
        <v>8051</v>
      </c>
      <c r="H22" s="21">
        <v>11145</v>
      </c>
      <c r="I22" s="21">
        <v>13318</v>
      </c>
      <c r="J22" s="21">
        <v>15133</v>
      </c>
      <c r="K22" s="21">
        <v>16459</v>
      </c>
      <c r="L22" s="21">
        <v>20397</v>
      </c>
      <c r="M22" s="30">
        <v>14990</v>
      </c>
      <c r="N22" s="30">
        <v>16123</v>
      </c>
      <c r="O22" s="30">
        <v>18801</v>
      </c>
      <c r="P22" s="30">
        <v>25309</v>
      </c>
      <c r="Q22" s="21">
        <v>25309</v>
      </c>
      <c r="R22" s="76">
        <v>18891</v>
      </c>
      <c r="S22" s="76">
        <v>21439</v>
      </c>
      <c r="T22" s="76">
        <v>26075</v>
      </c>
      <c r="U22" s="76">
        <v>34616</v>
      </c>
      <c r="V22" s="21">
        <v>34616</v>
      </c>
      <c r="W22" s="30">
        <v>25172</v>
      </c>
      <c r="X22" s="30">
        <v>27657</v>
      </c>
      <c r="Y22" s="30">
        <v>30904</v>
      </c>
      <c r="Z22" s="30">
        <v>38192</v>
      </c>
      <c r="AA22" s="21">
        <v>38192</v>
      </c>
      <c r="AB22" s="30">
        <v>31809</v>
      </c>
      <c r="AC22" s="30">
        <v>36063</v>
      </c>
      <c r="AD22" s="30">
        <v>35794</v>
      </c>
      <c r="AE22" s="30">
        <v>47183</v>
      </c>
      <c r="AF22" s="21">
        <v>47183</v>
      </c>
      <c r="AG22" s="30">
        <v>40056</v>
      </c>
      <c r="AH22" s="30">
        <v>47183</v>
      </c>
      <c r="AI22" s="30">
        <v>58334</v>
      </c>
      <c r="AJ22" s="30">
        <v>72539</v>
      </c>
      <c r="AK22" s="21">
        <v>72539</v>
      </c>
      <c r="AL22" s="30">
        <v>63926</v>
      </c>
      <c r="AM22" s="30">
        <v>66090</v>
      </c>
      <c r="AN22" s="30">
        <v>71474</v>
      </c>
      <c r="AO22" s="30">
        <v>78664</v>
      </c>
      <c r="AP22" s="21">
        <v>78664</v>
      </c>
      <c r="AQ22" s="30">
        <v>68547</v>
      </c>
      <c r="AR22" s="30">
        <v>71219</v>
      </c>
      <c r="AS22" s="30">
        <v>67760</v>
      </c>
      <c r="AT22" s="30">
        <v>79600</v>
      </c>
      <c r="AU22" s="21">
        <v>79600</v>
      </c>
      <c r="AV22" s="30">
        <v>66907</v>
      </c>
      <c r="AW22" s="30">
        <v>69481</v>
      </c>
      <c r="AX22" s="30">
        <v>72004</v>
      </c>
      <c r="AY22" s="30">
        <v>84981</v>
      </c>
      <c r="AZ22" s="21">
        <v>84981</v>
      </c>
      <c r="BA22" s="30">
        <v>73068</v>
      </c>
      <c r="BB22" s="30">
        <v>81817</v>
      </c>
      <c r="BC22" s="30">
        <v>84570</v>
      </c>
      <c r="BD22" s="189">
        <f>BC22*(BC22/BB22)</f>
        <v>87415.633670264113</v>
      </c>
      <c r="BE22" s="141">
        <f>BD22</f>
        <v>87415.633670264113</v>
      </c>
      <c r="BF22" s="189">
        <f t="shared" ref="BF22:BI22" si="18">BE22+(BA22-AZ22)</f>
        <v>75502.633670264113</v>
      </c>
      <c r="BG22" s="189">
        <f t="shared" si="18"/>
        <v>84251.633670264113</v>
      </c>
      <c r="BH22" s="189">
        <f t="shared" si="18"/>
        <v>87004.633670264113</v>
      </c>
      <c r="BI22" s="189">
        <f t="shared" si="18"/>
        <v>89850.267340528226</v>
      </c>
      <c r="BJ22" s="141">
        <f>BI22</f>
        <v>89850.267340528226</v>
      </c>
      <c r="BK22" s="141">
        <f t="shared" ref="BK22" si="19">BJ22+(BJ22-BE22)</f>
        <v>92284.901010792339</v>
      </c>
      <c r="BL22" s="141">
        <f t="shared" ref="BL22:BM24" si="20">BK22+(BK22-BJ22)</f>
        <v>94719.534681056452</v>
      </c>
      <c r="BM22" s="141">
        <f t="shared" si="20"/>
        <v>97154.168351320564</v>
      </c>
    </row>
    <row r="23" spans="1:65" ht="16.5" x14ac:dyDescent="0.3">
      <c r="A23" s="4" t="s">
        <v>88</v>
      </c>
      <c r="B23" s="4"/>
      <c r="C23" s="4"/>
      <c r="D23" s="4"/>
      <c r="E23" s="21">
        <v>1152</v>
      </c>
      <c r="F23" s="21">
        <v>1759</v>
      </c>
      <c r="G23" s="21">
        <v>2321</v>
      </c>
      <c r="H23" s="21">
        <v>3751</v>
      </c>
      <c r="I23" s="21">
        <v>4892</v>
      </c>
      <c r="J23" s="21">
        <v>6688</v>
      </c>
      <c r="K23" s="21">
        <v>9807</v>
      </c>
      <c r="L23" s="21">
        <v>10372</v>
      </c>
      <c r="M23" s="30">
        <v>9431</v>
      </c>
      <c r="N23" s="30">
        <v>9613</v>
      </c>
      <c r="O23" s="30">
        <v>10497</v>
      </c>
      <c r="P23" s="30">
        <v>13739</v>
      </c>
      <c r="Q23" s="21">
        <v>13739</v>
      </c>
      <c r="R23" s="76">
        <v>13054</v>
      </c>
      <c r="S23" s="76">
        <v>14016</v>
      </c>
      <c r="T23" s="76">
        <v>15844</v>
      </c>
      <c r="U23" s="76">
        <v>18170</v>
      </c>
      <c r="V23" s="21">
        <v>18170</v>
      </c>
      <c r="W23" s="30">
        <v>16691</v>
      </c>
      <c r="X23" s="30">
        <v>17140</v>
      </c>
      <c r="Y23" s="30">
        <v>18420</v>
      </c>
      <c r="Z23" s="30">
        <v>23663</v>
      </c>
      <c r="AA23" s="21">
        <v>23663</v>
      </c>
      <c r="AB23" s="30">
        <v>24588</v>
      </c>
      <c r="AC23" s="30">
        <v>26140</v>
      </c>
      <c r="AD23" s="30">
        <v>28961</v>
      </c>
      <c r="AE23" s="30">
        <v>32439</v>
      </c>
      <c r="AF23" s="21">
        <v>32439</v>
      </c>
      <c r="AG23" s="30">
        <v>30791</v>
      </c>
      <c r="AH23" s="30">
        <v>32439</v>
      </c>
      <c r="AI23" s="30">
        <v>34327</v>
      </c>
      <c r="AJ23" s="30">
        <v>44138</v>
      </c>
      <c r="AK23" s="21">
        <v>44138</v>
      </c>
      <c r="AL23" s="30">
        <v>40939</v>
      </c>
      <c r="AM23" s="30">
        <v>41007</v>
      </c>
      <c r="AN23" s="30">
        <v>41546</v>
      </c>
      <c r="AO23" s="30">
        <v>51775</v>
      </c>
      <c r="AP23" s="21">
        <v>51775</v>
      </c>
      <c r="AQ23" s="30">
        <v>58141</v>
      </c>
      <c r="AR23" s="30">
        <v>56254</v>
      </c>
      <c r="AS23" s="30">
        <v>59974</v>
      </c>
      <c r="AT23" s="30">
        <v>62566</v>
      </c>
      <c r="AU23" s="21">
        <v>62566</v>
      </c>
      <c r="AV23" s="30">
        <v>66382</v>
      </c>
      <c r="AW23" s="30">
        <v>64235</v>
      </c>
      <c r="AX23" s="30">
        <v>58812</v>
      </c>
      <c r="AY23" s="30">
        <v>64709</v>
      </c>
      <c r="AZ23" s="21">
        <v>64709</v>
      </c>
      <c r="BA23" s="30">
        <v>63970</v>
      </c>
      <c r="BB23" s="30">
        <v>60351</v>
      </c>
      <c r="BC23" s="30">
        <v>60602</v>
      </c>
      <c r="BD23" s="189">
        <f>BC23+(AY23-AX23)</f>
        <v>66499</v>
      </c>
      <c r="BE23" s="141">
        <f>BD23</f>
        <v>66499</v>
      </c>
      <c r="BF23" s="189">
        <f t="shared" ref="BF23:BI23" si="21">BE23+(BA23-AZ23)</f>
        <v>65760</v>
      </c>
      <c r="BG23" s="189">
        <f t="shared" si="21"/>
        <v>62141</v>
      </c>
      <c r="BH23" s="189">
        <f t="shared" si="21"/>
        <v>62392</v>
      </c>
      <c r="BI23" s="189">
        <f t="shared" si="21"/>
        <v>68289</v>
      </c>
      <c r="BJ23" s="141">
        <f>BI23</f>
        <v>68289</v>
      </c>
      <c r="BK23" s="141">
        <f t="shared" ref="BK23" si="22">BJ23+(BJ23-BE23)</f>
        <v>70079</v>
      </c>
      <c r="BL23" s="141">
        <f t="shared" si="20"/>
        <v>71869</v>
      </c>
      <c r="BM23" s="141">
        <f t="shared" si="20"/>
        <v>73659</v>
      </c>
    </row>
    <row r="24" spans="1:65" ht="16.5" x14ac:dyDescent="0.3">
      <c r="A24" s="4" t="s">
        <v>89</v>
      </c>
      <c r="B24" s="4"/>
      <c r="C24" s="4"/>
      <c r="D24" s="4"/>
      <c r="E24" s="13">
        <v>0</v>
      </c>
      <c r="F24" s="13">
        <v>0</v>
      </c>
      <c r="G24" s="13">
        <v>0</v>
      </c>
      <c r="H24" s="13">
        <v>0</v>
      </c>
      <c r="I24" s="13">
        <v>792</v>
      </c>
      <c r="J24" s="21">
        <v>1159</v>
      </c>
      <c r="K24" s="21">
        <v>1823</v>
      </c>
      <c r="L24" s="21">
        <v>3118</v>
      </c>
      <c r="M24" s="30">
        <v>3766</v>
      </c>
      <c r="N24" s="30">
        <v>3851</v>
      </c>
      <c r="O24" s="30">
        <v>4200</v>
      </c>
      <c r="P24" s="30">
        <v>4768</v>
      </c>
      <c r="Q24" s="21">
        <v>4768</v>
      </c>
      <c r="R24" s="76">
        <v>5454</v>
      </c>
      <c r="S24" s="76">
        <v>5065</v>
      </c>
      <c r="T24" s="76">
        <v>5153</v>
      </c>
      <c r="U24" s="76">
        <v>5097</v>
      </c>
      <c r="V24" s="21">
        <v>5097</v>
      </c>
      <c r="W24" s="30">
        <v>6182</v>
      </c>
      <c r="X24" s="30">
        <v>6004</v>
      </c>
      <c r="Y24" s="30">
        <v>6000</v>
      </c>
      <c r="Z24" s="30">
        <v>6536</v>
      </c>
      <c r="AA24" s="21">
        <v>6536</v>
      </c>
      <c r="AB24" s="30">
        <v>7298</v>
      </c>
      <c r="AC24" s="30">
        <v>7475</v>
      </c>
      <c r="AD24" s="30">
        <v>7381</v>
      </c>
      <c r="AE24" s="30">
        <v>8190</v>
      </c>
      <c r="AF24" s="21">
        <v>8190</v>
      </c>
      <c r="AG24" s="30">
        <v>8864</v>
      </c>
      <c r="AH24" s="30">
        <v>8190</v>
      </c>
      <c r="AI24" s="30">
        <v>9251</v>
      </c>
      <c r="AJ24" s="30">
        <v>9708</v>
      </c>
      <c r="AK24" s="21">
        <v>9708</v>
      </c>
      <c r="AL24" s="30">
        <v>10539</v>
      </c>
      <c r="AM24" s="30">
        <v>10695</v>
      </c>
      <c r="AN24" s="30">
        <v>10974</v>
      </c>
      <c r="AO24" s="30">
        <v>11827</v>
      </c>
      <c r="AP24" s="21">
        <v>11827</v>
      </c>
      <c r="AQ24" s="30">
        <v>12820</v>
      </c>
      <c r="AR24" s="30">
        <v>12818</v>
      </c>
      <c r="AS24" s="30">
        <v>12629</v>
      </c>
      <c r="AT24" s="30">
        <v>13227</v>
      </c>
      <c r="AU24" s="21">
        <v>13227</v>
      </c>
      <c r="AV24" s="30">
        <v>14281</v>
      </c>
      <c r="AW24" s="30">
        <v>14522</v>
      </c>
      <c r="AX24" s="30">
        <v>14398</v>
      </c>
      <c r="AY24" s="30">
        <v>15227</v>
      </c>
      <c r="AZ24" s="21">
        <v>15227</v>
      </c>
      <c r="BA24" s="30">
        <v>15927</v>
      </c>
      <c r="BB24" s="30">
        <v>16004</v>
      </c>
      <c r="BC24" s="30">
        <v>16305</v>
      </c>
      <c r="BD24" s="189">
        <f>BC24+(AY24-AX24)</f>
        <v>17134</v>
      </c>
      <c r="BE24" s="141">
        <f>BD24</f>
        <v>17134</v>
      </c>
      <c r="BF24" s="189">
        <f>BE24+(BA24-AZ24)</f>
        <v>17834</v>
      </c>
      <c r="BG24" s="189">
        <f t="shared" ref="BG24:BI24" si="23">BF24+(BB24-BA24)</f>
        <v>17911</v>
      </c>
      <c r="BH24" s="189">
        <f t="shared" si="23"/>
        <v>18212</v>
      </c>
      <c r="BI24" s="189">
        <f t="shared" si="23"/>
        <v>19041</v>
      </c>
      <c r="BJ24" s="141">
        <f>BI24</f>
        <v>19041</v>
      </c>
      <c r="BK24" s="141">
        <f t="shared" ref="BK24" si="24">BJ24+(BJ24-BE24)</f>
        <v>20948</v>
      </c>
      <c r="BL24" s="141">
        <f t="shared" si="20"/>
        <v>22855</v>
      </c>
      <c r="BM24" s="141">
        <f t="shared" si="20"/>
        <v>24762</v>
      </c>
    </row>
    <row r="25" spans="1:65" ht="16.5" x14ac:dyDescent="0.3">
      <c r="A25" s="7" t="s">
        <v>147</v>
      </c>
      <c r="B25" s="7"/>
      <c r="C25" s="7"/>
      <c r="D25" s="7" t="s">
        <v>0</v>
      </c>
      <c r="E25" s="20">
        <f t="shared" ref="E25:AJ25" si="25">SUM(E22:E24)</f>
        <v>4746</v>
      </c>
      <c r="F25" s="20">
        <f t="shared" si="25"/>
        <v>7364</v>
      </c>
      <c r="G25" s="20">
        <f t="shared" si="25"/>
        <v>10372</v>
      </c>
      <c r="H25" s="20">
        <f t="shared" si="25"/>
        <v>14896</v>
      </c>
      <c r="I25" s="20">
        <f t="shared" si="25"/>
        <v>19002</v>
      </c>
      <c r="J25" s="20">
        <f t="shared" si="25"/>
        <v>22980</v>
      </c>
      <c r="K25" s="20">
        <f t="shared" si="25"/>
        <v>28089</v>
      </c>
      <c r="L25" s="20">
        <f t="shared" si="25"/>
        <v>33887</v>
      </c>
      <c r="M25" s="31">
        <f t="shared" si="25"/>
        <v>28187</v>
      </c>
      <c r="N25" s="31">
        <f t="shared" si="25"/>
        <v>29587</v>
      </c>
      <c r="O25" s="31">
        <f t="shared" si="25"/>
        <v>33498</v>
      </c>
      <c r="P25" s="31">
        <f t="shared" si="25"/>
        <v>43816</v>
      </c>
      <c r="Q25" s="20">
        <f t="shared" si="25"/>
        <v>43816</v>
      </c>
      <c r="R25" s="79">
        <f t="shared" si="25"/>
        <v>37399</v>
      </c>
      <c r="S25" s="79">
        <f t="shared" si="25"/>
        <v>40520</v>
      </c>
      <c r="T25" s="79">
        <f t="shared" si="25"/>
        <v>47072</v>
      </c>
      <c r="U25" s="79">
        <f t="shared" si="25"/>
        <v>57883</v>
      </c>
      <c r="V25" s="20">
        <f t="shared" si="25"/>
        <v>57883</v>
      </c>
      <c r="W25" s="31">
        <f t="shared" si="25"/>
        <v>48045</v>
      </c>
      <c r="X25" s="31">
        <f t="shared" si="25"/>
        <v>50801</v>
      </c>
      <c r="Y25" s="31">
        <f t="shared" si="25"/>
        <v>55324</v>
      </c>
      <c r="Z25" s="31">
        <f t="shared" si="25"/>
        <v>68391</v>
      </c>
      <c r="AA25" s="20">
        <f t="shared" si="25"/>
        <v>68391</v>
      </c>
      <c r="AB25" s="31">
        <f t="shared" si="25"/>
        <v>63695</v>
      </c>
      <c r="AC25" s="31">
        <f t="shared" si="25"/>
        <v>69678</v>
      </c>
      <c r="AD25" s="31">
        <f t="shared" si="25"/>
        <v>72136</v>
      </c>
      <c r="AE25" s="31">
        <f t="shared" si="25"/>
        <v>87812</v>
      </c>
      <c r="AF25" s="20">
        <f t="shared" si="25"/>
        <v>87812</v>
      </c>
      <c r="AG25" s="31">
        <f t="shared" si="25"/>
        <v>79711</v>
      </c>
      <c r="AH25" s="31">
        <f t="shared" si="25"/>
        <v>87812</v>
      </c>
      <c r="AI25" s="31">
        <f t="shared" si="25"/>
        <v>101912</v>
      </c>
      <c r="AJ25" s="31">
        <f t="shared" si="25"/>
        <v>126385</v>
      </c>
      <c r="AK25" s="20">
        <f t="shared" ref="AK25:BJ25" si="26">SUM(AK22:AK24)</f>
        <v>126385</v>
      </c>
      <c r="AL25" s="31">
        <f t="shared" si="26"/>
        <v>115404</v>
      </c>
      <c r="AM25" s="31">
        <f t="shared" si="26"/>
        <v>117792</v>
      </c>
      <c r="AN25" s="31">
        <f t="shared" si="26"/>
        <v>123994</v>
      </c>
      <c r="AO25" s="31">
        <f t="shared" si="26"/>
        <v>142266</v>
      </c>
      <c r="AP25" s="20">
        <f t="shared" si="26"/>
        <v>142266</v>
      </c>
      <c r="AQ25" s="31">
        <f t="shared" si="26"/>
        <v>139508</v>
      </c>
      <c r="AR25" s="31">
        <f t="shared" si="26"/>
        <v>140291</v>
      </c>
      <c r="AS25" s="31">
        <f t="shared" si="26"/>
        <v>140363</v>
      </c>
      <c r="AT25" s="31">
        <f t="shared" si="26"/>
        <v>155393</v>
      </c>
      <c r="AU25" s="20">
        <f t="shared" si="26"/>
        <v>155393</v>
      </c>
      <c r="AV25" s="31">
        <f t="shared" si="26"/>
        <v>147570</v>
      </c>
      <c r="AW25" s="31">
        <f t="shared" si="26"/>
        <v>148238</v>
      </c>
      <c r="AX25" s="31">
        <f t="shared" si="26"/>
        <v>145214</v>
      </c>
      <c r="AY25" s="31">
        <f t="shared" si="26"/>
        <v>164917</v>
      </c>
      <c r="AZ25" s="20">
        <f t="shared" si="26"/>
        <v>164917</v>
      </c>
      <c r="BA25" s="31">
        <f t="shared" si="26"/>
        <v>152965</v>
      </c>
      <c r="BB25" s="31">
        <f t="shared" si="26"/>
        <v>158172</v>
      </c>
      <c r="BC25" s="31">
        <f t="shared" si="26"/>
        <v>161477</v>
      </c>
      <c r="BD25" s="190">
        <f t="shared" si="26"/>
        <v>171048.6336702641</v>
      </c>
      <c r="BE25" s="245">
        <f t="shared" si="26"/>
        <v>171048.6336702641</v>
      </c>
      <c r="BF25" s="190">
        <f t="shared" si="26"/>
        <v>159096.6336702641</v>
      </c>
      <c r="BG25" s="190">
        <f t="shared" si="26"/>
        <v>164303.6336702641</v>
      </c>
      <c r="BH25" s="190">
        <f t="shared" si="26"/>
        <v>167608.6336702641</v>
      </c>
      <c r="BI25" s="190">
        <f t="shared" si="26"/>
        <v>177180.26734052823</v>
      </c>
      <c r="BJ25" s="245">
        <f t="shared" si="26"/>
        <v>177180.26734052823</v>
      </c>
      <c r="BK25" s="245">
        <f t="shared" ref="BK25:BM25" si="27">SUM(BK22:BK24)</f>
        <v>183311.90101079235</v>
      </c>
      <c r="BL25" s="245">
        <f t="shared" si="27"/>
        <v>189443.53468105645</v>
      </c>
      <c r="BM25" s="245">
        <f t="shared" si="27"/>
        <v>195575.16835132055</v>
      </c>
    </row>
    <row r="26" spans="1:65" ht="16.5" x14ac:dyDescent="0.3">
      <c r="A26" s="4"/>
      <c r="B26" s="4"/>
      <c r="C26" s="4"/>
      <c r="D26" s="4"/>
      <c r="E26" s="13"/>
      <c r="F26" s="13"/>
      <c r="G26" s="13"/>
      <c r="H26" s="13"/>
      <c r="I26" s="13"/>
      <c r="J26" s="13"/>
      <c r="K26" s="13"/>
      <c r="L26" s="13"/>
      <c r="M26" s="29"/>
      <c r="N26" s="29"/>
      <c r="O26" s="29"/>
      <c r="P26" s="29"/>
      <c r="Q26" s="13"/>
      <c r="R26" s="81"/>
      <c r="S26" s="81"/>
      <c r="T26" s="81"/>
      <c r="U26" s="81"/>
      <c r="V26" s="13"/>
      <c r="W26" s="29"/>
      <c r="X26" s="29"/>
      <c r="Y26" s="29"/>
      <c r="Z26" s="29"/>
      <c r="AA26" s="13"/>
      <c r="AB26" s="29"/>
      <c r="AC26" s="29"/>
      <c r="AD26" s="29"/>
      <c r="AE26" s="29"/>
      <c r="AF26" s="13"/>
      <c r="AG26" s="29"/>
      <c r="AH26" s="29"/>
      <c r="AI26" s="29"/>
      <c r="AJ26" s="29"/>
      <c r="AK26" s="13"/>
      <c r="AL26" s="29"/>
      <c r="AM26" s="29"/>
      <c r="AN26" s="29"/>
      <c r="AO26" s="29"/>
      <c r="AP26" s="13"/>
      <c r="AQ26" s="29"/>
      <c r="AR26" s="29"/>
      <c r="AS26" s="29"/>
      <c r="AT26" s="29"/>
      <c r="AU26" s="13"/>
      <c r="AV26" s="29"/>
      <c r="AW26" s="29"/>
      <c r="AX26" s="29"/>
      <c r="AY26" s="29"/>
      <c r="AZ26" s="13"/>
      <c r="BA26" s="29"/>
      <c r="BB26" s="29"/>
      <c r="BC26" s="29"/>
      <c r="BD26" s="191"/>
      <c r="BE26" s="251"/>
      <c r="BF26" s="191"/>
      <c r="BG26" s="191"/>
      <c r="BH26" s="191"/>
      <c r="BI26" s="191"/>
      <c r="BJ26" s="251"/>
      <c r="BK26" s="251"/>
      <c r="BL26" s="251"/>
      <c r="BM26" s="251"/>
    </row>
    <row r="27" spans="1:65" ht="16.5" x14ac:dyDescent="0.3">
      <c r="A27" s="4" t="s">
        <v>90</v>
      </c>
      <c r="B27" s="4"/>
      <c r="C27" s="4"/>
      <c r="D27" s="4"/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29">
        <v>0</v>
      </c>
      <c r="N27" s="29">
        <v>0</v>
      </c>
      <c r="O27" s="29">
        <v>0</v>
      </c>
      <c r="P27" s="29">
        <v>0</v>
      </c>
      <c r="Q27" s="13">
        <v>0</v>
      </c>
      <c r="R27" s="81">
        <v>0</v>
      </c>
      <c r="S27" s="81">
        <v>0</v>
      </c>
      <c r="T27" s="81">
        <v>0</v>
      </c>
      <c r="U27" s="81">
        <v>0</v>
      </c>
      <c r="V27" s="13">
        <v>0</v>
      </c>
      <c r="W27" s="29">
        <v>0</v>
      </c>
      <c r="X27" s="29">
        <v>0</v>
      </c>
      <c r="Y27" s="29">
        <v>0</v>
      </c>
      <c r="Z27" s="30">
        <v>9650</v>
      </c>
      <c r="AA27" s="21">
        <v>9650</v>
      </c>
      <c r="AB27" s="30">
        <v>33275</v>
      </c>
      <c r="AC27" s="30">
        <v>35134</v>
      </c>
      <c r="AD27" s="30">
        <v>37058</v>
      </c>
      <c r="AE27" s="30">
        <v>39791</v>
      </c>
      <c r="AF27" s="21">
        <v>39791</v>
      </c>
      <c r="AG27" s="30">
        <v>40300</v>
      </c>
      <c r="AH27" s="30">
        <v>39791</v>
      </c>
      <c r="AI27" s="30">
        <v>48589</v>
      </c>
      <c r="AJ27" s="30">
        <v>52573</v>
      </c>
      <c r="AK27" s="21">
        <v>52573</v>
      </c>
      <c r="AL27" s="30">
        <v>53067</v>
      </c>
      <c r="AM27" s="30">
        <v>56297</v>
      </c>
      <c r="AN27" s="30">
        <v>63848</v>
      </c>
      <c r="AO27" s="30">
        <v>67651</v>
      </c>
      <c r="AP27" s="21">
        <v>67651</v>
      </c>
      <c r="AQ27" s="30">
        <v>65731</v>
      </c>
      <c r="AR27" s="30">
        <v>66524</v>
      </c>
      <c r="AS27" s="30">
        <v>69332</v>
      </c>
      <c r="AT27" s="30">
        <v>72968</v>
      </c>
      <c r="AU27" s="21">
        <v>72968</v>
      </c>
      <c r="AV27" s="30">
        <v>74267</v>
      </c>
      <c r="AW27" s="30">
        <v>75822</v>
      </c>
      <c r="AX27" s="30">
        <v>75891</v>
      </c>
      <c r="AY27" s="30">
        <v>77297</v>
      </c>
      <c r="AZ27" s="21">
        <v>77297</v>
      </c>
      <c r="BA27" s="30">
        <v>77052</v>
      </c>
      <c r="BB27" s="30">
        <v>78084</v>
      </c>
      <c r="BC27" s="30">
        <v>79802</v>
      </c>
      <c r="BD27" s="189">
        <f>BC27+(AY27-AX27)</f>
        <v>81208</v>
      </c>
      <c r="BE27" s="141">
        <f>BD27</f>
        <v>81208</v>
      </c>
      <c r="BF27" s="189">
        <f t="shared" ref="BF27:BI27" si="28">BE27+(BA27-AZ27)</f>
        <v>80963</v>
      </c>
      <c r="BG27" s="189">
        <f t="shared" si="28"/>
        <v>81995</v>
      </c>
      <c r="BH27" s="189">
        <f t="shared" si="28"/>
        <v>83713</v>
      </c>
      <c r="BI27" s="189">
        <f t="shared" si="28"/>
        <v>85119</v>
      </c>
      <c r="BJ27" s="141">
        <f>BI27</f>
        <v>85119</v>
      </c>
      <c r="BK27" s="141">
        <f>BJ27+(BJ27-BE27)</f>
        <v>89030</v>
      </c>
      <c r="BL27" s="141">
        <f>BK27+(BK27-BJ27)</f>
        <v>92941</v>
      </c>
      <c r="BM27" s="141">
        <f>BL27+(BL27-BK27)</f>
        <v>96852</v>
      </c>
    </row>
    <row r="28" spans="1:65" ht="16.5" x14ac:dyDescent="0.3">
      <c r="A28" s="4" t="s">
        <v>91</v>
      </c>
      <c r="B28" s="4"/>
      <c r="C28" s="4"/>
      <c r="D28" s="4"/>
      <c r="E28" s="13">
        <v>409</v>
      </c>
      <c r="F28" s="13">
        <v>109</v>
      </c>
      <c r="G28" s="13">
        <v>0</v>
      </c>
      <c r="H28" s="13">
        <v>255</v>
      </c>
      <c r="I28" s="21">
        <v>3084</v>
      </c>
      <c r="J28" s="21">
        <v>3191</v>
      </c>
      <c r="K28" s="21">
        <v>8265</v>
      </c>
      <c r="L28" s="21">
        <v>8227</v>
      </c>
      <c r="M28" s="30">
        <v>8219</v>
      </c>
      <c r="N28" s="30">
        <v>8212</v>
      </c>
      <c r="O28" s="30">
        <v>8205</v>
      </c>
      <c r="P28" s="30">
        <v>7694</v>
      </c>
      <c r="Q28" s="21">
        <v>7694</v>
      </c>
      <c r="R28" s="76">
        <v>7691</v>
      </c>
      <c r="S28" s="76">
        <v>7683</v>
      </c>
      <c r="T28" s="76">
        <v>24710</v>
      </c>
      <c r="U28" s="76">
        <v>24743</v>
      </c>
      <c r="V28" s="21">
        <v>24743</v>
      </c>
      <c r="W28" s="30">
        <v>24640</v>
      </c>
      <c r="X28" s="30">
        <v>24638</v>
      </c>
      <c r="Y28" s="30">
        <v>24684</v>
      </c>
      <c r="Z28" s="30">
        <v>23495</v>
      </c>
      <c r="AA28" s="21">
        <v>23495</v>
      </c>
      <c r="AB28" s="30">
        <v>23322</v>
      </c>
      <c r="AC28" s="30">
        <v>23329</v>
      </c>
      <c r="AD28" s="30">
        <v>22472</v>
      </c>
      <c r="AE28" s="30">
        <v>23414</v>
      </c>
      <c r="AF28" s="21">
        <v>23414</v>
      </c>
      <c r="AG28" s="30">
        <v>23437</v>
      </c>
      <c r="AH28" s="30">
        <v>23414</v>
      </c>
      <c r="AI28" s="30">
        <v>32929</v>
      </c>
      <c r="AJ28" s="30">
        <v>31816</v>
      </c>
      <c r="AK28" s="21">
        <v>31816</v>
      </c>
      <c r="AL28" s="30">
        <v>31868</v>
      </c>
      <c r="AM28" s="30">
        <v>50279</v>
      </c>
      <c r="AN28" s="30">
        <v>50055</v>
      </c>
      <c r="AO28" s="30">
        <v>48744</v>
      </c>
      <c r="AP28" s="21">
        <v>48744</v>
      </c>
      <c r="AQ28" s="30">
        <v>47556</v>
      </c>
      <c r="AR28" s="30">
        <v>58053</v>
      </c>
      <c r="AS28" s="30">
        <v>58919</v>
      </c>
      <c r="AT28" s="30">
        <v>67150</v>
      </c>
      <c r="AU28" s="21">
        <v>67150</v>
      </c>
      <c r="AV28" s="30">
        <v>67084</v>
      </c>
      <c r="AW28" s="30">
        <v>63092</v>
      </c>
      <c r="AX28" s="30">
        <v>61098</v>
      </c>
      <c r="AY28" s="30">
        <v>58314</v>
      </c>
      <c r="AZ28" s="21">
        <v>58314</v>
      </c>
      <c r="BA28" s="30">
        <v>57634</v>
      </c>
      <c r="BB28" s="30">
        <v>54889</v>
      </c>
      <c r="BC28" s="30">
        <v>54890</v>
      </c>
      <c r="BD28" s="189">
        <f>BC28*(1+Valuation!$P$17)</f>
        <v>56954.600149449492</v>
      </c>
      <c r="BE28" s="141">
        <f>BD28</f>
        <v>56954.600149449492</v>
      </c>
      <c r="BF28" s="189">
        <f>BE28*(1+Valuation!$P$17)</f>
        <v>59096.856953610353</v>
      </c>
      <c r="BG28" s="189">
        <f>BF28*(1+Valuation!$P$17)</f>
        <v>61319.691344180937</v>
      </c>
      <c r="BH28" s="189">
        <f>BG28*(1+Valuation!$P$17)</f>
        <v>63626.134119065122</v>
      </c>
      <c r="BI28" s="189">
        <f>BH28*(1+Valuation!$P$17)</f>
        <v>66019.33007481508</v>
      </c>
      <c r="BJ28" s="141">
        <f>BI28</f>
        <v>66019.33007481508</v>
      </c>
      <c r="BK28" s="141">
        <f>BJ28*(1+Valuation!$P$17)</f>
        <v>68502.542294509345</v>
      </c>
      <c r="BL28" s="141">
        <f>BK28*(1+Valuation!$P$17)</f>
        <v>71079.156596912595</v>
      </c>
      <c r="BM28" s="141">
        <f>BL28*(1+Valuation!$P$17)</f>
        <v>73752.686152983457</v>
      </c>
    </row>
    <row r="29" spans="1:65" ht="16.5" x14ac:dyDescent="0.3">
      <c r="A29" s="4" t="s">
        <v>92</v>
      </c>
      <c r="B29" s="4"/>
      <c r="C29" s="4"/>
      <c r="D29" s="4"/>
      <c r="E29" s="13">
        <v>487</v>
      </c>
      <c r="F29" s="21">
        <v>1083</v>
      </c>
      <c r="G29" s="21">
        <v>1561</v>
      </c>
      <c r="H29" s="21">
        <v>2370</v>
      </c>
      <c r="I29" s="21">
        <v>2277</v>
      </c>
      <c r="J29" s="21">
        <v>4242</v>
      </c>
      <c r="K29" s="21">
        <v>7410</v>
      </c>
      <c r="L29" s="21">
        <v>9249</v>
      </c>
      <c r="M29" s="30">
        <v>9966</v>
      </c>
      <c r="N29" s="30">
        <v>10739</v>
      </c>
      <c r="O29" s="30">
        <v>11412</v>
      </c>
      <c r="P29" s="30">
        <v>12607</v>
      </c>
      <c r="Q29" s="21">
        <v>12607</v>
      </c>
      <c r="R29" s="76">
        <v>14205</v>
      </c>
      <c r="S29" s="76">
        <v>16364</v>
      </c>
      <c r="T29" s="76">
        <v>18827</v>
      </c>
      <c r="U29" s="76">
        <v>20975</v>
      </c>
      <c r="V29" s="21">
        <v>20975</v>
      </c>
      <c r="W29" s="30">
        <v>22214</v>
      </c>
      <c r="X29" s="30">
        <v>23666</v>
      </c>
      <c r="Y29" s="30">
        <v>24562</v>
      </c>
      <c r="Z29" s="30">
        <v>17563</v>
      </c>
      <c r="AA29" s="21">
        <v>17563</v>
      </c>
      <c r="AB29" s="30">
        <v>9400</v>
      </c>
      <c r="AC29" s="30">
        <v>10149</v>
      </c>
      <c r="AD29" s="30">
        <v>10925</v>
      </c>
      <c r="AE29" s="30">
        <v>12171</v>
      </c>
      <c r="AF29" s="21">
        <v>12171</v>
      </c>
      <c r="AG29" s="30">
        <v>12518</v>
      </c>
      <c r="AH29" s="30">
        <v>12171</v>
      </c>
      <c r="AI29" s="30">
        <v>15974</v>
      </c>
      <c r="AJ29" s="30">
        <v>17017</v>
      </c>
      <c r="AK29" s="21">
        <v>17017</v>
      </c>
      <c r="AL29" s="30">
        <v>19418</v>
      </c>
      <c r="AM29" s="30">
        <v>21148</v>
      </c>
      <c r="AN29" s="30">
        <v>23945</v>
      </c>
      <c r="AO29" s="30">
        <v>23643</v>
      </c>
      <c r="AP29" s="21">
        <v>23643</v>
      </c>
      <c r="AQ29" s="30">
        <v>23971</v>
      </c>
      <c r="AR29" s="30">
        <v>23458</v>
      </c>
      <c r="AS29" s="30">
        <v>22259</v>
      </c>
      <c r="AT29" s="30">
        <v>21121</v>
      </c>
      <c r="AU29" s="21">
        <v>21121</v>
      </c>
      <c r="AV29" s="30">
        <v>20931</v>
      </c>
      <c r="AW29" s="30">
        <v>21853</v>
      </c>
      <c r="AX29" s="30">
        <v>21707</v>
      </c>
      <c r="AY29" s="30">
        <v>25451</v>
      </c>
      <c r="AZ29" s="21">
        <v>25451</v>
      </c>
      <c r="BA29" s="30">
        <v>26657</v>
      </c>
      <c r="BB29" s="30">
        <v>27226</v>
      </c>
      <c r="BC29" s="30">
        <v>29306</v>
      </c>
      <c r="BD29" s="189">
        <f>BC29+(AY29-AX29)</f>
        <v>33050</v>
      </c>
      <c r="BE29" s="141">
        <f>BD29</f>
        <v>33050</v>
      </c>
      <c r="BF29" s="189">
        <f t="shared" ref="BF29:BI29" si="29">BE29+(BA29-AZ29)</f>
        <v>34256</v>
      </c>
      <c r="BG29" s="189">
        <f t="shared" si="29"/>
        <v>34825</v>
      </c>
      <c r="BH29" s="189">
        <f t="shared" si="29"/>
        <v>36905</v>
      </c>
      <c r="BI29" s="189">
        <f t="shared" si="29"/>
        <v>40649</v>
      </c>
      <c r="BJ29" s="141">
        <f>BI29</f>
        <v>40649</v>
      </c>
      <c r="BK29" s="141">
        <f>BJ29+(BJ29-BE29)</f>
        <v>48248</v>
      </c>
      <c r="BL29" s="141">
        <f>BK29+(BK29-BJ29)</f>
        <v>55847</v>
      </c>
      <c r="BM29" s="141">
        <f>BL29+(BL29-BK29)</f>
        <v>63446</v>
      </c>
    </row>
    <row r="30" spans="1:65" ht="16.5" x14ac:dyDescent="0.3">
      <c r="A30" s="7" t="s">
        <v>148</v>
      </c>
      <c r="B30" s="7"/>
      <c r="C30" s="7"/>
      <c r="D30" s="7" t="s">
        <v>0</v>
      </c>
      <c r="E30" s="19">
        <f>SUM(E27:E29)</f>
        <v>896</v>
      </c>
      <c r="F30" s="20">
        <f t="shared" ref="F30:BM30" si="30">SUM(F27:F29)</f>
        <v>1192</v>
      </c>
      <c r="G30" s="20">
        <f t="shared" si="30"/>
        <v>1561</v>
      </c>
      <c r="H30" s="20">
        <f t="shared" si="30"/>
        <v>2625</v>
      </c>
      <c r="I30" s="20">
        <f t="shared" si="30"/>
        <v>5361</v>
      </c>
      <c r="J30" s="20">
        <f t="shared" si="30"/>
        <v>7433</v>
      </c>
      <c r="K30" s="20">
        <f t="shared" si="30"/>
        <v>15675</v>
      </c>
      <c r="L30" s="20">
        <f t="shared" si="30"/>
        <v>17476</v>
      </c>
      <c r="M30" s="31">
        <f t="shared" si="30"/>
        <v>18185</v>
      </c>
      <c r="N30" s="31">
        <f t="shared" si="30"/>
        <v>18951</v>
      </c>
      <c r="O30" s="31">
        <f t="shared" si="30"/>
        <v>19617</v>
      </c>
      <c r="P30" s="31">
        <f t="shared" si="30"/>
        <v>20301</v>
      </c>
      <c r="Q30" s="20">
        <f t="shared" si="30"/>
        <v>20301</v>
      </c>
      <c r="R30" s="79">
        <f t="shared" si="30"/>
        <v>21896</v>
      </c>
      <c r="S30" s="79">
        <f t="shared" si="30"/>
        <v>24047</v>
      </c>
      <c r="T30" s="79">
        <f t="shared" si="30"/>
        <v>43537</v>
      </c>
      <c r="U30" s="79">
        <f t="shared" si="30"/>
        <v>45718</v>
      </c>
      <c r="V30" s="20">
        <f t="shared" si="30"/>
        <v>45718</v>
      </c>
      <c r="W30" s="31">
        <f t="shared" si="30"/>
        <v>46854</v>
      </c>
      <c r="X30" s="31">
        <f t="shared" si="30"/>
        <v>48304</v>
      </c>
      <c r="Y30" s="31">
        <f t="shared" si="30"/>
        <v>49246</v>
      </c>
      <c r="Z30" s="31">
        <f t="shared" si="30"/>
        <v>50708</v>
      </c>
      <c r="AA30" s="20">
        <f t="shared" si="30"/>
        <v>50708</v>
      </c>
      <c r="AB30" s="31">
        <f t="shared" si="30"/>
        <v>65997</v>
      </c>
      <c r="AC30" s="31">
        <f t="shared" si="30"/>
        <v>68612</v>
      </c>
      <c r="AD30" s="31">
        <f t="shared" si="30"/>
        <v>70455</v>
      </c>
      <c r="AE30" s="31">
        <f t="shared" si="30"/>
        <v>75376</v>
      </c>
      <c r="AF30" s="20">
        <f t="shared" si="30"/>
        <v>75376</v>
      </c>
      <c r="AG30" s="31">
        <f t="shared" si="30"/>
        <v>76255</v>
      </c>
      <c r="AH30" s="31">
        <f t="shared" si="30"/>
        <v>75376</v>
      </c>
      <c r="AI30" s="31">
        <f t="shared" si="30"/>
        <v>97492</v>
      </c>
      <c r="AJ30" s="31">
        <f t="shared" si="30"/>
        <v>101406</v>
      </c>
      <c r="AK30" s="20">
        <f t="shared" si="30"/>
        <v>101406</v>
      </c>
      <c r="AL30" s="31">
        <f t="shared" si="30"/>
        <v>104353</v>
      </c>
      <c r="AM30" s="31">
        <f t="shared" si="30"/>
        <v>127724</v>
      </c>
      <c r="AN30" s="31">
        <f t="shared" si="30"/>
        <v>137848</v>
      </c>
      <c r="AO30" s="31">
        <f t="shared" si="30"/>
        <v>140038</v>
      </c>
      <c r="AP30" s="20">
        <f t="shared" si="30"/>
        <v>140038</v>
      </c>
      <c r="AQ30" s="31">
        <f t="shared" si="30"/>
        <v>137258</v>
      </c>
      <c r="AR30" s="31">
        <f t="shared" si="30"/>
        <v>148035</v>
      </c>
      <c r="AS30" s="31">
        <f t="shared" si="30"/>
        <v>150510</v>
      </c>
      <c r="AT30" s="31">
        <f t="shared" si="30"/>
        <v>161239</v>
      </c>
      <c r="AU30" s="20">
        <f t="shared" si="30"/>
        <v>161239</v>
      </c>
      <c r="AV30" s="31">
        <f t="shared" si="30"/>
        <v>162282</v>
      </c>
      <c r="AW30" s="31">
        <f t="shared" si="30"/>
        <v>160767</v>
      </c>
      <c r="AX30" s="31">
        <f t="shared" si="30"/>
        <v>158696</v>
      </c>
      <c r="AY30" s="31">
        <f t="shared" si="30"/>
        <v>161062</v>
      </c>
      <c r="AZ30" s="20">
        <f t="shared" si="30"/>
        <v>161062</v>
      </c>
      <c r="BA30" s="31">
        <f>SUM(BA27:BA29)</f>
        <v>161343</v>
      </c>
      <c r="BB30" s="31">
        <f t="shared" si="30"/>
        <v>160199</v>
      </c>
      <c r="BC30" s="31">
        <f t="shared" si="30"/>
        <v>163998</v>
      </c>
      <c r="BD30" s="190">
        <f t="shared" si="30"/>
        <v>171212.60014944948</v>
      </c>
      <c r="BE30" s="245">
        <f t="shared" si="30"/>
        <v>171212.60014944948</v>
      </c>
      <c r="BF30" s="190">
        <f>SUM(BF27:BF29)</f>
        <v>174315.85695361035</v>
      </c>
      <c r="BG30" s="190">
        <f t="shared" si="30"/>
        <v>178139.69134418093</v>
      </c>
      <c r="BH30" s="190">
        <f t="shared" si="30"/>
        <v>184244.13411906513</v>
      </c>
      <c r="BI30" s="190">
        <f t="shared" si="30"/>
        <v>191787.33007481508</v>
      </c>
      <c r="BJ30" s="245">
        <f t="shared" si="30"/>
        <v>191787.33007481508</v>
      </c>
      <c r="BK30" s="245">
        <f t="shared" si="30"/>
        <v>205780.54229450936</v>
      </c>
      <c r="BL30" s="245">
        <f t="shared" si="30"/>
        <v>219867.15659691259</v>
      </c>
      <c r="BM30" s="245">
        <f t="shared" si="30"/>
        <v>234050.68615298346</v>
      </c>
    </row>
    <row r="31" spans="1:65" ht="16.5" x14ac:dyDescent="0.3">
      <c r="A31" s="4"/>
      <c r="B31" s="4"/>
      <c r="C31" s="4"/>
      <c r="D31" s="4"/>
      <c r="E31" s="13"/>
      <c r="F31" s="13"/>
      <c r="G31" s="13"/>
      <c r="H31" s="13"/>
      <c r="I31" s="13"/>
      <c r="J31" s="13"/>
      <c r="K31" s="13"/>
      <c r="L31" s="13"/>
      <c r="M31" s="29"/>
      <c r="N31" s="29"/>
      <c r="O31" s="29"/>
      <c r="P31" s="29"/>
      <c r="Q31" s="13"/>
      <c r="R31" s="81"/>
      <c r="S31" s="81"/>
      <c r="T31" s="81"/>
      <c r="U31" s="81"/>
      <c r="V31" s="13"/>
      <c r="W31" s="29"/>
      <c r="X31" s="29"/>
      <c r="Y31" s="29"/>
      <c r="Z31" s="29"/>
      <c r="AA31" s="13"/>
      <c r="AB31" s="29"/>
      <c r="AC31" s="29"/>
      <c r="AD31" s="29"/>
      <c r="AE31" s="29"/>
      <c r="AF31" s="13"/>
      <c r="AG31" s="29"/>
      <c r="AH31" s="29"/>
      <c r="AI31" s="29"/>
      <c r="AJ31" s="29"/>
      <c r="AK31" s="13"/>
      <c r="AL31" s="29"/>
      <c r="AM31" s="29"/>
      <c r="AN31" s="29"/>
      <c r="AO31" s="29"/>
      <c r="AP31" s="13"/>
      <c r="AQ31" s="29"/>
      <c r="AR31" s="29"/>
      <c r="AS31" s="29"/>
      <c r="AT31" s="29"/>
      <c r="AU31" s="13"/>
      <c r="AV31" s="29"/>
      <c r="AW31" s="29"/>
      <c r="AX31" s="29"/>
      <c r="AY31" s="29"/>
      <c r="AZ31" s="13"/>
      <c r="BA31" s="29"/>
      <c r="BB31" s="29"/>
      <c r="BC31" s="29"/>
      <c r="BD31" s="191"/>
      <c r="BE31" s="251"/>
      <c r="BF31" s="191"/>
      <c r="BG31" s="191"/>
      <c r="BH31" s="191"/>
      <c r="BI31" s="191"/>
      <c r="BJ31" s="251"/>
      <c r="BK31" s="251"/>
      <c r="BL31" s="251"/>
      <c r="BM31" s="251"/>
    </row>
    <row r="32" spans="1:65" ht="16.5" x14ac:dyDescent="0.3">
      <c r="A32" s="4" t="s">
        <v>93</v>
      </c>
      <c r="B32" s="4"/>
      <c r="C32" s="4"/>
      <c r="D32" s="4"/>
      <c r="E32" s="21">
        <f t="shared" ref="E32:AJ32" si="31">E30+E25</f>
        <v>5642</v>
      </c>
      <c r="F32" s="21">
        <f t="shared" si="31"/>
        <v>8556</v>
      </c>
      <c r="G32" s="21">
        <f t="shared" si="31"/>
        <v>11933</v>
      </c>
      <c r="H32" s="21">
        <f t="shared" si="31"/>
        <v>17521</v>
      </c>
      <c r="I32" s="21">
        <f t="shared" si="31"/>
        <v>24363</v>
      </c>
      <c r="J32" s="21">
        <f t="shared" si="31"/>
        <v>30413</v>
      </c>
      <c r="K32" s="21">
        <f t="shared" si="31"/>
        <v>43764</v>
      </c>
      <c r="L32" s="21">
        <f t="shared" si="31"/>
        <v>51363</v>
      </c>
      <c r="M32" s="30">
        <f t="shared" si="31"/>
        <v>46372</v>
      </c>
      <c r="N32" s="30">
        <f t="shared" si="31"/>
        <v>48538</v>
      </c>
      <c r="O32" s="30">
        <f t="shared" si="31"/>
        <v>53115</v>
      </c>
      <c r="P32" s="30">
        <f t="shared" si="31"/>
        <v>64117</v>
      </c>
      <c r="Q32" s="21">
        <f t="shared" si="31"/>
        <v>64117</v>
      </c>
      <c r="R32" s="76">
        <f t="shared" si="31"/>
        <v>59295</v>
      </c>
      <c r="S32" s="76">
        <f t="shared" si="31"/>
        <v>64567</v>
      </c>
      <c r="T32" s="76">
        <f t="shared" si="31"/>
        <v>90609</v>
      </c>
      <c r="U32" s="76">
        <f t="shared" si="31"/>
        <v>103601</v>
      </c>
      <c r="V32" s="21">
        <f t="shared" si="31"/>
        <v>103601</v>
      </c>
      <c r="W32" s="30">
        <f t="shared" si="31"/>
        <v>94899</v>
      </c>
      <c r="X32" s="30">
        <f t="shared" si="31"/>
        <v>99105</v>
      </c>
      <c r="Y32" s="30">
        <f t="shared" si="31"/>
        <v>104570</v>
      </c>
      <c r="Z32" s="30">
        <f t="shared" si="31"/>
        <v>119099</v>
      </c>
      <c r="AA32" s="21">
        <f t="shared" si="31"/>
        <v>119099</v>
      </c>
      <c r="AB32" s="30">
        <f t="shared" si="31"/>
        <v>129692</v>
      </c>
      <c r="AC32" s="30">
        <f t="shared" si="31"/>
        <v>138290</v>
      </c>
      <c r="AD32" s="30">
        <f t="shared" si="31"/>
        <v>142591</v>
      </c>
      <c r="AE32" s="30">
        <f t="shared" si="31"/>
        <v>163188</v>
      </c>
      <c r="AF32" s="21">
        <f t="shared" si="31"/>
        <v>163188</v>
      </c>
      <c r="AG32" s="30">
        <f t="shared" si="31"/>
        <v>155966</v>
      </c>
      <c r="AH32" s="30">
        <f t="shared" si="31"/>
        <v>163188</v>
      </c>
      <c r="AI32" s="30">
        <f t="shared" si="31"/>
        <v>199404</v>
      </c>
      <c r="AJ32" s="30">
        <f t="shared" si="31"/>
        <v>227791</v>
      </c>
      <c r="AK32" s="21">
        <f t="shared" ref="AK32:BJ32" si="32">AK30+AK25</f>
        <v>227791</v>
      </c>
      <c r="AL32" s="30">
        <f t="shared" si="32"/>
        <v>219757</v>
      </c>
      <c r="AM32" s="30">
        <f t="shared" si="32"/>
        <v>245516</v>
      </c>
      <c r="AN32" s="30">
        <f t="shared" si="32"/>
        <v>261842</v>
      </c>
      <c r="AO32" s="30">
        <f t="shared" si="32"/>
        <v>282304</v>
      </c>
      <c r="AP32" s="21">
        <f t="shared" si="32"/>
        <v>282304</v>
      </c>
      <c r="AQ32" s="30">
        <f t="shared" si="32"/>
        <v>276766</v>
      </c>
      <c r="AR32" s="30">
        <f t="shared" si="32"/>
        <v>288326</v>
      </c>
      <c r="AS32" s="30">
        <f t="shared" si="32"/>
        <v>290873</v>
      </c>
      <c r="AT32" s="30">
        <f t="shared" si="32"/>
        <v>316632</v>
      </c>
      <c r="AU32" s="21">
        <f t="shared" si="32"/>
        <v>316632</v>
      </c>
      <c r="AV32" s="30">
        <f t="shared" si="32"/>
        <v>309852</v>
      </c>
      <c r="AW32" s="30">
        <f t="shared" si="32"/>
        <v>309005</v>
      </c>
      <c r="AX32" s="30">
        <f t="shared" si="32"/>
        <v>303910</v>
      </c>
      <c r="AY32" s="30">
        <f t="shared" si="32"/>
        <v>325979</v>
      </c>
      <c r="AZ32" s="21">
        <f t="shared" si="32"/>
        <v>325979</v>
      </c>
      <c r="BA32" s="30">
        <f t="shared" si="32"/>
        <v>314308</v>
      </c>
      <c r="BB32" s="30">
        <f t="shared" si="32"/>
        <v>318371</v>
      </c>
      <c r="BC32" s="30">
        <f t="shared" si="32"/>
        <v>325475</v>
      </c>
      <c r="BD32" s="189">
        <f t="shared" si="32"/>
        <v>342261.23381971358</v>
      </c>
      <c r="BE32" s="141">
        <f t="shared" si="32"/>
        <v>342261.23381971358</v>
      </c>
      <c r="BF32" s="189">
        <f t="shared" si="32"/>
        <v>333412.49062387447</v>
      </c>
      <c r="BG32" s="189">
        <f t="shared" si="32"/>
        <v>342443.325014445</v>
      </c>
      <c r="BH32" s="189">
        <f t="shared" si="32"/>
        <v>351852.76778932923</v>
      </c>
      <c r="BI32" s="189">
        <f t="shared" si="32"/>
        <v>368967.59741534328</v>
      </c>
      <c r="BJ32" s="141">
        <f t="shared" si="32"/>
        <v>368967.59741534328</v>
      </c>
      <c r="BK32" s="141">
        <f t="shared" ref="BK32:BM32" si="33">BK30+BK25</f>
        <v>389092.44330530171</v>
      </c>
      <c r="BL32" s="141">
        <f t="shared" si="33"/>
        <v>409310.69127796905</v>
      </c>
      <c r="BM32" s="141">
        <f t="shared" si="33"/>
        <v>429625.85450430401</v>
      </c>
    </row>
    <row r="33" spans="1:65" ht="16.5" x14ac:dyDescent="0.3">
      <c r="A33" s="4"/>
      <c r="B33" s="4"/>
      <c r="C33" s="4"/>
      <c r="D33" s="4"/>
      <c r="E33" s="13"/>
      <c r="F33" s="13"/>
      <c r="G33" s="13"/>
      <c r="H33" s="13"/>
      <c r="I33" s="13"/>
      <c r="J33" s="13"/>
      <c r="K33" s="13"/>
      <c r="L33" s="13"/>
      <c r="M33" s="29"/>
      <c r="N33" s="29"/>
      <c r="O33" s="29"/>
      <c r="P33" s="29"/>
      <c r="Q33" s="13"/>
      <c r="R33" s="81"/>
      <c r="S33" s="81"/>
      <c r="T33" s="81"/>
      <c r="U33" s="81"/>
      <c r="V33" s="13"/>
      <c r="W33" s="29"/>
      <c r="X33" s="29"/>
      <c r="Y33" s="29"/>
      <c r="Z33" s="29"/>
      <c r="AA33" s="13"/>
      <c r="AB33" s="29"/>
      <c r="AC33" s="29"/>
      <c r="AD33" s="29"/>
      <c r="AE33" s="29"/>
      <c r="AF33" s="13"/>
      <c r="AG33" s="29"/>
      <c r="AH33" s="29"/>
      <c r="AI33" s="29"/>
      <c r="AJ33" s="29"/>
      <c r="AK33" s="13"/>
      <c r="AL33" s="29"/>
      <c r="AM33" s="29"/>
      <c r="AN33" s="29"/>
      <c r="AO33" s="29"/>
      <c r="AP33" s="13"/>
      <c r="AQ33" s="29"/>
      <c r="AR33" s="29"/>
      <c r="AS33" s="29"/>
      <c r="AT33" s="29"/>
      <c r="AU33" s="13"/>
      <c r="AV33" s="29"/>
      <c r="AW33" s="29"/>
      <c r="AX33" s="29"/>
      <c r="AY33" s="29"/>
      <c r="AZ33" s="13"/>
      <c r="BA33" s="29"/>
      <c r="BB33" s="29"/>
      <c r="BC33" s="29"/>
      <c r="BD33" s="191"/>
      <c r="BE33" s="251"/>
      <c r="BF33" s="191"/>
      <c r="BG33" s="191"/>
      <c r="BH33" s="191"/>
      <c r="BI33" s="191"/>
      <c r="BJ33" s="251"/>
      <c r="BK33" s="251"/>
      <c r="BL33" s="251"/>
      <c r="BM33" s="251"/>
    </row>
    <row r="34" spans="1:65" ht="16.5" x14ac:dyDescent="0.3">
      <c r="A34" s="4" t="s">
        <v>149</v>
      </c>
      <c r="B34" s="4"/>
      <c r="C34" s="4"/>
      <c r="D34" s="4"/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29">
        <v>0</v>
      </c>
      <c r="N34" s="29">
        <v>0</v>
      </c>
      <c r="O34" s="29">
        <v>0</v>
      </c>
      <c r="P34" s="29">
        <v>0</v>
      </c>
      <c r="Q34" s="13">
        <v>0</v>
      </c>
      <c r="R34" s="81">
        <v>0</v>
      </c>
      <c r="S34" s="81">
        <v>0</v>
      </c>
      <c r="T34" s="81">
        <v>0</v>
      </c>
      <c r="U34" s="81">
        <v>0</v>
      </c>
      <c r="V34" s="13">
        <v>0</v>
      </c>
      <c r="W34" s="29">
        <v>0</v>
      </c>
      <c r="X34" s="29">
        <v>0</v>
      </c>
      <c r="Y34" s="29">
        <v>0</v>
      </c>
      <c r="Z34" s="29">
        <v>0</v>
      </c>
      <c r="AA34" s="13">
        <v>0</v>
      </c>
      <c r="AB34" s="29">
        <v>0</v>
      </c>
      <c r="AC34" s="29">
        <v>0</v>
      </c>
      <c r="AD34" s="29">
        <v>0</v>
      </c>
      <c r="AE34" s="29">
        <v>0</v>
      </c>
      <c r="AF34" s="13">
        <v>0</v>
      </c>
      <c r="AG34" s="29">
        <v>0</v>
      </c>
      <c r="AH34" s="29">
        <v>0</v>
      </c>
      <c r="AI34" s="29">
        <v>0</v>
      </c>
      <c r="AJ34" s="29">
        <v>0</v>
      </c>
      <c r="AK34" s="13">
        <v>0</v>
      </c>
      <c r="AL34" s="29">
        <v>0</v>
      </c>
      <c r="AM34" s="29">
        <v>0</v>
      </c>
      <c r="AN34" s="29">
        <v>0</v>
      </c>
      <c r="AO34" s="29">
        <v>0</v>
      </c>
      <c r="AP34" s="13">
        <v>0</v>
      </c>
      <c r="AQ34" s="29">
        <v>0</v>
      </c>
      <c r="AR34" s="29">
        <v>0</v>
      </c>
      <c r="AS34" s="29">
        <v>0</v>
      </c>
      <c r="AT34" s="29">
        <v>0</v>
      </c>
      <c r="AU34" s="13">
        <v>0</v>
      </c>
      <c r="AV34" s="29">
        <v>0</v>
      </c>
      <c r="AW34" s="29">
        <v>0</v>
      </c>
      <c r="AX34" s="29">
        <v>0</v>
      </c>
      <c r="AY34" s="29">
        <v>0</v>
      </c>
      <c r="AZ34" s="13">
        <v>0</v>
      </c>
      <c r="BA34" s="29">
        <v>0</v>
      </c>
      <c r="BB34" s="29">
        <v>0</v>
      </c>
      <c r="BC34" s="29">
        <v>0</v>
      </c>
      <c r="BD34" s="191">
        <v>0</v>
      </c>
      <c r="BE34" s="251">
        <f t="shared" ref="BE34:BE39" si="34">BD34</f>
        <v>0</v>
      </c>
      <c r="BF34" s="191">
        <v>0</v>
      </c>
      <c r="BG34" s="191">
        <v>0</v>
      </c>
      <c r="BH34" s="191">
        <v>0</v>
      </c>
      <c r="BI34" s="191">
        <v>0</v>
      </c>
      <c r="BJ34" s="251">
        <f t="shared" ref="BJ34:BJ39" si="35">BI34</f>
        <v>0</v>
      </c>
      <c r="BK34" s="251">
        <f t="shared" ref="BK34:BM34" si="36">BJ34</f>
        <v>0</v>
      </c>
      <c r="BL34" s="251">
        <f t="shared" si="36"/>
        <v>0</v>
      </c>
      <c r="BM34" s="251">
        <f t="shared" si="36"/>
        <v>0</v>
      </c>
    </row>
    <row r="35" spans="1:65" ht="16.5" x14ac:dyDescent="0.3">
      <c r="A35" s="4" t="s">
        <v>150</v>
      </c>
      <c r="B35" s="4"/>
      <c r="C35" s="4"/>
      <c r="D35" s="4"/>
      <c r="E35" s="13">
        <v>4</v>
      </c>
      <c r="F35" s="13">
        <v>5</v>
      </c>
      <c r="G35" s="13">
        <v>5</v>
      </c>
      <c r="H35" s="13">
        <v>5</v>
      </c>
      <c r="I35" s="13">
        <v>5</v>
      </c>
      <c r="J35" s="13">
        <v>5</v>
      </c>
      <c r="K35" s="13">
        <v>5</v>
      </c>
      <c r="L35" s="13">
        <v>5</v>
      </c>
      <c r="M35" s="29">
        <v>5</v>
      </c>
      <c r="N35" s="29">
        <v>5</v>
      </c>
      <c r="O35" s="29">
        <v>5</v>
      </c>
      <c r="P35" s="29">
        <v>5</v>
      </c>
      <c r="Q35" s="13">
        <v>5</v>
      </c>
      <c r="R35" s="81">
        <v>5</v>
      </c>
      <c r="S35" s="81">
        <v>5</v>
      </c>
      <c r="T35" s="81">
        <v>5</v>
      </c>
      <c r="U35" s="81">
        <v>5</v>
      </c>
      <c r="V35" s="13">
        <v>5</v>
      </c>
      <c r="W35" s="29">
        <v>5</v>
      </c>
      <c r="X35" s="29">
        <v>5</v>
      </c>
      <c r="Y35" s="29">
        <v>5</v>
      </c>
      <c r="Z35" s="29">
        <v>5</v>
      </c>
      <c r="AA35" s="13">
        <v>5</v>
      </c>
      <c r="AB35" s="29">
        <v>5</v>
      </c>
      <c r="AC35" s="29">
        <v>5</v>
      </c>
      <c r="AD35" s="29">
        <v>5</v>
      </c>
      <c r="AE35" s="29">
        <v>5</v>
      </c>
      <c r="AF35" s="13">
        <v>5</v>
      </c>
      <c r="AG35" s="29">
        <v>5</v>
      </c>
      <c r="AH35" s="29">
        <v>5</v>
      </c>
      <c r="AI35" s="29">
        <v>5</v>
      </c>
      <c r="AJ35" s="29">
        <v>5</v>
      </c>
      <c r="AK35" s="13">
        <v>5</v>
      </c>
      <c r="AL35" s="29">
        <v>5</v>
      </c>
      <c r="AM35" s="29">
        <v>5</v>
      </c>
      <c r="AN35" s="29">
        <v>5</v>
      </c>
      <c r="AO35" s="29">
        <v>5</v>
      </c>
      <c r="AP35" s="13">
        <v>5</v>
      </c>
      <c r="AQ35" s="29">
        <v>5</v>
      </c>
      <c r="AR35" s="29">
        <v>107</v>
      </c>
      <c r="AS35" s="29">
        <v>107</v>
      </c>
      <c r="AT35" s="29">
        <v>108</v>
      </c>
      <c r="AU35" s="13">
        <v>108</v>
      </c>
      <c r="AV35" s="29">
        <v>108</v>
      </c>
      <c r="AW35" s="29">
        <v>108</v>
      </c>
      <c r="AX35" s="29">
        <v>108</v>
      </c>
      <c r="AY35" s="29">
        <v>109</v>
      </c>
      <c r="AZ35" s="13">
        <v>109</v>
      </c>
      <c r="BA35" s="29">
        <v>109</v>
      </c>
      <c r="BB35" s="29">
        <v>110</v>
      </c>
      <c r="BC35" s="29">
        <v>110</v>
      </c>
      <c r="BD35" s="191">
        <f>BC35</f>
        <v>110</v>
      </c>
      <c r="BE35" s="251">
        <f t="shared" si="34"/>
        <v>110</v>
      </c>
      <c r="BF35" s="191">
        <f t="shared" ref="BF35:BI35" si="37">BE35</f>
        <v>110</v>
      </c>
      <c r="BG35" s="191">
        <f t="shared" si="37"/>
        <v>110</v>
      </c>
      <c r="BH35" s="191">
        <f t="shared" si="37"/>
        <v>110</v>
      </c>
      <c r="BI35" s="191">
        <f t="shared" si="37"/>
        <v>110</v>
      </c>
      <c r="BJ35" s="251">
        <f t="shared" si="35"/>
        <v>110</v>
      </c>
      <c r="BK35" s="251">
        <f t="shared" ref="BK35:BM35" si="38">BJ35</f>
        <v>110</v>
      </c>
      <c r="BL35" s="251">
        <f t="shared" si="38"/>
        <v>110</v>
      </c>
      <c r="BM35" s="251">
        <f t="shared" si="38"/>
        <v>110</v>
      </c>
    </row>
    <row r="36" spans="1:65" ht="16.5" x14ac:dyDescent="0.3">
      <c r="A36" s="4" t="s">
        <v>151</v>
      </c>
      <c r="B36" s="4"/>
      <c r="C36" s="4"/>
      <c r="D36" s="4"/>
      <c r="E36" s="13">
        <v>-600</v>
      </c>
      <c r="F36" s="13">
        <v>-600</v>
      </c>
      <c r="G36" s="13">
        <v>-600</v>
      </c>
      <c r="H36" s="13">
        <v>-877</v>
      </c>
      <c r="I36" s="21">
        <v>-1837</v>
      </c>
      <c r="J36" s="21">
        <v>-1837</v>
      </c>
      <c r="K36" s="21">
        <v>-1837</v>
      </c>
      <c r="L36" s="21">
        <v>-1837</v>
      </c>
      <c r="M36" s="30">
        <v>-1837</v>
      </c>
      <c r="N36" s="30">
        <v>-1837</v>
      </c>
      <c r="O36" s="30">
        <v>-1837</v>
      </c>
      <c r="P36" s="30">
        <v>-1837</v>
      </c>
      <c r="Q36" s="21">
        <v>-1837</v>
      </c>
      <c r="R36" s="76">
        <v>-1837</v>
      </c>
      <c r="S36" s="76">
        <v>-1837</v>
      </c>
      <c r="T36" s="76">
        <v>-1837</v>
      </c>
      <c r="U36" s="76">
        <v>-1837</v>
      </c>
      <c r="V36" s="21">
        <v>-1837</v>
      </c>
      <c r="W36" s="30">
        <v>-1837</v>
      </c>
      <c r="X36" s="30">
        <v>-1837</v>
      </c>
      <c r="Y36" s="30">
        <v>-1837</v>
      </c>
      <c r="Z36" s="30">
        <v>-1837</v>
      </c>
      <c r="AA36" s="21">
        <v>-1837</v>
      </c>
      <c r="AB36" s="30">
        <v>-1837</v>
      </c>
      <c r="AC36" s="30">
        <v>-1837</v>
      </c>
      <c r="AD36" s="30">
        <v>-1837</v>
      </c>
      <c r="AE36" s="30">
        <v>-1837</v>
      </c>
      <c r="AF36" s="21">
        <v>-1837</v>
      </c>
      <c r="AG36" s="30">
        <v>-1837</v>
      </c>
      <c r="AH36" s="30">
        <v>-1837</v>
      </c>
      <c r="AI36" s="30">
        <v>-1837</v>
      </c>
      <c r="AJ36" s="30">
        <v>-1837</v>
      </c>
      <c r="AK36" s="21">
        <v>-1837</v>
      </c>
      <c r="AL36" s="30">
        <v>-1837</v>
      </c>
      <c r="AM36" s="30">
        <v>-1837</v>
      </c>
      <c r="AN36" s="30">
        <v>-1837</v>
      </c>
      <c r="AO36" s="30">
        <v>-1837</v>
      </c>
      <c r="AP36" s="21">
        <v>-1837</v>
      </c>
      <c r="AQ36" s="30">
        <v>-4503</v>
      </c>
      <c r="AR36" s="30">
        <v>-7837</v>
      </c>
      <c r="AS36" s="30">
        <v>-7837</v>
      </c>
      <c r="AT36" s="30">
        <v>-7837</v>
      </c>
      <c r="AU36" s="21">
        <v>-7837</v>
      </c>
      <c r="AV36" s="30">
        <v>-7837</v>
      </c>
      <c r="AW36" s="30">
        <v>-7837</v>
      </c>
      <c r="AX36" s="30">
        <v>-7837</v>
      </c>
      <c r="AY36" s="30">
        <v>-7837</v>
      </c>
      <c r="AZ36" s="21">
        <v>-7837</v>
      </c>
      <c r="BA36" s="30">
        <v>-7837</v>
      </c>
      <c r="BB36" s="30">
        <v>-7837</v>
      </c>
      <c r="BC36" s="30">
        <v>-7837</v>
      </c>
      <c r="BD36" s="189">
        <f>BC36</f>
        <v>-7837</v>
      </c>
      <c r="BE36" s="141">
        <f t="shared" si="34"/>
        <v>-7837</v>
      </c>
      <c r="BF36" s="189">
        <f t="shared" ref="BF36:BI37" si="39">BE36</f>
        <v>-7837</v>
      </c>
      <c r="BG36" s="189">
        <f t="shared" si="39"/>
        <v>-7837</v>
      </c>
      <c r="BH36" s="189">
        <f t="shared" si="39"/>
        <v>-7837</v>
      </c>
      <c r="BI36" s="189">
        <f t="shared" si="39"/>
        <v>-7837</v>
      </c>
      <c r="BJ36" s="141">
        <f t="shared" si="35"/>
        <v>-7837</v>
      </c>
      <c r="BK36" s="141">
        <f t="shared" ref="BK36:BM36" si="40">BJ36</f>
        <v>-7837</v>
      </c>
      <c r="BL36" s="141">
        <f t="shared" si="40"/>
        <v>-7837</v>
      </c>
      <c r="BM36" s="141">
        <f t="shared" si="40"/>
        <v>-7837</v>
      </c>
    </row>
    <row r="37" spans="1:65" ht="16.5" x14ac:dyDescent="0.3">
      <c r="A37" s="4" t="s">
        <v>152</v>
      </c>
      <c r="B37" s="4"/>
      <c r="C37" s="4"/>
      <c r="D37" s="4"/>
      <c r="E37" s="21">
        <v>4121</v>
      </c>
      <c r="F37" s="21">
        <v>5736</v>
      </c>
      <c r="G37" s="21">
        <v>6325</v>
      </c>
      <c r="H37" s="21">
        <v>6990</v>
      </c>
      <c r="I37" s="21">
        <v>8347</v>
      </c>
      <c r="J37" s="21">
        <v>9573</v>
      </c>
      <c r="K37" s="21">
        <v>11135</v>
      </c>
      <c r="L37" s="21">
        <v>13394</v>
      </c>
      <c r="M37" s="30">
        <v>14144</v>
      </c>
      <c r="N37" s="30">
        <v>15026</v>
      </c>
      <c r="O37" s="30">
        <v>15968</v>
      </c>
      <c r="P37" s="30">
        <v>17186</v>
      </c>
      <c r="Q37" s="21">
        <v>17186</v>
      </c>
      <c r="R37" s="76">
        <v>17976</v>
      </c>
      <c r="S37" s="76">
        <v>19129</v>
      </c>
      <c r="T37" s="76">
        <v>20212</v>
      </c>
      <c r="U37" s="76">
        <v>21389</v>
      </c>
      <c r="V37" s="21">
        <v>21389</v>
      </c>
      <c r="W37" s="30">
        <v>22563</v>
      </c>
      <c r="X37" s="30">
        <v>24028</v>
      </c>
      <c r="Y37" s="30">
        <v>25375</v>
      </c>
      <c r="Z37" s="30">
        <v>26791</v>
      </c>
      <c r="AA37" s="21">
        <v>26791</v>
      </c>
      <c r="AB37" s="30">
        <v>28059</v>
      </c>
      <c r="AC37" s="30">
        <v>30035</v>
      </c>
      <c r="AD37" s="30">
        <v>31817</v>
      </c>
      <c r="AE37" s="30">
        <v>33658</v>
      </c>
      <c r="AF37" s="21">
        <v>33658</v>
      </c>
      <c r="AG37" s="30">
        <v>35412</v>
      </c>
      <c r="AH37" s="30">
        <v>33658</v>
      </c>
      <c r="AI37" s="30">
        <v>40307</v>
      </c>
      <c r="AJ37" s="30">
        <v>42865</v>
      </c>
      <c r="AK37" s="21">
        <v>42865</v>
      </c>
      <c r="AL37" s="30">
        <v>45160</v>
      </c>
      <c r="AM37" s="30">
        <v>48724</v>
      </c>
      <c r="AN37" s="30">
        <v>51879</v>
      </c>
      <c r="AO37" s="30">
        <v>55538</v>
      </c>
      <c r="AP37" s="21">
        <v>55538</v>
      </c>
      <c r="AQ37" s="30">
        <v>58793</v>
      </c>
      <c r="AR37" s="30">
        <v>63871</v>
      </c>
      <c r="AS37" s="30">
        <v>69419</v>
      </c>
      <c r="AT37" s="30">
        <v>75066</v>
      </c>
      <c r="AU37" s="21">
        <v>75066</v>
      </c>
      <c r="AV37" s="30">
        <v>79863</v>
      </c>
      <c r="AW37" s="30">
        <v>86896</v>
      </c>
      <c r="AX37" s="30">
        <v>92711</v>
      </c>
      <c r="AY37" s="30">
        <v>99025</v>
      </c>
      <c r="AZ37" s="21">
        <v>99025</v>
      </c>
      <c r="BA37" s="30">
        <v>103938</v>
      </c>
      <c r="BB37" s="30">
        <v>110633</v>
      </c>
      <c r="BC37" s="30">
        <v>115934</v>
      </c>
      <c r="BD37" s="189">
        <f>BC37</f>
        <v>115934</v>
      </c>
      <c r="BE37" s="141">
        <f t="shared" si="34"/>
        <v>115934</v>
      </c>
      <c r="BF37" s="189">
        <f>BE37</f>
        <v>115934</v>
      </c>
      <c r="BG37" s="189">
        <f t="shared" si="39"/>
        <v>115934</v>
      </c>
      <c r="BH37" s="189">
        <f t="shared" si="39"/>
        <v>115934</v>
      </c>
      <c r="BI37" s="189">
        <f t="shared" si="39"/>
        <v>115934</v>
      </c>
      <c r="BJ37" s="141">
        <f t="shared" si="35"/>
        <v>115934</v>
      </c>
      <c r="BK37" s="141">
        <f t="shared" ref="BK37:BM37" si="41">BJ37</f>
        <v>115934</v>
      </c>
      <c r="BL37" s="141">
        <f t="shared" si="41"/>
        <v>115934</v>
      </c>
      <c r="BM37" s="141">
        <f t="shared" si="41"/>
        <v>115934</v>
      </c>
    </row>
    <row r="38" spans="1:65" ht="16.5" x14ac:dyDescent="0.3">
      <c r="A38" s="4" t="s">
        <v>153</v>
      </c>
      <c r="B38" s="4"/>
      <c r="C38" s="4"/>
      <c r="D38" s="4"/>
      <c r="E38" s="13">
        <v>-123</v>
      </c>
      <c r="F38" s="13">
        <v>-56</v>
      </c>
      <c r="G38" s="13">
        <v>-190</v>
      </c>
      <c r="H38" s="13">
        <v>-316</v>
      </c>
      <c r="I38" s="13">
        <v>-239</v>
      </c>
      <c r="J38" s="13">
        <v>-185</v>
      </c>
      <c r="K38" s="13">
        <v>-511</v>
      </c>
      <c r="L38" s="13">
        <v>-723</v>
      </c>
      <c r="M38" s="29">
        <v>-614</v>
      </c>
      <c r="N38" s="29">
        <v>-571</v>
      </c>
      <c r="O38" s="29">
        <v>-521</v>
      </c>
      <c r="P38" s="29">
        <v>-985</v>
      </c>
      <c r="Q38" s="13">
        <v>-985</v>
      </c>
      <c r="R38" s="81">
        <v>-797</v>
      </c>
      <c r="S38" s="81">
        <v>-607</v>
      </c>
      <c r="T38" s="81">
        <v>-501</v>
      </c>
      <c r="U38" s="81">
        <v>-484</v>
      </c>
      <c r="V38" s="13">
        <v>-484</v>
      </c>
      <c r="W38" s="29">
        <v>-467</v>
      </c>
      <c r="X38" s="29">
        <v>-934</v>
      </c>
      <c r="Y38" s="30">
        <v>-1034</v>
      </c>
      <c r="Z38" s="30">
        <v>-1035</v>
      </c>
      <c r="AA38" s="21">
        <v>-1035</v>
      </c>
      <c r="AB38" s="30">
        <v>-1010</v>
      </c>
      <c r="AC38" s="29">
        <v>-960</v>
      </c>
      <c r="AD38" s="30">
        <v>-1429</v>
      </c>
      <c r="AE38" s="29">
        <v>-986</v>
      </c>
      <c r="AF38" s="13">
        <v>-986</v>
      </c>
      <c r="AG38" s="30">
        <v>-2063</v>
      </c>
      <c r="AH38" s="29">
        <v>-986</v>
      </c>
      <c r="AI38" s="30">
        <v>-1029</v>
      </c>
      <c r="AJ38" s="29">
        <v>-180</v>
      </c>
      <c r="AK38" s="13">
        <v>-180</v>
      </c>
      <c r="AL38" s="29">
        <v>-666</v>
      </c>
      <c r="AM38" s="29">
        <v>-525</v>
      </c>
      <c r="AN38" s="30">
        <v>-1075</v>
      </c>
      <c r="AO38" s="30">
        <v>-1376</v>
      </c>
      <c r="AP38" s="21">
        <v>-1376</v>
      </c>
      <c r="AQ38" s="30">
        <v>-2365</v>
      </c>
      <c r="AR38" s="30">
        <v>-4782</v>
      </c>
      <c r="AS38" s="30">
        <v>-7115</v>
      </c>
      <c r="AT38" s="30">
        <v>-4487</v>
      </c>
      <c r="AU38" s="21">
        <v>-4487</v>
      </c>
      <c r="AV38" s="30">
        <v>-3973</v>
      </c>
      <c r="AW38" s="30">
        <v>-3680</v>
      </c>
      <c r="AX38" s="30">
        <v>-5003</v>
      </c>
      <c r="AY38" s="30">
        <v>-3040</v>
      </c>
      <c r="AZ38" s="21">
        <v>-3040</v>
      </c>
      <c r="BA38" s="30">
        <v>-3598</v>
      </c>
      <c r="BB38" s="30">
        <v>-3993</v>
      </c>
      <c r="BC38" s="30">
        <v>-1918</v>
      </c>
      <c r="BD38" s="189">
        <f>AVERAGE(BA38:BC38)</f>
        <v>-3169.6666666666665</v>
      </c>
      <c r="BE38" s="141">
        <f t="shared" si="34"/>
        <v>-3169.6666666666665</v>
      </c>
      <c r="BF38" s="189">
        <f t="shared" ref="BF38:BI38" si="42">AVERAGE(BC38:BE38)</f>
        <v>-2752.4444444444439</v>
      </c>
      <c r="BG38" s="189">
        <f t="shared" si="42"/>
        <v>-3030.5925925925926</v>
      </c>
      <c r="BH38" s="189">
        <f t="shared" si="42"/>
        <v>-2984.2345679012342</v>
      </c>
      <c r="BI38" s="189">
        <f t="shared" si="42"/>
        <v>-2922.4238683127569</v>
      </c>
      <c r="BJ38" s="141">
        <f t="shared" si="35"/>
        <v>-2922.4238683127569</v>
      </c>
      <c r="BK38" s="141">
        <f t="shared" ref="BK38:BM38" si="43">BJ38+(BJ38-BE38)</f>
        <v>-2675.1810699588473</v>
      </c>
      <c r="BL38" s="141">
        <f t="shared" si="43"/>
        <v>-2597.9176954732507</v>
      </c>
      <c r="BM38" s="141">
        <f t="shared" si="43"/>
        <v>-2165.2427983539087</v>
      </c>
    </row>
    <row r="39" spans="1:65" ht="16.5" x14ac:dyDescent="0.3">
      <c r="A39" s="4" t="s">
        <v>154</v>
      </c>
      <c r="B39" s="4"/>
      <c r="C39" s="4"/>
      <c r="D39" s="4"/>
      <c r="E39" s="13">
        <v>-730</v>
      </c>
      <c r="F39" s="13">
        <v>172</v>
      </c>
      <c r="G39" s="21">
        <v>1324</v>
      </c>
      <c r="H39" s="21">
        <v>1955</v>
      </c>
      <c r="I39" s="21">
        <v>1916</v>
      </c>
      <c r="J39" s="21">
        <v>2190</v>
      </c>
      <c r="K39" s="21">
        <v>1949</v>
      </c>
      <c r="L39" s="21">
        <v>2545</v>
      </c>
      <c r="M39" s="30">
        <v>3058</v>
      </c>
      <c r="N39" s="30">
        <v>3915</v>
      </c>
      <c r="O39" s="30">
        <v>4167</v>
      </c>
      <c r="P39" s="30">
        <v>4916</v>
      </c>
      <c r="Q39" s="21">
        <v>4916</v>
      </c>
      <c r="R39" s="76">
        <v>6327</v>
      </c>
      <c r="S39" s="76">
        <v>6524</v>
      </c>
      <c r="T39" s="76">
        <v>6779</v>
      </c>
      <c r="U39" s="76">
        <v>8636</v>
      </c>
      <c r="V39" s="21">
        <v>8636</v>
      </c>
      <c r="W39" s="30">
        <v>11199</v>
      </c>
      <c r="X39" s="30">
        <v>13733</v>
      </c>
      <c r="Y39" s="30">
        <v>16616</v>
      </c>
      <c r="Z39" s="30">
        <v>19625</v>
      </c>
      <c r="AA39" s="21">
        <v>19625</v>
      </c>
      <c r="AB39" s="30">
        <v>23193</v>
      </c>
      <c r="AC39" s="30">
        <v>25818</v>
      </c>
      <c r="AD39" s="30">
        <v>27952</v>
      </c>
      <c r="AE39" s="30">
        <v>31220</v>
      </c>
      <c r="AF39" s="21">
        <v>31220</v>
      </c>
      <c r="AG39" s="30">
        <v>33755</v>
      </c>
      <c r="AH39" s="30">
        <v>31220</v>
      </c>
      <c r="AI39" s="30">
        <v>45329</v>
      </c>
      <c r="AJ39" s="30">
        <v>52551</v>
      </c>
      <c r="AK39" s="21">
        <v>52551</v>
      </c>
      <c r="AL39" s="30">
        <v>60658</v>
      </c>
      <c r="AM39" s="30">
        <v>68436</v>
      </c>
      <c r="AN39" s="30">
        <v>71592</v>
      </c>
      <c r="AO39" s="30">
        <v>85915</v>
      </c>
      <c r="AP39" s="21">
        <v>85915</v>
      </c>
      <c r="AQ39" s="30">
        <v>82071</v>
      </c>
      <c r="AR39" s="30">
        <v>80043</v>
      </c>
      <c r="AS39" s="30">
        <v>82915</v>
      </c>
      <c r="AT39" s="30">
        <v>83193</v>
      </c>
      <c r="AU39" s="21">
        <v>83193</v>
      </c>
      <c r="AV39" s="30">
        <v>86365</v>
      </c>
      <c r="AW39" s="30">
        <v>93115</v>
      </c>
      <c r="AX39" s="30">
        <v>102994</v>
      </c>
      <c r="AY39" s="30">
        <v>113618</v>
      </c>
      <c r="AZ39" s="21">
        <v>113618</v>
      </c>
      <c r="BA39" s="30">
        <v>124049</v>
      </c>
      <c r="BB39" s="30">
        <v>137534</v>
      </c>
      <c r="BC39" s="30">
        <v>152862</v>
      </c>
      <c r="BD39" s="189">
        <f>BC39+IS!BD31</f>
        <v>166516.85447906324</v>
      </c>
      <c r="BE39" s="141">
        <f t="shared" si="34"/>
        <v>166516.85447906324</v>
      </c>
      <c r="BF39" s="189">
        <f>BE39+IS!BF31</f>
        <v>179211.14403746324</v>
      </c>
      <c r="BG39" s="189">
        <f>BF39+IS!BG31</f>
        <v>192330.04829426325</v>
      </c>
      <c r="BH39" s="189">
        <f>BG39+IS!BH31</f>
        <v>206408.15914346327</v>
      </c>
      <c r="BI39" s="189">
        <f>BH39+IS!BI31</f>
        <v>223032.17275417264</v>
      </c>
      <c r="BJ39" s="141">
        <f t="shared" si="35"/>
        <v>223032.17275417264</v>
      </c>
      <c r="BK39" s="141">
        <f>BJ39+IS!BK31</f>
        <v>284221.66966875998</v>
      </c>
      <c r="BL39" s="141">
        <f>BK39+IS!BL31</f>
        <v>347904.16092756233</v>
      </c>
      <c r="BM39" s="141">
        <f>BL39+IS!BM31</f>
        <v>417730.640117798</v>
      </c>
    </row>
    <row r="40" spans="1:65" ht="16.5" x14ac:dyDescent="0.3">
      <c r="A40" s="4" t="s">
        <v>155</v>
      </c>
      <c r="B40" s="4"/>
      <c r="C40" s="4"/>
      <c r="D40" s="4"/>
      <c r="E40" s="20">
        <f t="shared" ref="E40:AJ40" si="44">SUM(E34:E39)</f>
        <v>2672</v>
      </c>
      <c r="F40" s="20">
        <f t="shared" si="44"/>
        <v>5257</v>
      </c>
      <c r="G40" s="20">
        <f t="shared" si="44"/>
        <v>6864</v>
      </c>
      <c r="H40" s="20">
        <f t="shared" si="44"/>
        <v>7757</v>
      </c>
      <c r="I40" s="20">
        <f t="shared" si="44"/>
        <v>8192</v>
      </c>
      <c r="J40" s="20">
        <f t="shared" si="44"/>
        <v>9746</v>
      </c>
      <c r="K40" s="20">
        <f t="shared" si="44"/>
        <v>10741</v>
      </c>
      <c r="L40" s="20">
        <f t="shared" si="44"/>
        <v>13384</v>
      </c>
      <c r="M40" s="31">
        <f t="shared" si="44"/>
        <v>14756</v>
      </c>
      <c r="N40" s="31">
        <f t="shared" si="44"/>
        <v>16538</v>
      </c>
      <c r="O40" s="31">
        <f t="shared" si="44"/>
        <v>17782</v>
      </c>
      <c r="P40" s="31">
        <f t="shared" si="44"/>
        <v>19285</v>
      </c>
      <c r="Q40" s="20">
        <f t="shared" si="44"/>
        <v>19285</v>
      </c>
      <c r="R40" s="79">
        <f t="shared" si="44"/>
        <v>21674</v>
      </c>
      <c r="S40" s="79">
        <f t="shared" si="44"/>
        <v>23214</v>
      </c>
      <c r="T40" s="79">
        <f t="shared" si="44"/>
        <v>24658</v>
      </c>
      <c r="U40" s="79">
        <f t="shared" si="44"/>
        <v>27709</v>
      </c>
      <c r="V40" s="20">
        <f t="shared" si="44"/>
        <v>27709</v>
      </c>
      <c r="W40" s="31">
        <f t="shared" si="44"/>
        <v>31463</v>
      </c>
      <c r="X40" s="31">
        <f t="shared" si="44"/>
        <v>34995</v>
      </c>
      <c r="Y40" s="31">
        <f t="shared" si="44"/>
        <v>39125</v>
      </c>
      <c r="Z40" s="31">
        <f t="shared" si="44"/>
        <v>43549</v>
      </c>
      <c r="AA40" s="20">
        <f t="shared" si="44"/>
        <v>43549</v>
      </c>
      <c r="AB40" s="31">
        <f t="shared" si="44"/>
        <v>48410</v>
      </c>
      <c r="AC40" s="31">
        <f t="shared" si="44"/>
        <v>53061</v>
      </c>
      <c r="AD40" s="31">
        <f t="shared" si="44"/>
        <v>56508</v>
      </c>
      <c r="AE40" s="31">
        <f t="shared" si="44"/>
        <v>62060</v>
      </c>
      <c r="AF40" s="20">
        <f t="shared" si="44"/>
        <v>62060</v>
      </c>
      <c r="AG40" s="31">
        <f t="shared" si="44"/>
        <v>65272</v>
      </c>
      <c r="AH40" s="31">
        <f t="shared" si="44"/>
        <v>62060</v>
      </c>
      <c r="AI40" s="31">
        <f t="shared" si="44"/>
        <v>82775</v>
      </c>
      <c r="AJ40" s="31">
        <f t="shared" si="44"/>
        <v>93404</v>
      </c>
      <c r="AK40" s="20">
        <f t="shared" ref="AK40:BJ40" si="45">SUM(AK34:AK39)</f>
        <v>93404</v>
      </c>
      <c r="AL40" s="31">
        <f t="shared" si="45"/>
        <v>103320</v>
      </c>
      <c r="AM40" s="31">
        <f t="shared" si="45"/>
        <v>114803</v>
      </c>
      <c r="AN40" s="31">
        <f t="shared" si="45"/>
        <v>120564</v>
      </c>
      <c r="AO40" s="31">
        <f t="shared" si="45"/>
        <v>138245</v>
      </c>
      <c r="AP40" s="20">
        <f t="shared" si="45"/>
        <v>138245</v>
      </c>
      <c r="AQ40" s="31">
        <f t="shared" si="45"/>
        <v>134001</v>
      </c>
      <c r="AR40" s="31">
        <f t="shared" si="45"/>
        <v>131402</v>
      </c>
      <c r="AS40" s="31">
        <f t="shared" si="45"/>
        <v>137489</v>
      </c>
      <c r="AT40" s="31">
        <f t="shared" si="45"/>
        <v>146043</v>
      </c>
      <c r="AU40" s="20">
        <f t="shared" si="45"/>
        <v>146043</v>
      </c>
      <c r="AV40" s="31">
        <f t="shared" si="45"/>
        <v>154526</v>
      </c>
      <c r="AW40" s="31">
        <f t="shared" si="45"/>
        <v>168602</v>
      </c>
      <c r="AX40" s="31">
        <f t="shared" si="45"/>
        <v>182973</v>
      </c>
      <c r="AY40" s="31">
        <f t="shared" si="45"/>
        <v>201875</v>
      </c>
      <c r="AZ40" s="20">
        <f t="shared" si="45"/>
        <v>201875</v>
      </c>
      <c r="BA40" s="31">
        <f t="shared" si="45"/>
        <v>216661</v>
      </c>
      <c r="BB40" s="31">
        <f t="shared" si="45"/>
        <v>236447</v>
      </c>
      <c r="BC40" s="31">
        <f t="shared" si="45"/>
        <v>259151</v>
      </c>
      <c r="BD40" s="190">
        <f t="shared" si="45"/>
        <v>271554.18781239656</v>
      </c>
      <c r="BE40" s="245">
        <f t="shared" si="45"/>
        <v>271554.18781239656</v>
      </c>
      <c r="BF40" s="190">
        <f t="shared" si="45"/>
        <v>284665.6995930188</v>
      </c>
      <c r="BG40" s="190">
        <f t="shared" si="45"/>
        <v>297506.45570167067</v>
      </c>
      <c r="BH40" s="190">
        <f t="shared" si="45"/>
        <v>311630.92457556201</v>
      </c>
      <c r="BI40" s="190">
        <f t="shared" si="45"/>
        <v>328316.74888585985</v>
      </c>
      <c r="BJ40" s="245">
        <f t="shared" si="45"/>
        <v>328316.74888585985</v>
      </c>
      <c r="BK40" s="245">
        <f t="shared" ref="BK40:BM40" si="46">SUM(BK34:BK39)</f>
        <v>389753.48859880114</v>
      </c>
      <c r="BL40" s="245">
        <f t="shared" si="46"/>
        <v>453513.24323208909</v>
      </c>
      <c r="BM40" s="245">
        <f t="shared" si="46"/>
        <v>523772.39731944411</v>
      </c>
    </row>
    <row r="41" spans="1:65" ht="16.5" x14ac:dyDescent="0.3">
      <c r="A41" s="4"/>
      <c r="B41" s="4"/>
      <c r="C41" s="4"/>
      <c r="D41" s="4"/>
      <c r="E41" s="13"/>
      <c r="F41" s="13"/>
      <c r="G41" s="13"/>
      <c r="H41" s="13"/>
      <c r="I41" s="13"/>
      <c r="J41" s="13"/>
      <c r="K41" s="13"/>
      <c r="L41" s="13"/>
      <c r="M41" s="29"/>
      <c r="N41" s="29"/>
      <c r="O41" s="29"/>
      <c r="P41" s="29"/>
      <c r="Q41" s="13"/>
      <c r="R41" s="81"/>
      <c r="S41" s="81"/>
      <c r="T41" s="81"/>
      <c r="U41" s="81"/>
      <c r="V41" s="13"/>
      <c r="W41" s="29"/>
      <c r="X41" s="29"/>
      <c r="Y41" s="29"/>
      <c r="Z41" s="29"/>
      <c r="AA41" s="13"/>
      <c r="AB41" s="29"/>
      <c r="AC41" s="29"/>
      <c r="AD41" s="29"/>
      <c r="AE41" s="29"/>
      <c r="AF41" s="13"/>
      <c r="AG41" s="29"/>
      <c r="AH41" s="29"/>
      <c r="AI41" s="29"/>
      <c r="AJ41" s="29"/>
      <c r="AK41" s="13"/>
      <c r="AL41" s="29"/>
      <c r="AM41" s="29"/>
      <c r="AN41" s="29"/>
      <c r="AO41" s="29"/>
      <c r="AP41" s="13"/>
      <c r="AQ41" s="29"/>
      <c r="AR41" s="29"/>
      <c r="AS41" s="29"/>
      <c r="AT41" s="29"/>
      <c r="AU41" s="13"/>
      <c r="AV41" s="29"/>
      <c r="AW41" s="29"/>
      <c r="AX41" s="29"/>
      <c r="AY41" s="29"/>
      <c r="AZ41" s="13"/>
      <c r="BA41" s="29"/>
      <c r="BB41" s="29"/>
      <c r="BC41" s="29"/>
      <c r="BD41" s="191"/>
      <c r="BE41" s="251"/>
      <c r="BF41" s="191"/>
      <c r="BG41" s="191"/>
      <c r="BH41" s="191"/>
      <c r="BI41" s="191"/>
      <c r="BJ41" s="251"/>
      <c r="BK41" s="251"/>
      <c r="BL41" s="251"/>
      <c r="BM41" s="251"/>
    </row>
    <row r="42" spans="1:65" ht="16.5" x14ac:dyDescent="0.3">
      <c r="A42" s="67" t="s">
        <v>156</v>
      </c>
      <c r="B42" s="67"/>
      <c r="C42" s="67"/>
      <c r="D42" s="67" t="s">
        <v>0</v>
      </c>
      <c r="E42" s="71">
        <f t="shared" ref="E42:AJ42" si="47">E40+E32</f>
        <v>8314</v>
      </c>
      <c r="F42" s="71">
        <f t="shared" si="47"/>
        <v>13813</v>
      </c>
      <c r="G42" s="71">
        <f t="shared" si="47"/>
        <v>18797</v>
      </c>
      <c r="H42" s="71">
        <f t="shared" si="47"/>
        <v>25278</v>
      </c>
      <c r="I42" s="71">
        <f t="shared" si="47"/>
        <v>32555</v>
      </c>
      <c r="J42" s="71">
        <f t="shared" si="47"/>
        <v>40159</v>
      </c>
      <c r="K42" s="71">
        <f t="shared" si="47"/>
        <v>54505</v>
      </c>
      <c r="L42" s="71">
        <f t="shared" si="47"/>
        <v>64747</v>
      </c>
      <c r="M42" s="73">
        <f t="shared" si="47"/>
        <v>61128</v>
      </c>
      <c r="N42" s="73">
        <f t="shared" si="47"/>
        <v>65076</v>
      </c>
      <c r="O42" s="73">
        <f t="shared" si="47"/>
        <v>70897</v>
      </c>
      <c r="P42" s="73">
        <f t="shared" si="47"/>
        <v>83402</v>
      </c>
      <c r="Q42" s="71">
        <f t="shared" si="47"/>
        <v>83402</v>
      </c>
      <c r="R42" s="83">
        <f t="shared" si="47"/>
        <v>80969</v>
      </c>
      <c r="S42" s="83">
        <f t="shared" si="47"/>
        <v>87781</v>
      </c>
      <c r="T42" s="83">
        <f t="shared" si="47"/>
        <v>115267</v>
      </c>
      <c r="U42" s="83">
        <f t="shared" si="47"/>
        <v>131310</v>
      </c>
      <c r="V42" s="71">
        <f t="shared" si="47"/>
        <v>131310</v>
      </c>
      <c r="W42" s="73">
        <f t="shared" si="47"/>
        <v>126362</v>
      </c>
      <c r="X42" s="73">
        <f t="shared" si="47"/>
        <v>134100</v>
      </c>
      <c r="Y42" s="73">
        <f t="shared" si="47"/>
        <v>143695</v>
      </c>
      <c r="Z42" s="73">
        <f t="shared" si="47"/>
        <v>162648</v>
      </c>
      <c r="AA42" s="71">
        <f t="shared" si="47"/>
        <v>162648</v>
      </c>
      <c r="AB42" s="73">
        <f t="shared" si="47"/>
        <v>178102</v>
      </c>
      <c r="AC42" s="73">
        <f t="shared" si="47"/>
        <v>191351</v>
      </c>
      <c r="AD42" s="73">
        <f t="shared" si="47"/>
        <v>199099</v>
      </c>
      <c r="AE42" s="73">
        <f t="shared" si="47"/>
        <v>225248</v>
      </c>
      <c r="AF42" s="71">
        <f t="shared" si="47"/>
        <v>225248</v>
      </c>
      <c r="AG42" s="73">
        <f t="shared" si="47"/>
        <v>221238</v>
      </c>
      <c r="AH42" s="73">
        <f t="shared" si="47"/>
        <v>225248</v>
      </c>
      <c r="AI42" s="73">
        <f t="shared" si="47"/>
        <v>282179</v>
      </c>
      <c r="AJ42" s="73">
        <f t="shared" si="47"/>
        <v>321195</v>
      </c>
      <c r="AK42" s="71">
        <f t="shared" ref="AK42:BJ42" si="48">AK40+AK32</f>
        <v>321195</v>
      </c>
      <c r="AL42" s="73">
        <f t="shared" si="48"/>
        <v>323077</v>
      </c>
      <c r="AM42" s="73">
        <f t="shared" si="48"/>
        <v>360319</v>
      </c>
      <c r="AN42" s="73">
        <f t="shared" si="48"/>
        <v>382406</v>
      </c>
      <c r="AO42" s="73">
        <f t="shared" si="48"/>
        <v>420549</v>
      </c>
      <c r="AP42" s="71">
        <f t="shared" si="48"/>
        <v>420549</v>
      </c>
      <c r="AQ42" s="73">
        <f t="shared" si="48"/>
        <v>410767</v>
      </c>
      <c r="AR42" s="73">
        <f t="shared" si="48"/>
        <v>419728</v>
      </c>
      <c r="AS42" s="73">
        <f t="shared" si="48"/>
        <v>428362</v>
      </c>
      <c r="AT42" s="73">
        <f t="shared" si="48"/>
        <v>462675</v>
      </c>
      <c r="AU42" s="71">
        <f t="shared" si="48"/>
        <v>462675</v>
      </c>
      <c r="AV42" s="73">
        <f t="shared" si="48"/>
        <v>464378</v>
      </c>
      <c r="AW42" s="73">
        <f t="shared" si="48"/>
        <v>477607</v>
      </c>
      <c r="AX42" s="73">
        <f t="shared" si="48"/>
        <v>486883</v>
      </c>
      <c r="AY42" s="73">
        <f t="shared" si="48"/>
        <v>527854</v>
      </c>
      <c r="AZ42" s="71">
        <f t="shared" si="48"/>
        <v>527854</v>
      </c>
      <c r="BA42" s="73">
        <f t="shared" si="48"/>
        <v>530969</v>
      </c>
      <c r="BB42" s="73">
        <f t="shared" si="48"/>
        <v>554818</v>
      </c>
      <c r="BC42" s="73">
        <f t="shared" si="48"/>
        <v>584626</v>
      </c>
      <c r="BD42" s="192">
        <f t="shared" si="48"/>
        <v>613815.42163211014</v>
      </c>
      <c r="BE42" s="252">
        <f t="shared" si="48"/>
        <v>613815.42163211014</v>
      </c>
      <c r="BF42" s="192">
        <f t="shared" si="48"/>
        <v>618078.19021689333</v>
      </c>
      <c r="BG42" s="192">
        <f t="shared" si="48"/>
        <v>639949.78071611561</v>
      </c>
      <c r="BH42" s="192">
        <f t="shared" si="48"/>
        <v>663483.69236489129</v>
      </c>
      <c r="BI42" s="192">
        <f t="shared" si="48"/>
        <v>697284.34630120313</v>
      </c>
      <c r="BJ42" s="252">
        <f t="shared" si="48"/>
        <v>697284.34630120313</v>
      </c>
      <c r="BK42" s="252">
        <f t="shared" ref="BK42:BM42" si="49">BK40+BK32</f>
        <v>778845.93190410291</v>
      </c>
      <c r="BL42" s="252">
        <f t="shared" si="49"/>
        <v>862823.93451005814</v>
      </c>
      <c r="BM42" s="252">
        <f t="shared" si="49"/>
        <v>953398.25182374811</v>
      </c>
    </row>
    <row r="43" spans="1:65" ht="16.5" x14ac:dyDescent="0.3">
      <c r="A43" s="68" t="s">
        <v>157</v>
      </c>
      <c r="B43" s="69"/>
      <c r="C43" s="69"/>
      <c r="D43" s="69" t="s">
        <v>0</v>
      </c>
      <c r="E43" s="74">
        <f t="shared" ref="E43:AJ43" si="50">E20-E42</f>
        <v>-204</v>
      </c>
      <c r="F43" s="72">
        <f t="shared" si="50"/>
        <v>-272</v>
      </c>
      <c r="G43" s="72">
        <f t="shared" si="50"/>
        <v>-196</v>
      </c>
      <c r="H43" s="72">
        <f t="shared" si="50"/>
        <v>-351</v>
      </c>
      <c r="I43" s="72">
        <f t="shared" si="50"/>
        <v>0</v>
      </c>
      <c r="J43" s="72">
        <f t="shared" si="50"/>
        <v>0</v>
      </c>
      <c r="K43" s="72">
        <f t="shared" si="50"/>
        <v>0</v>
      </c>
      <c r="L43" s="72">
        <f t="shared" si="50"/>
        <v>0</v>
      </c>
      <c r="M43" s="69">
        <f t="shared" si="50"/>
        <v>0</v>
      </c>
      <c r="N43" s="69">
        <f t="shared" si="50"/>
        <v>0</v>
      </c>
      <c r="O43" s="69">
        <f t="shared" si="50"/>
        <v>0</v>
      </c>
      <c r="P43" s="69">
        <f t="shared" si="50"/>
        <v>0</v>
      </c>
      <c r="Q43" s="72">
        <f t="shared" si="50"/>
        <v>0</v>
      </c>
      <c r="R43" s="84">
        <f t="shared" si="50"/>
        <v>0</v>
      </c>
      <c r="S43" s="84">
        <f t="shared" si="50"/>
        <v>0</v>
      </c>
      <c r="T43" s="84">
        <f t="shared" si="50"/>
        <v>0</v>
      </c>
      <c r="U43" s="84">
        <f t="shared" si="50"/>
        <v>0</v>
      </c>
      <c r="V43" s="72">
        <f t="shared" si="50"/>
        <v>0</v>
      </c>
      <c r="W43" s="69">
        <f t="shared" si="50"/>
        <v>0</v>
      </c>
      <c r="X43" s="69">
        <f t="shared" si="50"/>
        <v>0</v>
      </c>
      <c r="Y43" s="69">
        <f t="shared" si="50"/>
        <v>0</v>
      </c>
      <c r="Z43" s="69">
        <f t="shared" si="50"/>
        <v>0</v>
      </c>
      <c r="AA43" s="72">
        <f t="shared" si="50"/>
        <v>0</v>
      </c>
      <c r="AB43" s="69">
        <f t="shared" si="50"/>
        <v>0</v>
      </c>
      <c r="AC43" s="69">
        <f t="shared" si="50"/>
        <v>0</v>
      </c>
      <c r="AD43" s="69">
        <f t="shared" si="50"/>
        <v>0</v>
      </c>
      <c r="AE43" s="69">
        <f t="shared" si="50"/>
        <v>0</v>
      </c>
      <c r="AF43" s="72">
        <f t="shared" si="50"/>
        <v>0</v>
      </c>
      <c r="AG43" s="69">
        <f t="shared" si="50"/>
        <v>0</v>
      </c>
      <c r="AH43" s="69">
        <f t="shared" si="50"/>
        <v>0</v>
      </c>
      <c r="AI43" s="69">
        <f t="shared" si="50"/>
        <v>0</v>
      </c>
      <c r="AJ43" s="69">
        <f t="shared" si="50"/>
        <v>0</v>
      </c>
      <c r="AK43" s="72">
        <f t="shared" ref="AK43:BD43" si="51">AK20-AK42</f>
        <v>0</v>
      </c>
      <c r="AL43" s="69">
        <f t="shared" si="51"/>
        <v>0</v>
      </c>
      <c r="AM43" s="69">
        <f t="shared" si="51"/>
        <v>0</v>
      </c>
      <c r="AN43" s="69">
        <f t="shared" si="51"/>
        <v>0</v>
      </c>
      <c r="AO43" s="69">
        <f t="shared" si="51"/>
        <v>0</v>
      </c>
      <c r="AP43" s="72">
        <f t="shared" si="51"/>
        <v>0</v>
      </c>
      <c r="AQ43" s="69">
        <f t="shared" si="51"/>
        <v>0</v>
      </c>
      <c r="AR43" s="69">
        <f t="shared" si="51"/>
        <v>0</v>
      </c>
      <c r="AS43" s="69">
        <f t="shared" si="51"/>
        <v>0</v>
      </c>
      <c r="AT43" s="69">
        <f t="shared" si="51"/>
        <v>0</v>
      </c>
      <c r="AU43" s="72">
        <f t="shared" si="51"/>
        <v>0</v>
      </c>
      <c r="AV43" s="69">
        <f t="shared" si="51"/>
        <v>0</v>
      </c>
      <c r="AW43" s="69">
        <f t="shared" si="51"/>
        <v>0</v>
      </c>
      <c r="AX43" s="69">
        <f t="shared" si="51"/>
        <v>0</v>
      </c>
      <c r="AY43" s="69">
        <f t="shared" si="51"/>
        <v>0</v>
      </c>
      <c r="AZ43" s="72">
        <f t="shared" si="51"/>
        <v>0</v>
      </c>
      <c r="BA43" s="69">
        <f t="shared" si="51"/>
        <v>0</v>
      </c>
      <c r="BB43" s="69">
        <f t="shared" si="51"/>
        <v>0</v>
      </c>
      <c r="BC43" s="69">
        <f t="shared" si="51"/>
        <v>0</v>
      </c>
      <c r="BD43" s="69">
        <f t="shared" si="51"/>
        <v>0</v>
      </c>
      <c r="BE43" s="72">
        <f t="shared" ref="BE43" si="52">BE20-BE42</f>
        <v>0</v>
      </c>
      <c r="BF43" s="69">
        <f>BF20-BF42</f>
        <v>0</v>
      </c>
      <c r="BG43" s="69">
        <f>BG20-BG42</f>
        <v>0</v>
      </c>
      <c r="BH43" s="69">
        <f>BH20-BH42</f>
        <v>0</v>
      </c>
      <c r="BI43" s="69">
        <f t="shared" ref="BI43" si="53">BI20-BI42</f>
        <v>0</v>
      </c>
      <c r="BJ43" s="72">
        <f t="shared" ref="BJ43:BM43" si="54">BJ20-BJ42</f>
        <v>0</v>
      </c>
      <c r="BK43" s="72">
        <f t="shared" si="54"/>
        <v>0</v>
      </c>
      <c r="BL43" s="72">
        <f t="shared" si="54"/>
        <v>0</v>
      </c>
      <c r="BM43" s="72">
        <f t="shared" si="54"/>
        <v>0</v>
      </c>
    </row>
    <row r="44" spans="1:65" x14ac:dyDescent="0.25">
      <c r="R44"/>
      <c r="S44"/>
      <c r="T44"/>
      <c r="U44"/>
    </row>
    <row r="45" spans="1:65" ht="16.5" x14ac:dyDescent="0.3">
      <c r="A45" s="10" t="s">
        <v>158</v>
      </c>
      <c r="B45" s="11"/>
      <c r="C45" s="11"/>
      <c r="D45" s="70" t="s">
        <v>0</v>
      </c>
      <c r="E45" s="70" t="s">
        <v>0</v>
      </c>
      <c r="F45" s="10" t="s">
        <v>0</v>
      </c>
      <c r="G45" s="10" t="s">
        <v>0</v>
      </c>
      <c r="H45" s="10" t="s">
        <v>0</v>
      </c>
      <c r="I45" s="10" t="s">
        <v>0</v>
      </c>
      <c r="J45" s="10" t="s">
        <v>0</v>
      </c>
      <c r="K45" s="10" t="s">
        <v>0</v>
      </c>
      <c r="L45" s="10" t="s">
        <v>0</v>
      </c>
      <c r="M45" s="70" t="s">
        <v>0</v>
      </c>
      <c r="N45" s="70" t="s">
        <v>0</v>
      </c>
      <c r="O45" s="70" t="s">
        <v>0</v>
      </c>
      <c r="P45" s="70" t="s">
        <v>0</v>
      </c>
      <c r="Q45" s="10" t="s">
        <v>0</v>
      </c>
      <c r="R45" s="85" t="s">
        <v>0</v>
      </c>
      <c r="S45" s="85" t="s">
        <v>0</v>
      </c>
      <c r="T45" s="85" t="s">
        <v>0</v>
      </c>
      <c r="U45" s="85" t="s">
        <v>0</v>
      </c>
      <c r="V45" s="10" t="s">
        <v>0</v>
      </c>
      <c r="W45" s="70" t="s">
        <v>0</v>
      </c>
      <c r="X45" s="70" t="s">
        <v>0</v>
      </c>
      <c r="Y45" s="70" t="s">
        <v>0</v>
      </c>
      <c r="Z45" s="70" t="s">
        <v>0</v>
      </c>
      <c r="AA45" s="10" t="s">
        <v>0</v>
      </c>
      <c r="AB45" s="70" t="s">
        <v>0</v>
      </c>
      <c r="AC45" s="70" t="s">
        <v>0</v>
      </c>
      <c r="AD45" s="70" t="s">
        <v>0</v>
      </c>
      <c r="AE45" s="70" t="s">
        <v>0</v>
      </c>
      <c r="AF45" s="10" t="s">
        <v>0</v>
      </c>
      <c r="AG45" s="70" t="s">
        <v>0</v>
      </c>
      <c r="AH45" s="70" t="s">
        <v>0</v>
      </c>
      <c r="AI45" s="70" t="s">
        <v>0</v>
      </c>
      <c r="AJ45" s="70" t="s">
        <v>0</v>
      </c>
      <c r="AK45" s="10" t="s">
        <v>0</v>
      </c>
      <c r="AL45" s="70" t="s">
        <v>0</v>
      </c>
      <c r="AM45" s="70" t="s">
        <v>0</v>
      </c>
      <c r="AN45" s="70" t="s">
        <v>0</v>
      </c>
      <c r="AO45" s="70" t="s">
        <v>0</v>
      </c>
      <c r="AP45" s="10" t="s">
        <v>0</v>
      </c>
      <c r="AQ45" s="70" t="s">
        <v>0</v>
      </c>
      <c r="AR45" s="70" t="s">
        <v>0</v>
      </c>
      <c r="AS45" s="70" t="s">
        <v>0</v>
      </c>
      <c r="AT45" s="70" t="s">
        <v>0</v>
      </c>
      <c r="AU45" s="10" t="s">
        <v>0</v>
      </c>
      <c r="AV45" s="70" t="s">
        <v>0</v>
      </c>
      <c r="AW45" s="70" t="s">
        <v>0</v>
      </c>
      <c r="AX45" s="70" t="s">
        <v>0</v>
      </c>
      <c r="AY45" s="70" t="s">
        <v>0</v>
      </c>
      <c r="AZ45" s="10" t="s">
        <v>0</v>
      </c>
      <c r="BA45" s="70" t="s">
        <v>0</v>
      </c>
      <c r="BB45" s="70" t="s">
        <v>0</v>
      </c>
      <c r="BC45" s="70" t="s">
        <v>0</v>
      </c>
      <c r="BD45" s="70"/>
      <c r="BE45" s="10"/>
      <c r="BF45" s="70"/>
      <c r="BG45" s="70"/>
      <c r="BH45" s="70"/>
      <c r="BI45" s="70"/>
      <c r="BJ45" s="10"/>
      <c r="BK45" s="10"/>
      <c r="BL45" s="10"/>
      <c r="BM45" s="10"/>
    </row>
    <row r="46" spans="1:65" ht="16.5" x14ac:dyDescent="0.3">
      <c r="A46" s="4" t="s">
        <v>159</v>
      </c>
      <c r="B46" s="4"/>
      <c r="C46" s="4"/>
      <c r="D46" s="4"/>
      <c r="E46" s="75">
        <f>E8+E9</f>
        <v>3727</v>
      </c>
      <c r="F46" s="75">
        <f t="shared" ref="F46:BC46" si="55">F8+F9</f>
        <v>6366</v>
      </c>
      <c r="G46" s="75">
        <f t="shared" si="55"/>
        <v>8762</v>
      </c>
      <c r="H46" s="75">
        <f t="shared" si="55"/>
        <v>9576</v>
      </c>
      <c r="I46" s="75">
        <f t="shared" si="55"/>
        <v>11448</v>
      </c>
      <c r="J46" s="75">
        <f t="shared" si="55"/>
        <v>12447</v>
      </c>
      <c r="K46" s="75">
        <f t="shared" si="55"/>
        <v>17416</v>
      </c>
      <c r="L46" s="75">
        <f t="shared" si="55"/>
        <v>19808</v>
      </c>
      <c r="M46" s="76">
        <f t="shared" si="55"/>
        <v>15859</v>
      </c>
      <c r="N46" s="76">
        <f t="shared" si="55"/>
        <v>16540</v>
      </c>
      <c r="O46" s="76">
        <f t="shared" si="55"/>
        <v>18347</v>
      </c>
      <c r="P46" s="76">
        <f t="shared" si="55"/>
        <v>25981</v>
      </c>
      <c r="Q46" s="75">
        <f t="shared" si="55"/>
        <v>25981</v>
      </c>
      <c r="R46" s="76">
        <f t="shared" si="55"/>
        <v>21531</v>
      </c>
      <c r="S46" s="76">
        <f t="shared" si="55"/>
        <v>21451</v>
      </c>
      <c r="T46" s="76">
        <f t="shared" si="55"/>
        <v>24310</v>
      </c>
      <c r="U46" s="76">
        <f t="shared" si="55"/>
        <v>30986</v>
      </c>
      <c r="V46" s="75">
        <f t="shared" si="55"/>
        <v>30986</v>
      </c>
      <c r="W46" s="76">
        <f t="shared" si="55"/>
        <v>24963</v>
      </c>
      <c r="X46" s="76">
        <f t="shared" si="55"/>
        <v>27050</v>
      </c>
      <c r="Y46" s="76">
        <f t="shared" si="55"/>
        <v>29765</v>
      </c>
      <c r="Z46" s="76">
        <f t="shared" si="55"/>
        <v>41250</v>
      </c>
      <c r="AA46" s="75">
        <f t="shared" si="55"/>
        <v>41250</v>
      </c>
      <c r="AB46" s="76">
        <f t="shared" si="55"/>
        <v>37020</v>
      </c>
      <c r="AC46" s="76">
        <f t="shared" si="55"/>
        <v>41463</v>
      </c>
      <c r="AD46" s="76">
        <f t="shared" si="55"/>
        <v>43401</v>
      </c>
      <c r="AE46" s="76">
        <f t="shared" si="55"/>
        <v>55021</v>
      </c>
      <c r="AF46" s="75">
        <f t="shared" si="55"/>
        <v>55021</v>
      </c>
      <c r="AG46" s="76">
        <f t="shared" si="55"/>
        <v>49292</v>
      </c>
      <c r="AH46" s="76">
        <f t="shared" si="55"/>
        <v>55021</v>
      </c>
      <c r="AI46" s="76">
        <f t="shared" si="55"/>
        <v>68402</v>
      </c>
      <c r="AJ46" s="76">
        <f t="shared" si="55"/>
        <v>84396</v>
      </c>
      <c r="AK46" s="75">
        <f t="shared" si="55"/>
        <v>84396</v>
      </c>
      <c r="AL46" s="76">
        <f t="shared" si="55"/>
        <v>73270</v>
      </c>
      <c r="AM46" s="76">
        <f t="shared" si="55"/>
        <v>89894</v>
      </c>
      <c r="AN46" s="76">
        <f t="shared" si="55"/>
        <v>78988</v>
      </c>
      <c r="AO46" s="76">
        <f t="shared" si="55"/>
        <v>96049</v>
      </c>
      <c r="AP46" s="75">
        <f t="shared" si="55"/>
        <v>96049</v>
      </c>
      <c r="AQ46" s="76">
        <f t="shared" si="55"/>
        <v>66385</v>
      </c>
      <c r="AR46" s="76">
        <f t="shared" si="55"/>
        <v>60710</v>
      </c>
      <c r="AS46" s="76">
        <f t="shared" si="55"/>
        <v>58662</v>
      </c>
      <c r="AT46" s="76">
        <f t="shared" si="55"/>
        <v>70026</v>
      </c>
      <c r="AU46" s="75">
        <f t="shared" si="55"/>
        <v>70026</v>
      </c>
      <c r="AV46" s="76">
        <f t="shared" si="55"/>
        <v>64405</v>
      </c>
      <c r="AW46" s="76">
        <f t="shared" si="55"/>
        <v>63970</v>
      </c>
      <c r="AX46" s="76">
        <f t="shared" si="55"/>
        <v>64169</v>
      </c>
      <c r="AY46" s="76">
        <f t="shared" si="55"/>
        <v>86780</v>
      </c>
      <c r="AZ46" s="75">
        <f t="shared" si="55"/>
        <v>86780</v>
      </c>
      <c r="BA46" s="76">
        <f>BA8+BA9</f>
        <v>85074</v>
      </c>
      <c r="BB46" s="76">
        <f t="shared" si="55"/>
        <v>89092</v>
      </c>
      <c r="BC46" s="76">
        <f t="shared" si="55"/>
        <v>88051</v>
      </c>
      <c r="BD46" s="203">
        <f t="shared" ref="BD46:BE46" si="56">BD8+BD9</f>
        <v>99206.958277005295</v>
      </c>
      <c r="BE46" s="253">
        <f t="shared" si="56"/>
        <v>99206.958277005295</v>
      </c>
      <c r="BF46" s="203">
        <f>BF8+BF9</f>
        <v>102234.80676541667</v>
      </c>
      <c r="BG46" s="203">
        <f t="shared" ref="BG46:BI46" si="57">BG8+BG9</f>
        <v>111447.24091014102</v>
      </c>
      <c r="BH46" s="203">
        <f t="shared" si="57"/>
        <v>125636.53414286602</v>
      </c>
      <c r="BI46" s="203">
        <f t="shared" si="57"/>
        <v>134795.19121839374</v>
      </c>
      <c r="BJ46" s="253">
        <f t="shared" ref="BJ46:BM46" si="58">BJ8+BJ9</f>
        <v>134795.19121839374</v>
      </c>
      <c r="BK46" s="253">
        <f t="shared" si="58"/>
        <v>178919.60208387175</v>
      </c>
      <c r="BL46" s="253">
        <f t="shared" si="58"/>
        <v>225059.43111683079</v>
      </c>
      <c r="BM46" s="253">
        <f t="shared" si="58"/>
        <v>277519.37727056083</v>
      </c>
    </row>
    <row r="47" spans="1:65" ht="16.5" x14ac:dyDescent="0.3">
      <c r="A47" s="4" t="s">
        <v>160</v>
      </c>
      <c r="B47" s="4"/>
      <c r="C47" s="4"/>
      <c r="D47" s="4"/>
      <c r="E47" s="77">
        <f>E28+E27</f>
        <v>409</v>
      </c>
      <c r="F47" s="77">
        <f t="shared" ref="F47:BC47" si="59">F28+F27</f>
        <v>109</v>
      </c>
      <c r="G47" s="77">
        <f t="shared" si="59"/>
        <v>0</v>
      </c>
      <c r="H47" s="77">
        <f t="shared" si="59"/>
        <v>255</v>
      </c>
      <c r="I47" s="75">
        <f t="shared" si="59"/>
        <v>3084</v>
      </c>
      <c r="J47" s="75">
        <f t="shared" si="59"/>
        <v>3191</v>
      </c>
      <c r="K47" s="75">
        <f t="shared" si="59"/>
        <v>8265</v>
      </c>
      <c r="L47" s="75">
        <f t="shared" si="59"/>
        <v>8227</v>
      </c>
      <c r="M47" s="76">
        <f t="shared" si="59"/>
        <v>8219</v>
      </c>
      <c r="N47" s="76">
        <f t="shared" si="59"/>
        <v>8212</v>
      </c>
      <c r="O47" s="76">
        <f t="shared" si="59"/>
        <v>8205</v>
      </c>
      <c r="P47" s="76">
        <f t="shared" si="59"/>
        <v>7694</v>
      </c>
      <c r="Q47" s="75">
        <f t="shared" si="59"/>
        <v>7694</v>
      </c>
      <c r="R47" s="76">
        <f t="shared" si="59"/>
        <v>7691</v>
      </c>
      <c r="S47" s="76">
        <f t="shared" si="59"/>
        <v>7683</v>
      </c>
      <c r="T47" s="76">
        <f t="shared" si="59"/>
        <v>24710</v>
      </c>
      <c r="U47" s="76">
        <f t="shared" si="59"/>
        <v>24743</v>
      </c>
      <c r="V47" s="75">
        <f t="shared" si="59"/>
        <v>24743</v>
      </c>
      <c r="W47" s="76">
        <f t="shared" si="59"/>
        <v>24640</v>
      </c>
      <c r="X47" s="76">
        <f t="shared" si="59"/>
        <v>24638</v>
      </c>
      <c r="Y47" s="76">
        <f t="shared" si="59"/>
        <v>24684</v>
      </c>
      <c r="Z47" s="76">
        <f t="shared" si="59"/>
        <v>33145</v>
      </c>
      <c r="AA47" s="75">
        <f t="shared" si="59"/>
        <v>33145</v>
      </c>
      <c r="AB47" s="76">
        <f t="shared" si="59"/>
        <v>56597</v>
      </c>
      <c r="AC47" s="76">
        <f t="shared" si="59"/>
        <v>58463</v>
      </c>
      <c r="AD47" s="76">
        <f t="shared" si="59"/>
        <v>59530</v>
      </c>
      <c r="AE47" s="76">
        <f t="shared" si="59"/>
        <v>63205</v>
      </c>
      <c r="AF47" s="75">
        <f t="shared" si="59"/>
        <v>63205</v>
      </c>
      <c r="AG47" s="76">
        <f t="shared" si="59"/>
        <v>63737</v>
      </c>
      <c r="AH47" s="76">
        <f t="shared" si="59"/>
        <v>63205</v>
      </c>
      <c r="AI47" s="76">
        <f t="shared" si="59"/>
        <v>81518</v>
      </c>
      <c r="AJ47" s="76">
        <f t="shared" si="59"/>
        <v>84389</v>
      </c>
      <c r="AK47" s="75">
        <f t="shared" si="59"/>
        <v>84389</v>
      </c>
      <c r="AL47" s="76">
        <f t="shared" si="59"/>
        <v>84935</v>
      </c>
      <c r="AM47" s="76">
        <f t="shared" si="59"/>
        <v>106576</v>
      </c>
      <c r="AN47" s="76">
        <f t="shared" si="59"/>
        <v>113903</v>
      </c>
      <c r="AO47" s="76">
        <f t="shared" si="59"/>
        <v>116395</v>
      </c>
      <c r="AP47" s="75">
        <f t="shared" si="59"/>
        <v>116395</v>
      </c>
      <c r="AQ47" s="76">
        <f t="shared" si="59"/>
        <v>113287</v>
      </c>
      <c r="AR47" s="76">
        <f t="shared" si="59"/>
        <v>124577</v>
      </c>
      <c r="AS47" s="76">
        <f t="shared" si="59"/>
        <v>128251</v>
      </c>
      <c r="AT47" s="76">
        <f t="shared" si="59"/>
        <v>140118</v>
      </c>
      <c r="AU47" s="75">
        <f t="shared" si="59"/>
        <v>140118</v>
      </c>
      <c r="AV47" s="76">
        <f t="shared" si="59"/>
        <v>141351</v>
      </c>
      <c r="AW47" s="76">
        <f t="shared" si="59"/>
        <v>138914</v>
      </c>
      <c r="AX47" s="76">
        <f t="shared" si="59"/>
        <v>136989</v>
      </c>
      <c r="AY47" s="76">
        <f t="shared" si="59"/>
        <v>135611</v>
      </c>
      <c r="AZ47" s="75">
        <f t="shared" si="59"/>
        <v>135611</v>
      </c>
      <c r="BA47" s="76">
        <f t="shared" si="59"/>
        <v>134686</v>
      </c>
      <c r="BB47" s="76">
        <f t="shared" si="59"/>
        <v>132973</v>
      </c>
      <c r="BC47" s="76">
        <f t="shared" si="59"/>
        <v>134692</v>
      </c>
      <c r="BD47" s="203">
        <f t="shared" ref="BD47:BG47" si="60">BD28+BD27</f>
        <v>138162.60014944948</v>
      </c>
      <c r="BE47" s="253">
        <f t="shared" si="60"/>
        <v>138162.60014944948</v>
      </c>
      <c r="BF47" s="203">
        <f t="shared" si="60"/>
        <v>140059.85695361035</v>
      </c>
      <c r="BG47" s="203">
        <f t="shared" si="60"/>
        <v>143314.69134418093</v>
      </c>
      <c r="BH47" s="203">
        <f>BH28+BH27</f>
        <v>147339.13411906513</v>
      </c>
      <c r="BI47" s="203">
        <f t="shared" ref="BI47" si="61">BI28+BI27</f>
        <v>151138.33007481508</v>
      </c>
      <c r="BJ47" s="253">
        <f t="shared" ref="BJ47:BM47" si="62">BJ28+BJ27</f>
        <v>151138.33007481508</v>
      </c>
      <c r="BK47" s="253">
        <f t="shared" si="62"/>
        <v>157532.54229450936</v>
      </c>
      <c r="BL47" s="253">
        <f t="shared" si="62"/>
        <v>164020.15659691259</v>
      </c>
      <c r="BM47" s="253">
        <f t="shared" si="62"/>
        <v>170604.68615298346</v>
      </c>
    </row>
    <row r="48" spans="1:65" ht="16.5" x14ac:dyDescent="0.3">
      <c r="A48" s="4" t="s">
        <v>161</v>
      </c>
      <c r="B48" s="4"/>
      <c r="C48" s="4"/>
      <c r="D48" s="4"/>
      <c r="E48" s="78">
        <f>E46-E47</f>
        <v>3318</v>
      </c>
      <c r="F48" s="78">
        <f t="shared" ref="F48:BC48" si="63">F46-F47</f>
        <v>6257</v>
      </c>
      <c r="G48" s="78">
        <f t="shared" si="63"/>
        <v>8762</v>
      </c>
      <c r="H48" s="78">
        <f t="shared" si="63"/>
        <v>9321</v>
      </c>
      <c r="I48" s="78">
        <f t="shared" si="63"/>
        <v>8364</v>
      </c>
      <c r="J48" s="78">
        <f t="shared" si="63"/>
        <v>9256</v>
      </c>
      <c r="K48" s="78">
        <f t="shared" si="63"/>
        <v>9151</v>
      </c>
      <c r="L48" s="78">
        <f t="shared" si="63"/>
        <v>11581</v>
      </c>
      <c r="M48" s="79">
        <f t="shared" si="63"/>
        <v>7640</v>
      </c>
      <c r="N48" s="79">
        <f t="shared" si="63"/>
        <v>8328</v>
      </c>
      <c r="O48" s="79">
        <f t="shared" si="63"/>
        <v>10142</v>
      </c>
      <c r="P48" s="79">
        <f t="shared" si="63"/>
        <v>18287</v>
      </c>
      <c r="Q48" s="78">
        <f t="shared" si="63"/>
        <v>18287</v>
      </c>
      <c r="R48" s="79">
        <f t="shared" si="63"/>
        <v>13840</v>
      </c>
      <c r="S48" s="79">
        <f t="shared" si="63"/>
        <v>13768</v>
      </c>
      <c r="T48" s="80">
        <f t="shared" si="63"/>
        <v>-400</v>
      </c>
      <c r="U48" s="79">
        <f t="shared" si="63"/>
        <v>6243</v>
      </c>
      <c r="V48" s="78">
        <f t="shared" si="63"/>
        <v>6243</v>
      </c>
      <c r="W48" s="80">
        <f t="shared" si="63"/>
        <v>323</v>
      </c>
      <c r="X48" s="79">
        <f t="shared" si="63"/>
        <v>2412</v>
      </c>
      <c r="Y48" s="79">
        <f t="shared" si="63"/>
        <v>5081</v>
      </c>
      <c r="Z48" s="79">
        <f t="shared" si="63"/>
        <v>8105</v>
      </c>
      <c r="AA48" s="78">
        <f t="shared" si="63"/>
        <v>8105</v>
      </c>
      <c r="AB48" s="79">
        <f t="shared" si="63"/>
        <v>-19577</v>
      </c>
      <c r="AC48" s="79">
        <f t="shared" si="63"/>
        <v>-17000</v>
      </c>
      <c r="AD48" s="79">
        <f t="shared" si="63"/>
        <v>-16129</v>
      </c>
      <c r="AE48" s="79">
        <f t="shared" si="63"/>
        <v>-8184</v>
      </c>
      <c r="AF48" s="78">
        <f t="shared" si="63"/>
        <v>-8184</v>
      </c>
      <c r="AG48" s="79">
        <f t="shared" si="63"/>
        <v>-14445</v>
      </c>
      <c r="AH48" s="79">
        <f t="shared" si="63"/>
        <v>-8184</v>
      </c>
      <c r="AI48" s="79">
        <f t="shared" si="63"/>
        <v>-13116</v>
      </c>
      <c r="AJ48" s="79">
        <f t="shared" si="63"/>
        <v>7</v>
      </c>
      <c r="AK48" s="78">
        <f t="shared" si="63"/>
        <v>7</v>
      </c>
      <c r="AL48" s="79">
        <f t="shared" si="63"/>
        <v>-11665</v>
      </c>
      <c r="AM48" s="79">
        <f t="shared" si="63"/>
        <v>-16682</v>
      </c>
      <c r="AN48" s="79">
        <f t="shared" si="63"/>
        <v>-34915</v>
      </c>
      <c r="AO48" s="79">
        <f t="shared" si="63"/>
        <v>-20346</v>
      </c>
      <c r="AP48" s="78">
        <f t="shared" si="63"/>
        <v>-20346</v>
      </c>
      <c r="AQ48" s="79">
        <f t="shared" si="63"/>
        <v>-46902</v>
      </c>
      <c r="AR48" s="79">
        <f t="shared" si="63"/>
        <v>-63867</v>
      </c>
      <c r="AS48" s="80">
        <f t="shared" si="63"/>
        <v>-69589</v>
      </c>
      <c r="AT48" s="79">
        <f t="shared" si="63"/>
        <v>-70092</v>
      </c>
      <c r="AU48" s="78">
        <f t="shared" si="63"/>
        <v>-70092</v>
      </c>
      <c r="AV48" s="79">
        <f t="shared" si="63"/>
        <v>-76946</v>
      </c>
      <c r="AW48" s="80">
        <f t="shared" si="63"/>
        <v>-74944</v>
      </c>
      <c r="AX48" s="79">
        <f t="shared" si="63"/>
        <v>-72820</v>
      </c>
      <c r="AY48" s="79">
        <f t="shared" si="63"/>
        <v>-48831</v>
      </c>
      <c r="AZ48" s="78">
        <f t="shared" si="63"/>
        <v>-48831</v>
      </c>
      <c r="BA48" s="79">
        <f>BA46-BA47</f>
        <v>-49612</v>
      </c>
      <c r="BB48" s="79">
        <f t="shared" si="63"/>
        <v>-43881</v>
      </c>
      <c r="BC48" s="79">
        <f t="shared" si="63"/>
        <v>-46641</v>
      </c>
      <c r="BD48" s="204">
        <f t="shared" ref="BD48:BE48" si="64">BD46-BD47</f>
        <v>-38955.64187244419</v>
      </c>
      <c r="BE48" s="254">
        <f t="shared" si="64"/>
        <v>-38955.64187244419</v>
      </c>
      <c r="BF48" s="204">
        <f>BF46-BF47</f>
        <v>-37825.05018819368</v>
      </c>
      <c r="BG48" s="204">
        <f t="shared" ref="BG48:BI48" si="65">BG46-BG47</f>
        <v>-31867.450434039914</v>
      </c>
      <c r="BH48" s="204">
        <f t="shared" si="65"/>
        <v>-21702.599976199112</v>
      </c>
      <c r="BI48" s="204">
        <f t="shared" si="65"/>
        <v>-16343.138856421341</v>
      </c>
      <c r="BJ48" s="254">
        <f t="shared" ref="BJ48:BM48" si="66">BJ46-BJ47</f>
        <v>-16343.138856421341</v>
      </c>
      <c r="BK48" s="254">
        <f t="shared" si="66"/>
        <v>21387.059789362393</v>
      </c>
      <c r="BL48" s="254">
        <f t="shared" si="66"/>
        <v>61039.274519918195</v>
      </c>
      <c r="BM48" s="254">
        <f t="shared" si="66"/>
        <v>106914.69111757737</v>
      </c>
    </row>
    <row r="49" spans="1:65" ht="16.5" x14ac:dyDescent="0.3">
      <c r="A49" s="4" t="s">
        <v>162</v>
      </c>
      <c r="E49" s="78">
        <f t="shared" ref="E49:AJ49" si="67">E40+E27+E28</f>
        <v>3081</v>
      </c>
      <c r="F49" s="78">
        <f t="shared" si="67"/>
        <v>5366</v>
      </c>
      <c r="G49" s="78">
        <f t="shared" si="67"/>
        <v>6864</v>
      </c>
      <c r="H49" s="78">
        <f t="shared" si="67"/>
        <v>8012</v>
      </c>
      <c r="I49" s="78">
        <f t="shared" si="67"/>
        <v>11276</v>
      </c>
      <c r="J49" s="78">
        <f t="shared" si="67"/>
        <v>12937</v>
      </c>
      <c r="K49" s="78">
        <f t="shared" si="67"/>
        <v>19006</v>
      </c>
      <c r="L49" s="78">
        <f t="shared" si="67"/>
        <v>21611</v>
      </c>
      <c r="M49" s="79">
        <f t="shared" si="67"/>
        <v>22975</v>
      </c>
      <c r="N49" s="79">
        <f t="shared" si="67"/>
        <v>24750</v>
      </c>
      <c r="O49" s="79">
        <f t="shared" si="67"/>
        <v>25987</v>
      </c>
      <c r="P49" s="79">
        <f t="shared" si="67"/>
        <v>26979</v>
      </c>
      <c r="Q49" s="78">
        <f t="shared" si="67"/>
        <v>26979</v>
      </c>
      <c r="R49" s="79">
        <f t="shared" si="67"/>
        <v>29365</v>
      </c>
      <c r="S49" s="79">
        <f t="shared" si="67"/>
        <v>30897</v>
      </c>
      <c r="T49" s="80">
        <f t="shared" si="67"/>
        <v>49368</v>
      </c>
      <c r="U49" s="79">
        <f t="shared" si="67"/>
        <v>52452</v>
      </c>
      <c r="V49" s="78">
        <f t="shared" si="67"/>
        <v>52452</v>
      </c>
      <c r="W49" s="80">
        <f t="shared" si="67"/>
        <v>56103</v>
      </c>
      <c r="X49" s="79">
        <f t="shared" si="67"/>
        <v>59633</v>
      </c>
      <c r="Y49" s="79">
        <f t="shared" si="67"/>
        <v>63809</v>
      </c>
      <c r="Z49" s="79">
        <f t="shared" si="67"/>
        <v>76694</v>
      </c>
      <c r="AA49" s="78">
        <f t="shared" si="67"/>
        <v>76694</v>
      </c>
      <c r="AB49" s="79">
        <f t="shared" si="67"/>
        <v>105007</v>
      </c>
      <c r="AC49" s="79">
        <f t="shared" si="67"/>
        <v>111524</v>
      </c>
      <c r="AD49" s="79">
        <f t="shared" si="67"/>
        <v>116038</v>
      </c>
      <c r="AE49" s="79">
        <f t="shared" si="67"/>
        <v>125265</v>
      </c>
      <c r="AF49" s="78">
        <f t="shared" si="67"/>
        <v>125265</v>
      </c>
      <c r="AG49" s="79">
        <f t="shared" si="67"/>
        <v>129009</v>
      </c>
      <c r="AH49" s="79">
        <f t="shared" si="67"/>
        <v>125265</v>
      </c>
      <c r="AI49" s="79">
        <f t="shared" si="67"/>
        <v>164293</v>
      </c>
      <c r="AJ49" s="79">
        <f t="shared" si="67"/>
        <v>177793</v>
      </c>
      <c r="AK49" s="78">
        <f t="shared" ref="AK49:BJ49" si="68">AK40+AK27+AK28</f>
        <v>177793</v>
      </c>
      <c r="AL49" s="79">
        <f t="shared" si="68"/>
        <v>188255</v>
      </c>
      <c r="AM49" s="79">
        <f t="shared" si="68"/>
        <v>221379</v>
      </c>
      <c r="AN49" s="79">
        <f t="shared" si="68"/>
        <v>234467</v>
      </c>
      <c r="AO49" s="79">
        <f t="shared" si="68"/>
        <v>254640</v>
      </c>
      <c r="AP49" s="75">
        <f t="shared" si="68"/>
        <v>254640</v>
      </c>
      <c r="AQ49" s="76">
        <f t="shared" si="68"/>
        <v>247288</v>
      </c>
      <c r="AR49" s="76">
        <f t="shared" si="68"/>
        <v>255979</v>
      </c>
      <c r="AS49" s="81">
        <f t="shared" si="68"/>
        <v>265740</v>
      </c>
      <c r="AT49" s="76">
        <f t="shared" si="68"/>
        <v>286161</v>
      </c>
      <c r="AU49" s="75">
        <f t="shared" si="68"/>
        <v>286161</v>
      </c>
      <c r="AV49" s="76">
        <f t="shared" si="68"/>
        <v>295877</v>
      </c>
      <c r="AW49" s="81">
        <f t="shared" si="68"/>
        <v>307516</v>
      </c>
      <c r="AX49" s="76">
        <f t="shared" si="68"/>
        <v>319962</v>
      </c>
      <c r="AY49" s="76">
        <f t="shared" si="68"/>
        <v>337486</v>
      </c>
      <c r="AZ49" s="75">
        <f t="shared" si="68"/>
        <v>337486</v>
      </c>
      <c r="BA49" s="76">
        <f t="shared" si="68"/>
        <v>351347</v>
      </c>
      <c r="BB49" s="76">
        <f t="shared" si="68"/>
        <v>369420</v>
      </c>
      <c r="BC49" s="76">
        <f t="shared" si="68"/>
        <v>393843</v>
      </c>
      <c r="BD49" s="203">
        <f t="shared" si="68"/>
        <v>409716.78796184604</v>
      </c>
      <c r="BE49" s="253">
        <f t="shared" si="68"/>
        <v>409716.78796184604</v>
      </c>
      <c r="BF49" s="203">
        <f t="shared" si="68"/>
        <v>424725.55654662917</v>
      </c>
      <c r="BG49" s="203">
        <f t="shared" si="68"/>
        <v>440821.14704585163</v>
      </c>
      <c r="BH49" s="203">
        <f t="shared" si="68"/>
        <v>458970.05869462714</v>
      </c>
      <c r="BI49" s="203">
        <f t="shared" si="68"/>
        <v>479455.07896067493</v>
      </c>
      <c r="BJ49" s="253">
        <f t="shared" si="68"/>
        <v>479455.07896067493</v>
      </c>
      <c r="BK49" s="253">
        <f t="shared" ref="BK49:BM49" si="69">BK40+BK27+BK28</f>
        <v>547286.03089331044</v>
      </c>
      <c r="BL49" s="253">
        <f t="shared" si="69"/>
        <v>617533.39982900163</v>
      </c>
      <c r="BM49" s="253">
        <f t="shared" si="69"/>
        <v>694377.08347242756</v>
      </c>
    </row>
    <row r="50" spans="1:65" ht="16.5" x14ac:dyDescent="0.3">
      <c r="A50" s="4" t="s">
        <v>163</v>
      </c>
      <c r="E50" s="78">
        <f>E14+E15</f>
        <v>854</v>
      </c>
      <c r="F50" s="78">
        <f t="shared" ref="F50:BC50" si="70">F14+F15</f>
        <v>1290</v>
      </c>
      <c r="G50" s="78">
        <f t="shared" si="70"/>
        <v>2414</v>
      </c>
      <c r="H50" s="78">
        <f t="shared" si="70"/>
        <v>4417</v>
      </c>
      <c r="I50" s="78">
        <f t="shared" si="70"/>
        <v>7060</v>
      </c>
      <c r="J50" s="78">
        <f t="shared" si="70"/>
        <v>10949</v>
      </c>
      <c r="K50" s="78">
        <f t="shared" si="70"/>
        <v>16967</v>
      </c>
      <c r="L50" s="78">
        <f t="shared" si="70"/>
        <v>21838</v>
      </c>
      <c r="M50" s="79">
        <f t="shared" si="70"/>
        <v>23308</v>
      </c>
      <c r="N50" s="79">
        <f t="shared" si="70"/>
        <v>25190</v>
      </c>
      <c r="O50" s="79">
        <f t="shared" si="70"/>
        <v>27177</v>
      </c>
      <c r="P50" s="79">
        <f t="shared" si="70"/>
        <v>29114</v>
      </c>
      <c r="Q50" s="78">
        <f t="shared" si="70"/>
        <v>29114</v>
      </c>
      <c r="R50" s="79">
        <f t="shared" si="70"/>
        <v>32632</v>
      </c>
      <c r="S50" s="79">
        <f t="shared" si="70"/>
        <v>37083</v>
      </c>
      <c r="T50" s="80">
        <f t="shared" si="70"/>
        <v>45335</v>
      </c>
      <c r="U50" s="79">
        <f t="shared" si="70"/>
        <v>48866</v>
      </c>
      <c r="V50" s="78">
        <f t="shared" si="70"/>
        <v>48866</v>
      </c>
      <c r="W50" s="80">
        <f t="shared" si="70"/>
        <v>52331</v>
      </c>
      <c r="X50" s="79">
        <f t="shared" si="70"/>
        <v>54768</v>
      </c>
      <c r="Y50" s="79">
        <f t="shared" si="70"/>
        <v>58019</v>
      </c>
      <c r="Z50" s="79">
        <f t="shared" si="70"/>
        <v>61797</v>
      </c>
      <c r="AA50" s="78">
        <f t="shared" si="70"/>
        <v>61797</v>
      </c>
      <c r="AB50" s="79">
        <f t="shared" si="70"/>
        <v>81180</v>
      </c>
      <c r="AC50" s="79">
        <f t="shared" si="70"/>
        <v>86372</v>
      </c>
      <c r="AD50" s="79">
        <f t="shared" si="70"/>
        <v>90776</v>
      </c>
      <c r="AE50" s="79">
        <f t="shared" si="70"/>
        <v>97846</v>
      </c>
      <c r="AF50" s="78">
        <f t="shared" si="70"/>
        <v>97846</v>
      </c>
      <c r="AG50" s="79">
        <f t="shared" si="70"/>
        <v>104058</v>
      </c>
      <c r="AH50" s="79">
        <f t="shared" si="70"/>
        <v>97846</v>
      </c>
      <c r="AI50" s="79">
        <f t="shared" si="70"/>
        <v>134100</v>
      </c>
      <c r="AJ50" s="79">
        <f t="shared" si="70"/>
        <v>150667</v>
      </c>
      <c r="AK50" s="78">
        <f t="shared" si="70"/>
        <v>150667</v>
      </c>
      <c r="AL50" s="79">
        <f t="shared" si="70"/>
        <v>160789</v>
      </c>
      <c r="AM50" s="79">
        <f t="shared" si="70"/>
        <v>176848</v>
      </c>
      <c r="AN50" s="79">
        <f t="shared" si="70"/>
        <v>199303</v>
      </c>
      <c r="AO50" s="79">
        <f t="shared" si="70"/>
        <v>216363</v>
      </c>
      <c r="AP50" s="75">
        <f t="shared" si="70"/>
        <v>216363</v>
      </c>
      <c r="AQ50" s="76">
        <f t="shared" si="70"/>
        <v>224629</v>
      </c>
      <c r="AR50" s="76">
        <f t="shared" si="70"/>
        <v>232136</v>
      </c>
      <c r="AS50" s="81">
        <f t="shared" si="70"/>
        <v>239228</v>
      </c>
      <c r="AT50" s="76">
        <f t="shared" si="70"/>
        <v>252838</v>
      </c>
      <c r="AU50" s="75">
        <f t="shared" si="70"/>
        <v>252838</v>
      </c>
      <c r="AV50" s="76">
        <f t="shared" si="70"/>
        <v>259016</v>
      </c>
      <c r="AW50" s="81">
        <f t="shared" si="70"/>
        <v>264116</v>
      </c>
      <c r="AX50" s="76">
        <f t="shared" si="70"/>
        <v>267226</v>
      </c>
      <c r="AY50" s="76">
        <f t="shared" si="70"/>
        <v>276690</v>
      </c>
      <c r="AZ50" s="75">
        <f t="shared" si="70"/>
        <v>276690</v>
      </c>
      <c r="BA50" s="76">
        <f t="shared" si="70"/>
        <v>283263</v>
      </c>
      <c r="BB50" s="76">
        <f t="shared" si="70"/>
        <v>295292</v>
      </c>
      <c r="BC50" s="76">
        <f t="shared" si="70"/>
        <v>314444</v>
      </c>
      <c r="BD50" s="203">
        <f t="shared" ref="BD50:BH50" si="71">BD14+BD15</f>
        <v>318412.83232739009</v>
      </c>
      <c r="BE50" s="253">
        <f t="shared" si="71"/>
        <v>318412.83232739009</v>
      </c>
      <c r="BF50" s="203">
        <f t="shared" si="71"/>
        <v>324146.74245522299</v>
      </c>
      <c r="BG50" s="203">
        <f t="shared" si="71"/>
        <v>330359.70083509973</v>
      </c>
      <c r="BH50" s="203">
        <f t="shared" si="71"/>
        <v>337065.13888513227</v>
      </c>
      <c r="BI50" s="203">
        <f t="shared" ref="BI50" si="72">BI14+BI15</f>
        <v>345362.35066501319</v>
      </c>
      <c r="BJ50" s="253">
        <f t="shared" ref="BJ50:BM50" si="73">BJ14+BJ15</f>
        <v>345362.35066501319</v>
      </c>
      <c r="BK50" s="253">
        <f t="shared" si="73"/>
        <v>361610.95794819016</v>
      </c>
      <c r="BL50" s="253">
        <f t="shared" si="73"/>
        <v>375080.73814819538</v>
      </c>
      <c r="BM50" s="253">
        <f t="shared" si="73"/>
        <v>385111.47071073361</v>
      </c>
    </row>
    <row r="51" spans="1:65" ht="16.5" x14ac:dyDescent="0.3">
      <c r="A51" t="s">
        <v>164</v>
      </c>
      <c r="E51" s="78">
        <f>(E12)-(E25)</f>
        <v>1207</v>
      </c>
      <c r="F51" s="78">
        <f t="shared" ref="F51:BJ51" si="74">(F12)-(F25)</f>
        <v>2161</v>
      </c>
      <c r="G51" s="78">
        <f t="shared" si="74"/>
        <v>3179</v>
      </c>
      <c r="H51" s="78">
        <f t="shared" si="74"/>
        <v>2243</v>
      </c>
      <c r="I51" s="78">
        <f t="shared" si="74"/>
        <v>2294</v>
      </c>
      <c r="J51" s="78">
        <f t="shared" si="74"/>
        <v>1645</v>
      </c>
      <c r="K51" s="78">
        <f t="shared" si="74"/>
        <v>3238</v>
      </c>
      <c r="L51" s="78">
        <f t="shared" si="74"/>
        <v>1818</v>
      </c>
      <c r="M51" s="79">
        <f t="shared" si="74"/>
        <v>2326</v>
      </c>
      <c r="N51" s="79">
        <f t="shared" si="74"/>
        <v>2633</v>
      </c>
      <c r="O51" s="79">
        <f t="shared" si="74"/>
        <v>2111</v>
      </c>
      <c r="P51" s="79">
        <f t="shared" si="74"/>
        <v>1965</v>
      </c>
      <c r="Q51" s="78">
        <f t="shared" si="74"/>
        <v>1965</v>
      </c>
      <c r="R51" s="79">
        <f t="shared" si="74"/>
        <v>2061</v>
      </c>
      <c r="S51" s="79">
        <f t="shared" si="74"/>
        <v>487</v>
      </c>
      <c r="T51" s="80">
        <f t="shared" si="74"/>
        <v>1506</v>
      </c>
      <c r="U51" s="79">
        <f t="shared" si="74"/>
        <v>2314</v>
      </c>
      <c r="V51" s="78">
        <f t="shared" si="74"/>
        <v>2314</v>
      </c>
      <c r="W51" s="80">
        <f t="shared" si="74"/>
        <v>2784</v>
      </c>
      <c r="X51" s="79">
        <f t="shared" si="74"/>
        <v>3680</v>
      </c>
      <c r="Y51" s="79">
        <f t="shared" si="74"/>
        <v>4561</v>
      </c>
      <c r="Z51" s="79">
        <f t="shared" si="74"/>
        <v>6710</v>
      </c>
      <c r="AA51" s="78">
        <f t="shared" si="74"/>
        <v>6710</v>
      </c>
      <c r="AB51" s="79">
        <f t="shared" si="74"/>
        <v>5736</v>
      </c>
      <c r="AC51" s="79">
        <f t="shared" si="74"/>
        <v>7112</v>
      </c>
      <c r="AD51" s="79">
        <f t="shared" si="74"/>
        <v>6918</v>
      </c>
      <c r="AE51" s="79">
        <f t="shared" si="74"/>
        <v>8522</v>
      </c>
      <c r="AF51" s="78">
        <f t="shared" si="74"/>
        <v>8522</v>
      </c>
      <c r="AG51" s="79">
        <f t="shared" si="74"/>
        <v>6274</v>
      </c>
      <c r="AH51" s="79">
        <f t="shared" si="74"/>
        <v>8522</v>
      </c>
      <c r="AI51" s="79">
        <f t="shared" si="74"/>
        <v>11057</v>
      </c>
      <c r="AJ51" s="79">
        <f t="shared" si="74"/>
        <v>6348</v>
      </c>
      <c r="AK51" s="78">
        <f t="shared" si="74"/>
        <v>6348</v>
      </c>
      <c r="AL51" s="79">
        <f t="shared" si="74"/>
        <v>6004</v>
      </c>
      <c r="AM51" s="79">
        <f t="shared" si="74"/>
        <v>23056</v>
      </c>
      <c r="AN51" s="79">
        <f t="shared" si="74"/>
        <v>14537</v>
      </c>
      <c r="AO51" s="79">
        <f t="shared" si="74"/>
        <v>19314</v>
      </c>
      <c r="AP51" s="75">
        <f t="shared" si="74"/>
        <v>19314</v>
      </c>
      <c r="AQ51" s="76">
        <f t="shared" si="74"/>
        <v>-5632</v>
      </c>
      <c r="AR51" s="76">
        <f t="shared" si="74"/>
        <v>-6624</v>
      </c>
      <c r="AS51" s="81">
        <f t="shared" si="74"/>
        <v>-8900</v>
      </c>
      <c r="AT51" s="76">
        <f t="shared" si="74"/>
        <v>-8602</v>
      </c>
      <c r="AU51" s="75">
        <f t="shared" si="74"/>
        <v>-8602</v>
      </c>
      <c r="AV51" s="76">
        <f t="shared" si="74"/>
        <v>-11349</v>
      </c>
      <c r="AW51" s="81">
        <f t="shared" si="74"/>
        <v>-7756</v>
      </c>
      <c r="AX51" s="76">
        <f t="shared" si="74"/>
        <v>-2219</v>
      </c>
      <c r="AY51" s="76">
        <f t="shared" si="74"/>
        <v>7434</v>
      </c>
      <c r="AZ51" s="75">
        <f t="shared" si="74"/>
        <v>7434</v>
      </c>
      <c r="BA51" s="76">
        <f t="shared" si="74"/>
        <v>11024</v>
      </c>
      <c r="BB51" s="76">
        <f t="shared" si="74"/>
        <v>15135</v>
      </c>
      <c r="BC51" s="76">
        <f t="shared" si="74"/>
        <v>14315</v>
      </c>
      <c r="BD51" s="203">
        <f t="shared" si="74"/>
        <v>27342.803481913928</v>
      </c>
      <c r="BE51" s="253">
        <f t="shared" si="74"/>
        <v>27342.803481913928</v>
      </c>
      <c r="BF51" s="203">
        <f t="shared" si="74"/>
        <v>37766.661938864214</v>
      </c>
      <c r="BG51" s="203">
        <f t="shared" si="74"/>
        <v>45346.814393894252</v>
      </c>
      <c r="BH51" s="203">
        <f t="shared" si="74"/>
        <v>58863.954659304116</v>
      </c>
      <c r="BI51" s="203">
        <f t="shared" si="74"/>
        <v>71771.915296181891</v>
      </c>
      <c r="BJ51" s="253">
        <f t="shared" si="74"/>
        <v>71771.915296181891</v>
      </c>
      <c r="BK51" s="253">
        <f t="shared" ref="BK51:BM51" si="75">(BK12)-(BK25)</f>
        <v>124557.45763502916</v>
      </c>
      <c r="BL51" s="253">
        <f t="shared" si="75"/>
        <v>182021.94043734082</v>
      </c>
      <c r="BM51" s="253">
        <f t="shared" si="75"/>
        <v>248971.45579577144</v>
      </c>
    </row>
    <row r="52" spans="1:65" ht="16.5" x14ac:dyDescent="0.3">
      <c r="A52" t="s">
        <v>165</v>
      </c>
      <c r="D52" s="105"/>
      <c r="AK52" s="105">
        <f>AK51-AF51</f>
        <v>-2174</v>
      </c>
      <c r="AP52" s="75">
        <f>AP51-AK51</f>
        <v>12966</v>
      </c>
      <c r="AQ52" s="76"/>
      <c r="AR52" s="76"/>
      <c r="AS52" s="81"/>
      <c r="AT52" s="76"/>
      <c r="AU52" s="75">
        <f>AU51-AP51</f>
        <v>-27916</v>
      </c>
      <c r="AV52" s="76"/>
      <c r="AW52" s="81"/>
      <c r="AX52" s="76"/>
      <c r="AY52" s="76"/>
      <c r="AZ52" s="75">
        <f>AZ51-AU51</f>
        <v>16036</v>
      </c>
      <c r="BA52" s="76"/>
      <c r="BB52" s="76"/>
      <c r="BC52" s="76"/>
      <c r="BD52" s="76"/>
      <c r="BE52" s="253">
        <f>BE51-AZ51</f>
        <v>19908.803481913928</v>
      </c>
      <c r="BF52" s="141"/>
      <c r="BG52" s="141"/>
      <c r="BH52" s="141"/>
      <c r="BI52" s="141"/>
      <c r="BJ52" s="253">
        <f>BJ51-BE51</f>
        <v>44429.111814267962</v>
      </c>
      <c r="BK52" s="253">
        <f t="shared" ref="BK52:BM52" si="76">BK51-BF51</f>
        <v>86790.795696164947</v>
      </c>
      <c r="BL52" s="253">
        <f t="shared" si="76"/>
        <v>136675.12604344657</v>
      </c>
      <c r="BM52" s="253">
        <f t="shared" si="76"/>
        <v>190107.50113646733</v>
      </c>
    </row>
    <row r="55" spans="1:65" x14ac:dyDescent="0.25">
      <c r="A55" s="148"/>
    </row>
    <row r="56" spans="1:65" x14ac:dyDescent="0.25">
      <c r="A56" s="148"/>
    </row>
    <row r="57" spans="1:65" x14ac:dyDescent="0.25">
      <c r="A57" s="14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B287-584E-4150-ADB5-741209656DC5}">
  <dimension ref="A1"/>
  <sheetViews>
    <sheetView workbookViewId="0"/>
  </sheetViews>
  <sheetFormatPr defaultRowHeight="15" x14ac:dyDescent="0.25"/>
  <sheetData>
    <row r="1" spans="1:1" x14ac:dyDescent="0.25">
      <c r="A1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6C416-024B-4D03-9758-414E0E566E3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C8449-8F4F-42A2-96E4-8ED01CC2E954}">
  <dimension ref="A1:BM5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2" sqref="A12"/>
    </sheetView>
  </sheetViews>
  <sheetFormatPr defaultRowHeight="15" outlineLevelCol="2" x14ac:dyDescent="0.25"/>
  <cols>
    <col min="1" max="1" width="18.28515625" customWidth="1"/>
    <col min="2" max="2" width="17.28515625" customWidth="1"/>
    <col min="5" max="12" width="9.140625" hidden="1" customWidth="1" outlineLevel="1"/>
    <col min="13" max="13" width="9.42578125" hidden="1" customWidth="1" outlineLevel="2"/>
    <col min="14" max="16" width="9.140625" hidden="1" customWidth="1" outlineLevel="2"/>
    <col min="17" max="17" width="10.28515625" hidden="1" customWidth="1" outlineLevel="1" collapsed="1"/>
    <col min="18" max="18" width="9.42578125" hidden="1" customWidth="1" outlineLevel="2"/>
    <col min="19" max="21" width="9.140625" hidden="1" customWidth="1" outlineLevel="2"/>
    <col min="22" max="22" width="9.140625" hidden="1" customWidth="1" outlineLevel="1" collapsed="1"/>
    <col min="23" max="23" width="9.42578125" hidden="1" customWidth="1" outlineLevel="2"/>
    <col min="24" max="25" width="9.140625" hidden="1" customWidth="1" outlineLevel="2"/>
    <col min="26" max="26" width="9.7109375" hidden="1" customWidth="1" outlineLevel="2"/>
    <col min="27" max="27" width="10.28515625" hidden="1" customWidth="1" outlineLevel="1" collapsed="1"/>
    <col min="28" max="28" width="9.42578125" hidden="1" customWidth="1" outlineLevel="2"/>
    <col min="29" max="30" width="9.140625" hidden="1" customWidth="1" outlineLevel="2"/>
    <col min="31" max="31" width="9.7109375" hidden="1" customWidth="1" outlineLevel="2"/>
    <col min="32" max="32" width="10.28515625" hidden="1" customWidth="1" outlineLevel="1" collapsed="1"/>
    <col min="33" max="33" width="9.42578125" hidden="1" customWidth="1" outlineLevel="2"/>
    <col min="34" max="34" width="9.7109375" hidden="1" customWidth="1" outlineLevel="2"/>
    <col min="35" max="35" width="9.140625" hidden="1" customWidth="1" outlineLevel="2"/>
    <col min="36" max="36" width="9.7109375" hidden="1" customWidth="1" outlineLevel="2"/>
    <col min="37" max="37" width="10.28515625" hidden="1" customWidth="1" outlineLevel="1" collapsed="1"/>
    <col min="38" max="38" width="10.85546875" hidden="1" customWidth="1" outlineLevel="2"/>
    <col min="39" max="40" width="9.42578125" hidden="1" customWidth="1" outlineLevel="2"/>
    <col min="41" max="41" width="9.140625" hidden="1" customWidth="1" outlineLevel="2"/>
    <col min="42" max="42" width="11.28515625" bestFit="1" customWidth="1" collapsed="1"/>
    <col min="43" max="43" width="10.5703125" hidden="1" customWidth="1" outlineLevel="1"/>
    <col min="44" max="45" width="9.42578125" hidden="1" customWidth="1" outlineLevel="1"/>
    <col min="46" max="46" width="9.7109375" hidden="1" customWidth="1" outlineLevel="1"/>
    <col min="47" max="47" width="11.28515625" bestFit="1" customWidth="1" collapsed="1"/>
    <col min="48" max="48" width="9.42578125" hidden="1" customWidth="1" outlineLevel="1"/>
    <col min="49" max="50" width="9.140625" hidden="1" customWidth="1" outlineLevel="1"/>
    <col min="51" max="51" width="9.7109375" hidden="1" customWidth="1" outlineLevel="1"/>
    <col min="52" max="52" width="10.28515625" bestFit="1" customWidth="1" collapsed="1"/>
    <col min="53" max="53" width="10.85546875" hidden="1" customWidth="1" outlineLevel="1"/>
    <col min="54" max="55" width="9.140625" hidden="1" customWidth="1" outlineLevel="1"/>
    <col min="56" max="56" width="10.85546875" hidden="1" customWidth="1" outlineLevel="1"/>
    <col min="57" max="57" width="11.5703125" bestFit="1" customWidth="1" collapsed="1"/>
    <col min="58" max="61" width="10.85546875" hidden="1" customWidth="1" outlineLevel="1"/>
    <col min="62" max="62" width="11.5703125" bestFit="1" customWidth="1" collapsed="1"/>
  </cols>
  <sheetData>
    <row r="1" spans="1:65" ht="16.5" x14ac:dyDescent="0.3">
      <c r="A1" s="122" t="s">
        <v>10</v>
      </c>
      <c r="B1" s="2"/>
      <c r="C1" s="2"/>
      <c r="D1" s="4"/>
    </row>
    <row r="2" spans="1:65" ht="16.5" x14ac:dyDescent="0.3">
      <c r="A2" s="1" t="s">
        <v>96</v>
      </c>
      <c r="B2" s="1"/>
      <c r="C2" s="1"/>
      <c r="D2" s="4"/>
    </row>
    <row r="3" spans="1:65" ht="16.5" x14ac:dyDescent="0.3">
      <c r="A3" s="3" t="s">
        <v>104</v>
      </c>
      <c r="B3" s="3"/>
      <c r="C3" s="3"/>
      <c r="D3" s="4"/>
    </row>
    <row r="4" spans="1:65" ht="16.5" x14ac:dyDescent="0.3">
      <c r="A4" s="4"/>
      <c r="B4" s="4"/>
      <c r="C4" s="4"/>
      <c r="D4" s="4"/>
    </row>
    <row r="5" spans="1:65" ht="16.5" x14ac:dyDescent="0.3">
      <c r="A5" s="4"/>
      <c r="B5" s="4"/>
      <c r="C5" s="4"/>
      <c r="D5" s="4"/>
      <c r="BD5" s="66" t="s">
        <v>43</v>
      </c>
      <c r="BE5" s="66" t="s">
        <v>43</v>
      </c>
      <c r="BF5" s="66" t="s">
        <v>43</v>
      </c>
      <c r="BG5" s="66" t="s">
        <v>43</v>
      </c>
      <c r="BH5" s="66" t="s">
        <v>43</v>
      </c>
      <c r="BI5" s="66" t="s">
        <v>43</v>
      </c>
      <c r="BJ5" s="66" t="s">
        <v>43</v>
      </c>
      <c r="BK5" s="66" t="s">
        <v>43</v>
      </c>
      <c r="BL5" s="66" t="s">
        <v>43</v>
      </c>
      <c r="BM5" s="66" t="s">
        <v>43</v>
      </c>
    </row>
    <row r="6" spans="1:65" ht="16.5" x14ac:dyDescent="0.3">
      <c r="A6" s="5" t="s">
        <v>0</v>
      </c>
      <c r="B6" s="6"/>
      <c r="C6" s="6"/>
      <c r="D6" s="6" t="s">
        <v>0</v>
      </c>
      <c r="E6" s="27">
        <v>2008</v>
      </c>
      <c r="F6" s="27">
        <v>2009</v>
      </c>
      <c r="G6" s="27">
        <v>2010</v>
      </c>
      <c r="H6" s="27">
        <v>2011</v>
      </c>
      <c r="I6" s="27">
        <v>2012</v>
      </c>
      <c r="J6" s="27">
        <v>2013</v>
      </c>
      <c r="K6" s="27">
        <v>2014</v>
      </c>
      <c r="L6" s="27">
        <v>2015</v>
      </c>
      <c r="M6" s="28">
        <v>42460</v>
      </c>
      <c r="N6" s="28">
        <v>42551</v>
      </c>
      <c r="O6" s="28">
        <v>42643</v>
      </c>
      <c r="P6" s="28">
        <v>42735</v>
      </c>
      <c r="Q6" s="27">
        <v>2016</v>
      </c>
      <c r="R6" s="82">
        <v>42825</v>
      </c>
      <c r="S6" s="82">
        <v>42916</v>
      </c>
      <c r="T6" s="82">
        <v>43008</v>
      </c>
      <c r="U6" s="82">
        <v>43100</v>
      </c>
      <c r="V6" s="27">
        <v>2017</v>
      </c>
      <c r="W6" s="28">
        <v>43190</v>
      </c>
      <c r="X6" s="28">
        <v>43281</v>
      </c>
      <c r="Y6" s="28">
        <v>43373</v>
      </c>
      <c r="Z6" s="28">
        <v>43465</v>
      </c>
      <c r="AA6" s="27">
        <v>2018</v>
      </c>
      <c r="AB6" s="28">
        <v>43555</v>
      </c>
      <c r="AC6" s="28">
        <v>43646</v>
      </c>
      <c r="AD6" s="28">
        <v>43738</v>
      </c>
      <c r="AE6" s="28">
        <v>43830</v>
      </c>
      <c r="AF6" s="27">
        <v>2019</v>
      </c>
      <c r="AG6" s="28">
        <v>43921</v>
      </c>
      <c r="AH6" s="28">
        <v>44012</v>
      </c>
      <c r="AI6" s="28">
        <v>44104</v>
      </c>
      <c r="AJ6" s="28">
        <v>44196</v>
      </c>
      <c r="AK6" s="27">
        <v>2020</v>
      </c>
      <c r="AL6" s="28">
        <v>44286</v>
      </c>
      <c r="AM6" s="28">
        <v>44377</v>
      </c>
      <c r="AN6" s="28">
        <v>44469</v>
      </c>
      <c r="AO6" s="28">
        <v>44561</v>
      </c>
      <c r="AP6" s="27">
        <v>2021</v>
      </c>
      <c r="AQ6" s="28">
        <v>44651</v>
      </c>
      <c r="AR6" s="28">
        <v>44742</v>
      </c>
      <c r="AS6" s="28">
        <v>44834</v>
      </c>
      <c r="AT6" s="28">
        <v>44926</v>
      </c>
      <c r="AU6" s="27">
        <v>2022</v>
      </c>
      <c r="AV6" s="28">
        <v>45016</v>
      </c>
      <c r="AW6" s="28">
        <v>45107</v>
      </c>
      <c r="AX6" s="28">
        <v>45199</v>
      </c>
      <c r="AY6" s="28">
        <v>45291</v>
      </c>
      <c r="AZ6" s="27">
        <v>2023</v>
      </c>
      <c r="BA6" s="28">
        <v>45382</v>
      </c>
      <c r="BB6" s="28">
        <v>45473</v>
      </c>
      <c r="BC6" s="28">
        <v>45565</v>
      </c>
      <c r="BD6" s="28">
        <v>45657</v>
      </c>
      <c r="BE6" s="27">
        <v>2024</v>
      </c>
      <c r="BF6" s="28">
        <v>45747</v>
      </c>
      <c r="BG6" s="28">
        <v>45838</v>
      </c>
      <c r="BH6" s="28">
        <v>45930</v>
      </c>
      <c r="BI6" s="28">
        <v>46022</v>
      </c>
      <c r="BJ6" s="27">
        <v>2025</v>
      </c>
      <c r="BK6" s="27">
        <v>2026</v>
      </c>
      <c r="BL6" s="27">
        <v>2027</v>
      </c>
      <c r="BM6" s="27">
        <v>2028</v>
      </c>
    </row>
    <row r="7" spans="1:65" ht="16.5" x14ac:dyDescent="0.3">
      <c r="A7" s="4"/>
      <c r="B7" s="4"/>
      <c r="C7" s="4"/>
      <c r="D7" s="4"/>
      <c r="BE7" s="22"/>
      <c r="BJ7" s="22"/>
      <c r="BK7" s="22"/>
      <c r="BL7" s="22"/>
      <c r="BM7" s="22"/>
    </row>
    <row r="8" spans="1:65" ht="16.5" x14ac:dyDescent="0.3">
      <c r="A8" s="4" t="s">
        <v>167</v>
      </c>
      <c r="B8" s="4"/>
      <c r="C8" s="4"/>
      <c r="D8" s="4"/>
      <c r="E8" s="22">
        <f>IS!E31</f>
        <v>645</v>
      </c>
      <c r="F8" s="2">
        <f>IS!F31</f>
        <v>902</v>
      </c>
      <c r="G8" s="22">
        <f>IS!G31</f>
        <v>1152</v>
      </c>
      <c r="H8" s="2">
        <f>IS!H31</f>
        <v>631</v>
      </c>
      <c r="I8" s="2">
        <f>IS!I31</f>
        <v>-39</v>
      </c>
      <c r="J8" s="2">
        <f>IS!J31</f>
        <v>274</v>
      </c>
      <c r="K8" s="2">
        <f>IS!K31</f>
        <v>-241</v>
      </c>
      <c r="L8" s="2">
        <f>IS!L31</f>
        <v>596</v>
      </c>
      <c r="M8" s="29">
        <f>IS!M31</f>
        <v>513</v>
      </c>
      <c r="N8" s="29">
        <f>IS!N31</f>
        <v>857</v>
      </c>
      <c r="O8" s="29">
        <f>IS!O31</f>
        <v>252</v>
      </c>
      <c r="P8" s="29">
        <f>IS!P31</f>
        <v>749</v>
      </c>
      <c r="Q8" s="22">
        <f>IS!Q31</f>
        <v>2371</v>
      </c>
      <c r="R8" s="29">
        <f>IS!R31</f>
        <v>724</v>
      </c>
      <c r="S8" s="29">
        <f>IS!S31</f>
        <v>197</v>
      </c>
      <c r="T8" s="29">
        <f>IS!T31</f>
        <v>256</v>
      </c>
      <c r="U8" s="30">
        <f>IS!U31</f>
        <v>1856</v>
      </c>
      <c r="V8" s="22">
        <f>IS!V31</f>
        <v>3033</v>
      </c>
      <c r="W8" s="30">
        <f>IS!W31</f>
        <v>1629</v>
      </c>
      <c r="X8" s="30">
        <f>IS!X31</f>
        <v>2534</v>
      </c>
      <c r="Y8" s="30">
        <f>IS!Y31</f>
        <v>2883</v>
      </c>
      <c r="Z8" s="30">
        <f>IS!Z31</f>
        <v>3027</v>
      </c>
      <c r="AA8" s="22">
        <f>IS!AA31</f>
        <v>10073</v>
      </c>
      <c r="AB8" s="30">
        <f>IS!AB31</f>
        <v>3561</v>
      </c>
      <c r="AC8" s="30">
        <f>IS!AC31</f>
        <v>2625</v>
      </c>
      <c r="AD8" s="30">
        <f>IS!AD31</f>
        <v>2134</v>
      </c>
      <c r="AE8" s="30">
        <f>IS!AE31</f>
        <v>3268</v>
      </c>
      <c r="AF8" s="22">
        <f>IS!AF31</f>
        <v>11588</v>
      </c>
      <c r="AG8" s="30">
        <f>IS!AG31</f>
        <v>2535</v>
      </c>
      <c r="AH8" s="30">
        <f>IS!AH31</f>
        <v>5243</v>
      </c>
      <c r="AI8" s="30">
        <f>IS!AI31</f>
        <v>6331</v>
      </c>
      <c r="AJ8" s="30">
        <f>IS!AJ31</f>
        <v>7222</v>
      </c>
      <c r="AK8" s="22">
        <f>IS!AK31</f>
        <v>21331</v>
      </c>
      <c r="AL8" s="99">
        <f>IS!AL31</f>
        <v>8107</v>
      </c>
      <c r="AM8" s="99">
        <f>IS!AM31</f>
        <v>7778</v>
      </c>
      <c r="AN8" s="30">
        <f>IS!AN31</f>
        <v>3156</v>
      </c>
      <c r="AO8" s="29">
        <f>IS!AO31</f>
        <v>14323</v>
      </c>
      <c r="AP8" s="22">
        <f>IS!AP31</f>
        <v>33364</v>
      </c>
      <c r="AQ8" s="99">
        <f>IS!AQ31</f>
        <v>-3844</v>
      </c>
      <c r="AR8" s="99">
        <f>IS!AR31</f>
        <v>-2028</v>
      </c>
      <c r="AS8" s="99">
        <f>IS!AS31</f>
        <v>2872</v>
      </c>
      <c r="AT8" s="29">
        <f>IS!AT31</f>
        <v>278</v>
      </c>
      <c r="AU8" s="22">
        <f>IS!AU31</f>
        <v>-2722</v>
      </c>
      <c r="AV8" s="30">
        <f>IS!AV31</f>
        <v>3172</v>
      </c>
      <c r="AW8" s="30">
        <f>IS!AW31</f>
        <v>6750</v>
      </c>
      <c r="AX8" s="30">
        <f>IS!AX31</f>
        <v>9879</v>
      </c>
      <c r="AY8" s="30">
        <f>IS!AY31</f>
        <v>10624</v>
      </c>
      <c r="AZ8" s="22">
        <f>IS!AZ31</f>
        <v>30425</v>
      </c>
      <c r="BA8" s="30">
        <f>IS!BA31</f>
        <v>10431</v>
      </c>
      <c r="BB8" s="30">
        <f>IS!BB31</f>
        <v>13485</v>
      </c>
      <c r="BC8" s="30">
        <f>IS!BC31</f>
        <v>15328</v>
      </c>
      <c r="BD8" s="194">
        <f>IS!BD31</f>
        <v>13654.854479063239</v>
      </c>
      <c r="BE8" s="141">
        <f>IS!BE31</f>
        <v>52898.854479063411</v>
      </c>
      <c r="BF8" s="189">
        <f>IS!BF31</f>
        <v>12694.289558399994</v>
      </c>
      <c r="BG8" s="189">
        <f>IS!BG31</f>
        <v>13118.9042568</v>
      </c>
      <c r="BH8" s="189">
        <f>IS!BH31</f>
        <v>14078.110849200008</v>
      </c>
      <c r="BI8" s="189">
        <f>IS!BI31</f>
        <v>16624.01361070936</v>
      </c>
      <c r="BJ8" s="141">
        <f>IS!BJ31</f>
        <v>56515.318275109239</v>
      </c>
      <c r="BK8" s="141">
        <f>IS!BK31</f>
        <v>61189.496914587333</v>
      </c>
      <c r="BL8" s="141">
        <f>IS!BL31</f>
        <v>63682.491258802351</v>
      </c>
      <c r="BM8" s="141">
        <f>IS!BM31</f>
        <v>69826.479190235696</v>
      </c>
    </row>
    <row r="9" spans="1:65" ht="16.5" x14ac:dyDescent="0.3">
      <c r="A9" s="4" t="s">
        <v>168</v>
      </c>
      <c r="B9" s="4"/>
      <c r="C9" s="4"/>
      <c r="D9" s="4"/>
      <c r="E9" s="2">
        <v>287</v>
      </c>
      <c r="F9" s="2">
        <v>378</v>
      </c>
      <c r="G9" s="2">
        <v>568</v>
      </c>
      <c r="H9" s="22">
        <v>1083</v>
      </c>
      <c r="I9" s="22">
        <v>2159</v>
      </c>
      <c r="J9" s="22">
        <v>3253</v>
      </c>
      <c r="K9" s="22">
        <v>4746</v>
      </c>
      <c r="L9" s="22">
        <v>6281</v>
      </c>
      <c r="M9" s="30">
        <v>1827</v>
      </c>
      <c r="N9" s="30">
        <v>1909</v>
      </c>
      <c r="O9" s="30">
        <v>2084</v>
      </c>
      <c r="P9" s="30">
        <v>2297</v>
      </c>
      <c r="Q9" s="22">
        <v>8117</v>
      </c>
      <c r="R9" s="30">
        <v>2435</v>
      </c>
      <c r="S9" s="30">
        <v>2633</v>
      </c>
      <c r="T9" s="30">
        <v>2912</v>
      </c>
      <c r="U9" s="30">
        <v>3498</v>
      </c>
      <c r="V9" s="22">
        <v>11478</v>
      </c>
      <c r="W9" s="30">
        <v>3671</v>
      </c>
      <c r="X9" s="30">
        <v>3630</v>
      </c>
      <c r="Y9" s="30">
        <v>3778</v>
      </c>
      <c r="Z9" s="30">
        <v>4262</v>
      </c>
      <c r="AA9" s="22">
        <v>15341</v>
      </c>
      <c r="AB9" s="30">
        <v>4854</v>
      </c>
      <c r="AC9" s="30">
        <v>5202</v>
      </c>
      <c r="AD9" s="30">
        <v>5563</v>
      </c>
      <c r="AE9" s="30">
        <v>6170</v>
      </c>
      <c r="AF9" s="22">
        <v>21789</v>
      </c>
      <c r="AG9" s="30">
        <v>5362</v>
      </c>
      <c r="AH9" s="30">
        <v>5748</v>
      </c>
      <c r="AI9" s="30">
        <v>6523</v>
      </c>
      <c r="AJ9" s="30">
        <v>7618</v>
      </c>
      <c r="AK9" s="22">
        <v>25251</v>
      </c>
      <c r="AL9" s="30">
        <v>7508</v>
      </c>
      <c r="AM9" s="30">
        <v>8038</v>
      </c>
      <c r="AN9" s="30">
        <v>8948</v>
      </c>
      <c r="AO9" s="30">
        <v>9802</v>
      </c>
      <c r="AP9" s="22">
        <v>34296</v>
      </c>
      <c r="AQ9" s="30">
        <v>8978</v>
      </c>
      <c r="AR9" s="30">
        <v>9594</v>
      </c>
      <c r="AS9" s="30">
        <v>10204</v>
      </c>
      <c r="AT9" s="30">
        <v>12685</v>
      </c>
      <c r="AU9" s="22">
        <f>SUM(AQ9:AT9)</f>
        <v>41461</v>
      </c>
      <c r="AV9" s="30">
        <v>11123</v>
      </c>
      <c r="AW9" s="30">
        <v>11589</v>
      </c>
      <c r="AX9" s="30">
        <v>12131</v>
      </c>
      <c r="AY9" s="30">
        <v>13820</v>
      </c>
      <c r="AZ9" s="22">
        <f>SUM(AV9:AY9)</f>
        <v>48663</v>
      </c>
      <c r="BA9" s="30">
        <v>11684</v>
      </c>
      <c r="BB9" s="30">
        <v>12038</v>
      </c>
      <c r="BC9" s="30">
        <v>13442</v>
      </c>
      <c r="BD9" s="194">
        <f>BC9*(AY9/AX9)</f>
        <v>15313.530624021103</v>
      </c>
      <c r="BE9" s="141">
        <f>SUM(BA9:BD9)</f>
        <v>52477.530624021107</v>
      </c>
      <c r="BF9" s="189">
        <f>BD9*(BA9/AY9)</f>
        <v>12946.69260572088</v>
      </c>
      <c r="BG9" s="189">
        <f t="shared" ref="BG9:BI9" si="0">BF9*(BB9/BA9)</f>
        <v>13338.949468304345</v>
      </c>
      <c r="BH9" s="189">
        <f t="shared" si="0"/>
        <v>14894.680075838762</v>
      </c>
      <c r="BI9" s="189">
        <f t="shared" si="0"/>
        <v>16968.467451000881</v>
      </c>
      <c r="BJ9" s="141">
        <f>SUM(BF9:BI9)</f>
        <v>58148.789600864868</v>
      </c>
      <c r="BK9" s="141">
        <f>'Assumptions + Estimates'!P41*IS!BK15</f>
        <v>76688.177609459031</v>
      </c>
      <c r="BL9" s="141">
        <f>'Assumptions + Estimates'!Q41*IS!BL15</f>
        <v>88168.006094069686</v>
      </c>
      <c r="BM9" s="141">
        <f>'Assumptions + Estimates'!R41*IS!BM15</f>
        <v>101277.85747528901</v>
      </c>
    </row>
    <row r="10" spans="1:65" ht="16.5" x14ac:dyDescent="0.3">
      <c r="A10" s="4" t="s">
        <v>169</v>
      </c>
      <c r="B10" s="4"/>
      <c r="C10" s="4"/>
      <c r="D10" s="4"/>
      <c r="E10" s="2">
        <v>275</v>
      </c>
      <c r="F10" s="2">
        <v>341</v>
      </c>
      <c r="G10" s="2">
        <v>424</v>
      </c>
      <c r="H10" s="2">
        <v>557</v>
      </c>
      <c r="I10" s="2">
        <v>833</v>
      </c>
      <c r="J10" s="22">
        <v>1134</v>
      </c>
      <c r="K10" s="22">
        <v>1497</v>
      </c>
      <c r="L10" s="22">
        <v>2119</v>
      </c>
      <c r="M10" s="29">
        <v>544</v>
      </c>
      <c r="N10" s="29">
        <v>768</v>
      </c>
      <c r="O10" s="29">
        <v>776</v>
      </c>
      <c r="P10" s="29">
        <v>887</v>
      </c>
      <c r="Q10" s="22">
        <v>2975</v>
      </c>
      <c r="R10" s="29">
        <v>792</v>
      </c>
      <c r="S10" s="30">
        <v>1158</v>
      </c>
      <c r="T10" s="30">
        <v>1085</v>
      </c>
      <c r="U10" s="30">
        <v>1179</v>
      </c>
      <c r="V10" s="22">
        <v>4214</v>
      </c>
      <c r="W10" s="30">
        <v>1182</v>
      </c>
      <c r="X10" s="30">
        <v>1468</v>
      </c>
      <c r="Y10" s="30">
        <v>1350</v>
      </c>
      <c r="Z10" s="30">
        <v>1417</v>
      </c>
      <c r="AA10" s="22">
        <v>5417</v>
      </c>
      <c r="AB10" s="30">
        <v>1274</v>
      </c>
      <c r="AC10" s="30">
        <v>1971</v>
      </c>
      <c r="AD10" s="30">
        <v>1779</v>
      </c>
      <c r="AE10" s="30">
        <v>1840</v>
      </c>
      <c r="AF10" s="22">
        <v>6864</v>
      </c>
      <c r="AG10" s="30">
        <v>1757</v>
      </c>
      <c r="AH10" s="30">
        <v>2601</v>
      </c>
      <c r="AI10" s="30">
        <v>2288</v>
      </c>
      <c r="AJ10" s="30">
        <v>2562</v>
      </c>
      <c r="AK10" s="22">
        <v>9208</v>
      </c>
      <c r="AL10" s="30">
        <v>2306</v>
      </c>
      <c r="AM10" s="30">
        <v>3591</v>
      </c>
      <c r="AN10" s="30">
        <v>3180</v>
      </c>
      <c r="AO10" s="30">
        <v>3680</v>
      </c>
      <c r="AP10" s="22">
        <v>12757</v>
      </c>
      <c r="AQ10" s="30">
        <v>3250</v>
      </c>
      <c r="AR10" s="30">
        <v>5209</v>
      </c>
      <c r="AS10" s="30">
        <v>5556</v>
      </c>
      <c r="AT10" s="30">
        <v>5606</v>
      </c>
      <c r="AU10" s="22">
        <f t="shared" ref="AU10:AU13" si="1">SUM(AQ10:AT10)</f>
        <v>19621</v>
      </c>
      <c r="AV10" s="30">
        <v>4748</v>
      </c>
      <c r="AW10" s="30">
        <v>7127</v>
      </c>
      <c r="AX10" s="30">
        <v>5829</v>
      </c>
      <c r="AY10" s="30">
        <v>6319</v>
      </c>
      <c r="AZ10" s="22">
        <f t="shared" ref="AZ10:AZ13" si="2">SUM(AV10:AY10)</f>
        <v>24023</v>
      </c>
      <c r="BA10" s="30">
        <v>4961</v>
      </c>
      <c r="BB10" s="30">
        <v>6722</v>
      </c>
      <c r="BC10" s="30">
        <v>5333</v>
      </c>
      <c r="BD10" s="194">
        <f>BC10*(AY10/AX10)</f>
        <v>5781.3050265911816</v>
      </c>
      <c r="BE10" s="141">
        <f t="shared" ref="BE10:BE13" si="3">SUM(BA10:BD10)</f>
        <v>22797.305026591181</v>
      </c>
      <c r="BF10" s="189">
        <f>BD10*(BA10/AY10)</f>
        <v>4538.8596671813339</v>
      </c>
      <c r="BG10" s="189">
        <f t="shared" ref="BG10:BI10" si="4">BF10*(BB10/BA10)</f>
        <v>6150.0130382569896</v>
      </c>
      <c r="BH10" s="189">
        <f t="shared" si="4"/>
        <v>4879.2055241036187</v>
      </c>
      <c r="BI10" s="189">
        <f t="shared" si="4"/>
        <v>5289.3634768932516</v>
      </c>
      <c r="BJ10" s="141">
        <f t="shared" ref="BJ10:BJ13" si="5">SUM(BF10:BI10)</f>
        <v>20857.441706435195</v>
      </c>
      <c r="BK10" s="141">
        <f>BJ10*(BJ10/BE10)</f>
        <v>19082.644813933588</v>
      </c>
      <c r="BL10" s="141">
        <f>BK10*(BK10/BJ10)</f>
        <v>17458.868552531792</v>
      </c>
      <c r="BM10" s="141">
        <f>BL10*(BL10/BK10)</f>
        <v>15973.262307540237</v>
      </c>
    </row>
    <row r="11" spans="1:65" ht="16.5" x14ac:dyDescent="0.3">
      <c r="A11" s="4" t="s">
        <v>170</v>
      </c>
      <c r="B11" s="4"/>
      <c r="C11" s="4"/>
      <c r="D11" s="4"/>
      <c r="E11" s="2">
        <v>-24</v>
      </c>
      <c r="F11" s="2">
        <v>103</v>
      </c>
      <c r="G11" s="2">
        <v>106</v>
      </c>
      <c r="H11" s="2">
        <v>154</v>
      </c>
      <c r="I11" s="2">
        <v>154</v>
      </c>
      <c r="J11" s="2">
        <v>114</v>
      </c>
      <c r="K11" s="2">
        <v>129</v>
      </c>
      <c r="L11" s="2">
        <v>155</v>
      </c>
      <c r="M11" s="29">
        <v>43</v>
      </c>
      <c r="N11" s="29">
        <v>53</v>
      </c>
      <c r="O11" s="29">
        <v>31</v>
      </c>
      <c r="P11" s="29">
        <v>31</v>
      </c>
      <c r="Q11" s="2">
        <v>158</v>
      </c>
      <c r="R11" s="29">
        <v>42</v>
      </c>
      <c r="S11" s="29">
        <v>60</v>
      </c>
      <c r="T11" s="29">
        <v>43</v>
      </c>
      <c r="U11" s="29">
        <v>56</v>
      </c>
      <c r="V11" s="2">
        <v>201</v>
      </c>
      <c r="W11" s="29">
        <v>56</v>
      </c>
      <c r="X11" s="29">
        <v>85</v>
      </c>
      <c r="Y11" s="29">
        <v>62</v>
      </c>
      <c r="Z11" s="29">
        <v>72</v>
      </c>
      <c r="AA11" s="2">
        <v>275</v>
      </c>
      <c r="AB11" s="29">
        <v>-13</v>
      </c>
      <c r="AC11" s="29">
        <v>80</v>
      </c>
      <c r="AD11" s="29">
        <v>47</v>
      </c>
      <c r="AE11" s="29">
        <v>50</v>
      </c>
      <c r="AF11" s="2">
        <v>164</v>
      </c>
      <c r="AG11" s="29">
        <v>67</v>
      </c>
      <c r="AH11" s="29">
        <v>282</v>
      </c>
      <c r="AI11" s="29">
        <v>67</v>
      </c>
      <c r="AJ11" s="29">
        <v>-487</v>
      </c>
      <c r="AK11" s="2">
        <v>-71</v>
      </c>
      <c r="AL11" s="29">
        <v>30</v>
      </c>
      <c r="AM11" s="29">
        <v>18</v>
      </c>
      <c r="AN11" s="29">
        <v>24</v>
      </c>
      <c r="AO11" s="29">
        <v>65</v>
      </c>
      <c r="AP11" s="2">
        <v>137</v>
      </c>
      <c r="AQ11" s="29">
        <v>215</v>
      </c>
      <c r="AR11" s="29">
        <v>122</v>
      </c>
      <c r="AS11" s="29">
        <v>123</v>
      </c>
      <c r="AT11" s="29">
        <v>0</v>
      </c>
      <c r="AU11" s="22">
        <f t="shared" si="1"/>
        <v>460</v>
      </c>
      <c r="AV11" s="29">
        <v>534</v>
      </c>
      <c r="AW11" s="29">
        <v>47</v>
      </c>
      <c r="AX11" s="29">
        <v>-990</v>
      </c>
      <c r="AY11" s="29">
        <v>0</v>
      </c>
      <c r="AZ11" s="22">
        <f t="shared" si="2"/>
        <v>-409</v>
      </c>
      <c r="BA11" s="30">
        <v>2734</v>
      </c>
      <c r="BB11" s="29">
        <v>-95</v>
      </c>
      <c r="BC11" s="29">
        <v>-141</v>
      </c>
      <c r="BD11" s="194">
        <f>BC11*(AY11/AX11)</f>
        <v>0</v>
      </c>
      <c r="BE11" s="141">
        <f t="shared" si="3"/>
        <v>2498</v>
      </c>
      <c r="BF11" s="189">
        <v>0</v>
      </c>
      <c r="BG11" s="189">
        <v>0</v>
      </c>
      <c r="BH11" s="189">
        <v>0</v>
      </c>
      <c r="BI11" s="189">
        <f t="shared" ref="BI11" si="6">BH11*(BD11/BC11)</f>
        <v>0</v>
      </c>
      <c r="BJ11" s="141">
        <f t="shared" si="5"/>
        <v>0</v>
      </c>
      <c r="BK11" s="141">
        <v>0</v>
      </c>
      <c r="BL11" s="141">
        <v>0</v>
      </c>
      <c r="BM11" s="141">
        <v>0</v>
      </c>
    </row>
    <row r="12" spans="1:65" ht="16.5" x14ac:dyDescent="0.3">
      <c r="A12" s="4" t="s">
        <v>171</v>
      </c>
      <c r="B12" s="4"/>
      <c r="C12" s="4"/>
      <c r="D12" s="4"/>
      <c r="E12" s="2">
        <v>-195</v>
      </c>
      <c r="F12" s="2">
        <v>-124</v>
      </c>
      <c r="G12" s="2">
        <v>-340</v>
      </c>
      <c r="H12" s="2">
        <v>-122</v>
      </c>
      <c r="I12" s="2">
        <v>-185</v>
      </c>
      <c r="J12" s="2">
        <v>89</v>
      </c>
      <c r="K12" s="2">
        <v>53</v>
      </c>
      <c r="L12" s="2">
        <v>131</v>
      </c>
      <c r="M12" s="29">
        <v>-50</v>
      </c>
      <c r="N12" s="29">
        <v>32</v>
      </c>
      <c r="O12" s="29">
        <v>-23</v>
      </c>
      <c r="P12" s="29">
        <v>21</v>
      </c>
      <c r="Q12" s="2">
        <v>-20</v>
      </c>
      <c r="R12" s="29">
        <v>-40</v>
      </c>
      <c r="S12" s="29">
        <v>-120</v>
      </c>
      <c r="T12" s="29">
        <v>-128</v>
      </c>
      <c r="U12" s="29">
        <v>-5</v>
      </c>
      <c r="V12" s="2">
        <v>-293</v>
      </c>
      <c r="W12" s="29">
        <v>-184</v>
      </c>
      <c r="X12" s="29">
        <v>110</v>
      </c>
      <c r="Y12" s="29">
        <v>96</v>
      </c>
      <c r="Z12" s="29">
        <v>197</v>
      </c>
      <c r="AA12" s="2">
        <v>219</v>
      </c>
      <c r="AB12" s="29">
        <v>-135</v>
      </c>
      <c r="AC12" s="29">
        <v>-7</v>
      </c>
      <c r="AD12" s="29">
        <v>388</v>
      </c>
      <c r="AE12" s="29">
        <v>-494</v>
      </c>
      <c r="AF12" s="2">
        <v>-248</v>
      </c>
      <c r="AG12" s="29">
        <v>565</v>
      </c>
      <c r="AH12" s="29">
        <v>-769</v>
      </c>
      <c r="AI12" s="30">
        <v>-1051</v>
      </c>
      <c r="AJ12" s="30">
        <v>-1327</v>
      </c>
      <c r="AK12" s="22">
        <v>-2582</v>
      </c>
      <c r="AL12" s="30">
        <v>-1456</v>
      </c>
      <c r="AM12" s="30">
        <v>-1258</v>
      </c>
      <c r="AN12" s="29">
        <v>340</v>
      </c>
      <c r="AO12" s="30">
        <v>-11932</v>
      </c>
      <c r="AP12" s="22">
        <v>-14306</v>
      </c>
      <c r="AQ12" s="30">
        <v>8689</v>
      </c>
      <c r="AR12" s="30">
        <v>6104</v>
      </c>
      <c r="AS12" s="30">
        <v>-1272</v>
      </c>
      <c r="AT12" s="30">
        <v>3445</v>
      </c>
      <c r="AU12" s="22">
        <f t="shared" si="1"/>
        <v>16966</v>
      </c>
      <c r="AV12" s="29">
        <v>0</v>
      </c>
      <c r="AW12" s="29">
        <v>0</v>
      </c>
      <c r="AX12" s="29">
        <v>0</v>
      </c>
      <c r="AY12" s="29">
        <v>-339</v>
      </c>
      <c r="AZ12" s="22">
        <f t="shared" si="2"/>
        <v>-339</v>
      </c>
      <c r="BA12" s="29">
        <v>0</v>
      </c>
      <c r="BB12" s="29">
        <v>0</v>
      </c>
      <c r="BC12" s="29">
        <v>0</v>
      </c>
      <c r="BD12" s="194">
        <v>0</v>
      </c>
      <c r="BE12" s="141">
        <f t="shared" si="3"/>
        <v>0</v>
      </c>
      <c r="BF12" s="189">
        <v>0</v>
      </c>
      <c r="BG12" s="189">
        <v>0</v>
      </c>
      <c r="BH12" s="189">
        <v>0</v>
      </c>
      <c r="BI12" s="189">
        <v>0</v>
      </c>
      <c r="BJ12" s="141">
        <f t="shared" si="5"/>
        <v>0</v>
      </c>
      <c r="BK12" s="141">
        <v>0</v>
      </c>
      <c r="BL12" s="141">
        <v>0</v>
      </c>
      <c r="BM12" s="141">
        <v>0</v>
      </c>
    </row>
    <row r="13" spans="1:65" ht="16.5" x14ac:dyDescent="0.3">
      <c r="A13" s="4" t="s">
        <v>172</v>
      </c>
      <c r="B13" s="4"/>
      <c r="C13" s="4"/>
      <c r="D13" s="4"/>
      <c r="E13" s="2">
        <v>-5</v>
      </c>
      <c r="F13" s="2">
        <v>81</v>
      </c>
      <c r="G13" s="2">
        <v>4</v>
      </c>
      <c r="H13" s="2">
        <v>136</v>
      </c>
      <c r="I13" s="2">
        <v>-265</v>
      </c>
      <c r="J13" s="2">
        <v>-156</v>
      </c>
      <c r="K13" s="2">
        <v>-316</v>
      </c>
      <c r="L13" s="2">
        <v>81</v>
      </c>
      <c r="M13" s="29">
        <v>11</v>
      </c>
      <c r="N13" s="29">
        <v>106</v>
      </c>
      <c r="O13" s="29">
        <v>-81</v>
      </c>
      <c r="P13" s="29">
        <v>-282</v>
      </c>
      <c r="Q13" s="2">
        <v>-246</v>
      </c>
      <c r="R13" s="29">
        <v>-22</v>
      </c>
      <c r="S13" s="29">
        <v>376</v>
      </c>
      <c r="T13" s="29">
        <v>-74</v>
      </c>
      <c r="U13" s="29">
        <v>-308</v>
      </c>
      <c r="V13" s="2">
        <v>-28</v>
      </c>
      <c r="W13" s="29">
        <v>141</v>
      </c>
      <c r="X13" s="29">
        <v>-139</v>
      </c>
      <c r="Y13" s="29">
        <v>266</v>
      </c>
      <c r="Z13" s="29">
        <v>173</v>
      </c>
      <c r="AA13" s="2">
        <v>441</v>
      </c>
      <c r="AB13" s="29">
        <v>415</v>
      </c>
      <c r="AC13" s="29">
        <v>105</v>
      </c>
      <c r="AD13" s="29">
        <v>92</v>
      </c>
      <c r="AE13" s="29">
        <v>185</v>
      </c>
      <c r="AF13" s="2">
        <v>797</v>
      </c>
      <c r="AG13" s="29">
        <v>322</v>
      </c>
      <c r="AH13" s="29">
        <v>465</v>
      </c>
      <c r="AI13" s="29">
        <v>295</v>
      </c>
      <c r="AJ13" s="30">
        <v>-1636</v>
      </c>
      <c r="AK13" s="2">
        <v>-554</v>
      </c>
      <c r="AL13" s="30">
        <v>1703</v>
      </c>
      <c r="AM13" s="29">
        <v>701</v>
      </c>
      <c r="AN13" s="29">
        <v>909</v>
      </c>
      <c r="AO13" s="30">
        <v>-3623</v>
      </c>
      <c r="AP13" s="2">
        <v>-310</v>
      </c>
      <c r="AQ13" s="30">
        <v>-2001</v>
      </c>
      <c r="AR13" s="30">
        <v>-1955</v>
      </c>
      <c r="AS13" s="29">
        <v>-825</v>
      </c>
      <c r="AT13" s="30">
        <v>-3367</v>
      </c>
      <c r="AU13" s="22">
        <f t="shared" si="1"/>
        <v>-8148</v>
      </c>
      <c r="AV13" s="29">
        <v>-472</v>
      </c>
      <c r="AW13" s="30">
        <v>-2744</v>
      </c>
      <c r="AX13" s="30">
        <v>-1196</v>
      </c>
      <c r="AY13" s="30">
        <v>-1464</v>
      </c>
      <c r="AZ13" s="22">
        <f t="shared" si="2"/>
        <v>-5876</v>
      </c>
      <c r="BA13" s="29">
        <v>-938</v>
      </c>
      <c r="BB13" s="29">
        <v>-785</v>
      </c>
      <c r="BC13" s="30">
        <v>-1317</v>
      </c>
      <c r="BD13" s="194">
        <f>BC13*(AY13/AX13)</f>
        <v>-1612.1137123745821</v>
      </c>
      <c r="BE13" s="141">
        <f t="shared" si="3"/>
        <v>-4652.1137123745821</v>
      </c>
      <c r="BF13" s="189">
        <f>BD13*(BA13/AY13)</f>
        <v>-1032.8979933110368</v>
      </c>
      <c r="BG13" s="189">
        <f>BF13*(BB13/BA13)</f>
        <v>-864.41889632107029</v>
      </c>
      <c r="BH13" s="189">
        <f t="shared" ref="BH13" si="7">BG13*(BC13/BB13)</f>
        <v>-1450.2416387959868</v>
      </c>
      <c r="BI13" s="189">
        <f>BH13*(BD13/BC13)</f>
        <v>-1775.2121732419102</v>
      </c>
      <c r="BJ13" s="141">
        <f t="shared" si="5"/>
        <v>-5122.7707016700042</v>
      </c>
      <c r="BK13" s="141">
        <f>BJ13*(BJ13/BE13)</f>
        <v>-5641.044326170063</v>
      </c>
      <c r="BL13" s="141">
        <f>BK13*(BK13/BJ13)</f>
        <v>-6211.751987931415</v>
      </c>
      <c r="BM13" s="141">
        <f>BL13*(BL13/BK13)</f>
        <v>-6840.1984683157807</v>
      </c>
    </row>
    <row r="14" spans="1:65" ht="16.5" x14ac:dyDescent="0.3">
      <c r="A14" s="96" t="s">
        <v>173</v>
      </c>
      <c r="B14" s="96"/>
      <c r="C14" s="96"/>
      <c r="D14" s="4"/>
      <c r="E14" s="2"/>
      <c r="F14" s="2"/>
      <c r="G14" s="2"/>
      <c r="H14" s="2"/>
      <c r="I14" s="2"/>
      <c r="J14" s="2"/>
      <c r="K14" s="2"/>
      <c r="L14" s="2"/>
      <c r="M14" s="29"/>
      <c r="N14" s="29"/>
      <c r="O14" s="29"/>
      <c r="P14" s="29"/>
      <c r="Q14" s="2"/>
      <c r="R14" s="29"/>
      <c r="S14" s="29"/>
      <c r="T14" s="29"/>
      <c r="U14" s="29"/>
      <c r="V14" s="2"/>
      <c r="W14" s="29"/>
      <c r="X14" s="29"/>
      <c r="Y14" s="29"/>
      <c r="Z14" s="29"/>
      <c r="AA14" s="2"/>
      <c r="AB14" s="29"/>
      <c r="AC14" s="29"/>
      <c r="AD14" s="29"/>
      <c r="AE14" s="29"/>
      <c r="AF14" s="2"/>
      <c r="AG14" s="29"/>
      <c r="AH14" s="29"/>
      <c r="AI14" s="29"/>
      <c r="AJ14" s="29"/>
      <c r="AK14" s="2"/>
      <c r="AL14" s="29"/>
      <c r="AM14" s="29"/>
      <c r="AN14" s="29"/>
      <c r="AO14" s="29"/>
      <c r="AP14" s="2"/>
      <c r="AQ14" s="29"/>
      <c r="AR14" s="29"/>
      <c r="AS14" s="29"/>
      <c r="AT14" s="29"/>
      <c r="AU14" s="2"/>
      <c r="AV14" s="29"/>
      <c r="AW14" s="29"/>
      <c r="AX14" s="29"/>
      <c r="AY14" s="29"/>
      <c r="AZ14" s="2"/>
      <c r="BA14" s="29"/>
      <c r="BB14" s="29"/>
      <c r="BC14" s="29"/>
      <c r="BD14" s="29"/>
      <c r="BE14" s="251"/>
      <c r="BF14" s="191"/>
      <c r="BG14" s="191"/>
      <c r="BH14" s="191"/>
      <c r="BI14" s="191"/>
      <c r="BJ14" s="251"/>
      <c r="BK14" s="251"/>
      <c r="BL14" s="251"/>
      <c r="BM14" s="251"/>
    </row>
    <row r="15" spans="1:65" ht="16.5" x14ac:dyDescent="0.3">
      <c r="A15" s="97" t="s">
        <v>174</v>
      </c>
      <c r="B15" s="97"/>
      <c r="C15" s="97"/>
      <c r="D15" s="4"/>
      <c r="E15" s="2">
        <v>-232</v>
      </c>
      <c r="F15" s="2">
        <v>-531</v>
      </c>
      <c r="G15" s="22">
        <v>-1019</v>
      </c>
      <c r="H15" s="22">
        <v>-1777</v>
      </c>
      <c r="I15" s="2">
        <v>-999</v>
      </c>
      <c r="J15" s="22">
        <v>-1410</v>
      </c>
      <c r="K15" s="22">
        <v>-1193</v>
      </c>
      <c r="L15" s="22">
        <v>-2187</v>
      </c>
      <c r="M15" s="29">
        <v>769</v>
      </c>
      <c r="N15" s="29">
        <v>-57</v>
      </c>
      <c r="O15" s="30">
        <v>-1095</v>
      </c>
      <c r="P15" s="30">
        <v>-1043</v>
      </c>
      <c r="Q15" s="22">
        <v>-1426</v>
      </c>
      <c r="R15" s="29">
        <v>947</v>
      </c>
      <c r="S15" s="29">
        <v>-682</v>
      </c>
      <c r="T15" s="30">
        <v>-1593</v>
      </c>
      <c r="U15" s="30">
        <v>-2255</v>
      </c>
      <c r="V15" s="22">
        <v>-3583</v>
      </c>
      <c r="W15" s="30">
        <v>2220</v>
      </c>
      <c r="X15" s="30">
        <v>-1090</v>
      </c>
      <c r="Y15" s="30">
        <v>-1094</v>
      </c>
      <c r="Z15" s="30">
        <v>-1350</v>
      </c>
      <c r="AA15" s="22">
        <v>-1314</v>
      </c>
      <c r="AB15" s="29">
        <v>719</v>
      </c>
      <c r="AC15" s="30">
        <v>-2100</v>
      </c>
      <c r="AD15" s="29">
        <v>-381</v>
      </c>
      <c r="AE15" s="30">
        <v>-1516</v>
      </c>
      <c r="AF15" s="22">
        <v>-3278</v>
      </c>
      <c r="AG15" s="30">
        <v>1392</v>
      </c>
      <c r="AH15" s="29">
        <v>-672</v>
      </c>
      <c r="AI15" s="30">
        <v>-3899</v>
      </c>
      <c r="AJ15" s="29">
        <v>329</v>
      </c>
      <c r="AK15" s="22">
        <v>-2850</v>
      </c>
      <c r="AL15" s="29">
        <v>-304</v>
      </c>
      <c r="AM15" s="29">
        <v>-209</v>
      </c>
      <c r="AN15" s="30">
        <v>-7059</v>
      </c>
      <c r="AO15" s="30">
        <v>-1915</v>
      </c>
      <c r="AP15" s="22">
        <v>-9487</v>
      </c>
      <c r="AQ15" s="30">
        <v>-2614</v>
      </c>
      <c r="AR15" s="30">
        <v>-3890</v>
      </c>
      <c r="AS15" s="29">
        <v>732</v>
      </c>
      <c r="AT15" s="30">
        <v>3180</v>
      </c>
      <c r="AU15" s="22">
        <f t="shared" ref="AU15:AU19" si="8">SUM(AQ15:AT15)</f>
        <v>-2592</v>
      </c>
      <c r="AV15" s="29">
        <v>371</v>
      </c>
      <c r="AW15" s="30">
        <v>-2373</v>
      </c>
      <c r="AX15" s="29">
        <v>808</v>
      </c>
      <c r="AY15" s="30">
        <v>2643</v>
      </c>
      <c r="AZ15" s="22">
        <f t="shared" ref="AZ15:AZ19" si="9">SUM(AV15:AY15)</f>
        <v>1449</v>
      </c>
      <c r="BA15" s="30">
        <v>1776</v>
      </c>
      <c r="BB15" s="30">
        <v>-3085</v>
      </c>
      <c r="BC15" s="30">
        <v>-1509</v>
      </c>
      <c r="BD15" s="194">
        <f>-(BS!BD10-BS!BC10)</f>
        <v>-938.67799999999988</v>
      </c>
      <c r="BE15" s="141">
        <f t="shared" ref="BE15:BE19" si="10">SUM(BA15:BD15)</f>
        <v>-3756.6779999999999</v>
      </c>
      <c r="BF15" s="189">
        <f>-(BS!BF10-BS!BE10)</f>
        <v>-777.87523799999326</v>
      </c>
      <c r="BG15" s="189">
        <f>-(BS!BG10-BS!BF10)</f>
        <v>-794.21061799799645</v>
      </c>
      <c r="BH15" s="189">
        <f>-(BS!BH10-BS!BG10)</f>
        <v>-810.88904097595514</v>
      </c>
      <c r="BI15" s="189">
        <f>-(BS!BI10-BS!BH10)</f>
        <v>-827.91771083644562</v>
      </c>
      <c r="BJ15" s="141">
        <f t="shared" ref="BJ15:BJ19" si="11">SUM(BF15:BI15)</f>
        <v>-3210.8926078103905</v>
      </c>
      <c r="BK15" s="141">
        <f>-(BS!BK10-BS!BJ10)</f>
        <v>-805.05141215620824</v>
      </c>
      <c r="BL15" s="141">
        <f>-(BS!BL10-BS!BK10)</f>
        <v>-821.15244039933168</v>
      </c>
      <c r="BM15" s="141">
        <f>-(BS!BM10-BS!BL10)</f>
        <v>-837.57548920731642</v>
      </c>
    </row>
    <row r="16" spans="1:65" ht="16.5" x14ac:dyDescent="0.3">
      <c r="A16" s="97" t="s">
        <v>175</v>
      </c>
      <c r="B16" s="97"/>
      <c r="C16" s="97"/>
      <c r="D16" s="4"/>
      <c r="E16" s="2">
        <v>-218</v>
      </c>
      <c r="F16" s="2">
        <v>-481</v>
      </c>
      <c r="G16" s="2">
        <v>-295</v>
      </c>
      <c r="H16" s="2">
        <v>-866</v>
      </c>
      <c r="I16" s="2">
        <v>-861</v>
      </c>
      <c r="J16" s="2">
        <v>-846</v>
      </c>
      <c r="K16" s="22">
        <v>-1039</v>
      </c>
      <c r="L16" s="22">
        <v>-1755</v>
      </c>
      <c r="M16" s="29">
        <v>412</v>
      </c>
      <c r="N16" s="30">
        <v>-1184</v>
      </c>
      <c r="O16" s="29">
        <v>-671</v>
      </c>
      <c r="P16" s="30">
        <v>-1924</v>
      </c>
      <c r="Q16" s="22">
        <v>-3367</v>
      </c>
      <c r="R16" s="29">
        <v>965</v>
      </c>
      <c r="S16" s="30">
        <v>-1221</v>
      </c>
      <c r="T16" s="30">
        <v>-1760</v>
      </c>
      <c r="U16" s="30">
        <v>-2764</v>
      </c>
      <c r="V16" s="22">
        <v>-4780</v>
      </c>
      <c r="W16" s="30">
        <v>1029</v>
      </c>
      <c r="X16" s="30">
        <v>-1364</v>
      </c>
      <c r="Y16" s="30">
        <v>-2884</v>
      </c>
      <c r="Z16" s="30">
        <v>-1395</v>
      </c>
      <c r="AA16" s="22">
        <v>-4614</v>
      </c>
      <c r="AB16" s="29">
        <v>-401</v>
      </c>
      <c r="AC16" s="30">
        <v>-2193</v>
      </c>
      <c r="AD16" s="30">
        <v>-1181</v>
      </c>
      <c r="AE16" s="30">
        <v>-3906</v>
      </c>
      <c r="AF16" s="22">
        <v>-7681</v>
      </c>
      <c r="AG16" s="30">
        <v>1262</v>
      </c>
      <c r="AH16" s="30">
        <v>-2854</v>
      </c>
      <c r="AI16" s="30">
        <v>-2016</v>
      </c>
      <c r="AJ16" s="30">
        <v>-4560</v>
      </c>
      <c r="AK16" s="22">
        <v>-8168</v>
      </c>
      <c r="AL16" s="30">
        <v>-2255</v>
      </c>
      <c r="AM16" s="30">
        <v>-4462</v>
      </c>
      <c r="AN16" s="30">
        <v>-4890</v>
      </c>
      <c r="AO16" s="30">
        <v>-6556</v>
      </c>
      <c r="AP16" s="22">
        <v>-18163</v>
      </c>
      <c r="AQ16" s="30">
        <v>-1516</v>
      </c>
      <c r="AR16" s="30">
        <v>-6799</v>
      </c>
      <c r="AS16" s="30">
        <v>-4794</v>
      </c>
      <c r="AT16" s="30">
        <v>-8788</v>
      </c>
      <c r="AU16" s="22">
        <f t="shared" si="8"/>
        <v>-21897</v>
      </c>
      <c r="AV16" s="30">
        <v>1521</v>
      </c>
      <c r="AW16" s="30">
        <v>-5167</v>
      </c>
      <c r="AX16" s="30">
        <v>-6718</v>
      </c>
      <c r="AY16" s="30">
        <v>-7447</v>
      </c>
      <c r="AZ16" s="22">
        <f t="shared" si="9"/>
        <v>-17811</v>
      </c>
      <c r="BA16" s="30">
        <v>3684</v>
      </c>
      <c r="BB16" s="30">
        <v>-2209</v>
      </c>
      <c r="BC16" s="29">
        <v>-701</v>
      </c>
      <c r="BD16" s="194">
        <f>-(BS!BD11-BS!BC11)</f>
        <v>-10504.800875172732</v>
      </c>
      <c r="BE16" s="141">
        <f t="shared" si="10"/>
        <v>-9730.800875172732</v>
      </c>
      <c r="BF16" s="189">
        <f>-(BS!BF11-BS!BE11)</f>
        <v>5333.8652694610792</v>
      </c>
      <c r="BG16" s="189">
        <f>-(BS!BG11-BS!BF11)</f>
        <v>-2780.5076923076995</v>
      </c>
      <c r="BH16" s="189">
        <f>-(BS!BH11-BS!BG11)</f>
        <v>-1821.9579917088922</v>
      </c>
      <c r="BI16" s="189">
        <f>-(BS!BI11-BS!BH11)</f>
        <v>-12493.019520777751</v>
      </c>
      <c r="BJ16" s="141">
        <f t="shared" si="11"/>
        <v>-11761.619935333263</v>
      </c>
      <c r="BK16" s="141">
        <f>-(BS!BK11-BS!BJ11)</f>
        <v>-13987.713731477168</v>
      </c>
      <c r="BL16" s="141">
        <f>-(BS!BL11-BS!BK11)</f>
        <v>-16635.134999217378</v>
      </c>
      <c r="BM16" s="141">
        <f>-(BS!BM11-BS!BL11)</f>
        <v>-19783.627385757412</v>
      </c>
    </row>
    <row r="17" spans="1:65" ht="16.5" x14ac:dyDescent="0.3">
      <c r="A17" s="97" t="s">
        <v>176</v>
      </c>
      <c r="B17" s="97"/>
      <c r="C17" s="97"/>
      <c r="D17" s="4"/>
      <c r="E17" s="2">
        <v>812</v>
      </c>
      <c r="F17" s="22">
        <v>1859</v>
      </c>
      <c r="G17" s="22">
        <v>2373</v>
      </c>
      <c r="H17" s="22">
        <v>2997</v>
      </c>
      <c r="I17" s="22">
        <v>2070</v>
      </c>
      <c r="J17" s="22">
        <v>1888</v>
      </c>
      <c r="K17" s="22">
        <v>1759</v>
      </c>
      <c r="L17" s="22">
        <v>4294</v>
      </c>
      <c r="M17" s="30">
        <v>-5770</v>
      </c>
      <c r="N17" s="29">
        <v>977</v>
      </c>
      <c r="O17" s="30">
        <v>2540</v>
      </c>
      <c r="P17" s="30">
        <v>7283</v>
      </c>
      <c r="Q17" s="22">
        <v>5030</v>
      </c>
      <c r="R17" s="30">
        <v>-6865</v>
      </c>
      <c r="S17" s="30">
        <v>2088</v>
      </c>
      <c r="T17" s="30">
        <v>2974</v>
      </c>
      <c r="U17" s="30">
        <v>8904</v>
      </c>
      <c r="V17" s="22">
        <v>7101</v>
      </c>
      <c r="W17" s="30">
        <v>-10216</v>
      </c>
      <c r="X17" s="30">
        <v>2703</v>
      </c>
      <c r="Y17" s="30">
        <v>3894</v>
      </c>
      <c r="Z17" s="30">
        <v>6882</v>
      </c>
      <c r="AA17" s="22">
        <v>3263</v>
      </c>
      <c r="AB17" s="30">
        <v>-6384</v>
      </c>
      <c r="AC17" s="30">
        <v>3668</v>
      </c>
      <c r="AD17" s="29">
        <v>226</v>
      </c>
      <c r="AE17" s="30">
        <v>10683</v>
      </c>
      <c r="AF17" s="22">
        <v>8193</v>
      </c>
      <c r="AG17" s="30">
        <v>-8044</v>
      </c>
      <c r="AH17" s="30">
        <v>8616</v>
      </c>
      <c r="AI17" s="30">
        <v>3658</v>
      </c>
      <c r="AJ17" s="30">
        <v>13249</v>
      </c>
      <c r="AK17" s="22">
        <v>17479</v>
      </c>
      <c r="AL17" s="30">
        <v>-8266</v>
      </c>
      <c r="AM17" s="29">
        <v>47</v>
      </c>
      <c r="AN17" s="30">
        <v>3832</v>
      </c>
      <c r="AO17" s="30">
        <v>7989</v>
      </c>
      <c r="AP17" s="22">
        <v>3602</v>
      </c>
      <c r="AQ17" s="30">
        <v>-9380</v>
      </c>
      <c r="AR17" s="30">
        <v>3699</v>
      </c>
      <c r="AS17" s="30">
        <v>-1226</v>
      </c>
      <c r="AT17" s="30">
        <v>9852</v>
      </c>
      <c r="AU17" s="22">
        <f t="shared" si="8"/>
        <v>2945</v>
      </c>
      <c r="AV17" s="30">
        <v>-11264</v>
      </c>
      <c r="AW17" s="30">
        <v>3029</v>
      </c>
      <c r="AX17" s="30">
        <v>2820</v>
      </c>
      <c r="AY17" s="30">
        <v>10888</v>
      </c>
      <c r="AZ17" s="22">
        <f t="shared" si="9"/>
        <v>5473</v>
      </c>
      <c r="BA17" s="30">
        <v>-11282</v>
      </c>
      <c r="BB17" s="30">
        <v>6005</v>
      </c>
      <c r="BC17" s="29">
        <v>-477</v>
      </c>
      <c r="BD17" s="194">
        <f>(BS!BD22-BS!BC22)</f>
        <v>2845.6336702641129</v>
      </c>
      <c r="BE17" s="141">
        <f t="shared" si="10"/>
        <v>-2908.3663297358871</v>
      </c>
      <c r="BF17" s="189">
        <f>(BS!BF22-BS!BE22)</f>
        <v>-11913</v>
      </c>
      <c r="BG17" s="189">
        <f>(BS!BG22-BS!BF22)</f>
        <v>8749</v>
      </c>
      <c r="BH17" s="189">
        <f>(BS!BH22-BS!BG22)</f>
        <v>2753</v>
      </c>
      <c r="BI17" s="189">
        <f>(BS!BI22-BS!BH22)</f>
        <v>2845.6336702641129</v>
      </c>
      <c r="BJ17" s="141">
        <f t="shared" si="11"/>
        <v>2434.6336702641129</v>
      </c>
      <c r="BK17" s="141">
        <f>(BS!BK22-BS!BJ22)</f>
        <v>2434.6336702641129</v>
      </c>
      <c r="BL17" s="141">
        <f>(BS!BL22-BS!BK22)</f>
        <v>2434.6336702641129</v>
      </c>
      <c r="BM17" s="141">
        <f>(BS!BM22-BS!BL22)</f>
        <v>2434.6336702641129</v>
      </c>
    </row>
    <row r="18" spans="1:65" ht="16.5" x14ac:dyDescent="0.3">
      <c r="A18" s="97" t="s">
        <v>177</v>
      </c>
      <c r="B18" s="97"/>
      <c r="C18" s="97"/>
      <c r="D18" s="4"/>
      <c r="E18" s="2">
        <v>247</v>
      </c>
      <c r="F18" s="2">
        <v>300</v>
      </c>
      <c r="G18" s="2">
        <v>740</v>
      </c>
      <c r="H18" s="22">
        <v>1067</v>
      </c>
      <c r="I18" s="22">
        <v>1038</v>
      </c>
      <c r="J18" s="2">
        <v>736</v>
      </c>
      <c r="K18" s="2">
        <v>706</v>
      </c>
      <c r="L18" s="2">
        <v>913</v>
      </c>
      <c r="M18" s="29">
        <v>-956</v>
      </c>
      <c r="N18" s="29">
        <v>-15</v>
      </c>
      <c r="O18" s="29">
        <v>441</v>
      </c>
      <c r="P18" s="30">
        <v>2254</v>
      </c>
      <c r="Q18" s="22">
        <v>1724</v>
      </c>
      <c r="R18" s="30">
        <v>-1404</v>
      </c>
      <c r="S18" s="29">
        <v>-252</v>
      </c>
      <c r="T18" s="29">
        <v>-122</v>
      </c>
      <c r="U18" s="30">
        <v>2061</v>
      </c>
      <c r="V18" s="2">
        <v>283</v>
      </c>
      <c r="W18" s="30">
        <v>-2225</v>
      </c>
      <c r="X18" s="29">
        <v>-205</v>
      </c>
      <c r="Y18" s="29">
        <v>237</v>
      </c>
      <c r="Z18" s="30">
        <v>2665</v>
      </c>
      <c r="AA18" s="2">
        <v>472</v>
      </c>
      <c r="AB18" s="30">
        <v>-2932</v>
      </c>
      <c r="AC18" s="29">
        <v>-623</v>
      </c>
      <c r="AD18" s="29">
        <v>-722</v>
      </c>
      <c r="AE18" s="30">
        <v>2894</v>
      </c>
      <c r="AF18" s="22">
        <v>-1383</v>
      </c>
      <c r="AG18" s="30">
        <v>-2761</v>
      </c>
      <c r="AH18" s="30">
        <v>1699</v>
      </c>
      <c r="AI18" s="29">
        <v>-310</v>
      </c>
      <c r="AJ18" s="30">
        <v>7127</v>
      </c>
      <c r="AK18" s="22">
        <v>5755</v>
      </c>
      <c r="AL18" s="30">
        <v>-4060</v>
      </c>
      <c r="AM18" s="30">
        <v>-1685</v>
      </c>
      <c r="AN18" s="30">
        <v>-1465</v>
      </c>
      <c r="AO18" s="30">
        <v>9333</v>
      </c>
      <c r="AP18" s="22">
        <v>2123</v>
      </c>
      <c r="AQ18" s="30">
        <v>-5903</v>
      </c>
      <c r="AR18" s="30">
        <v>-1412</v>
      </c>
      <c r="AS18" s="29">
        <v>-20</v>
      </c>
      <c r="AT18" s="30">
        <v>5777</v>
      </c>
      <c r="AU18" s="22">
        <f t="shared" si="8"/>
        <v>-1558</v>
      </c>
      <c r="AV18" s="30">
        <v>-5763</v>
      </c>
      <c r="AW18" s="30">
        <v>-1938</v>
      </c>
      <c r="AX18" s="30">
        <v>-1321</v>
      </c>
      <c r="AY18" s="100">
        <v>3792</v>
      </c>
      <c r="AZ18" s="22">
        <f t="shared" si="9"/>
        <v>-5230</v>
      </c>
      <c r="BA18" s="30">
        <v>-5629</v>
      </c>
      <c r="BB18" s="30">
        <v>-7202</v>
      </c>
      <c r="BC18" s="29">
        <v>-4408</v>
      </c>
      <c r="BD18" s="194">
        <f>(BS!BD23-BS!BC23)</f>
        <v>5897</v>
      </c>
      <c r="BE18" s="141">
        <f t="shared" si="10"/>
        <v>-11342</v>
      </c>
      <c r="BF18" s="189">
        <f>(BS!BF23-BS!BE23)</f>
        <v>-739</v>
      </c>
      <c r="BG18" s="189">
        <f>(BS!BG23-BS!BF23)</f>
        <v>-3619</v>
      </c>
      <c r="BH18" s="189">
        <f>(BS!BH23-BS!BG23)</f>
        <v>251</v>
      </c>
      <c r="BI18" s="189">
        <f>(BS!BI23-BS!BH23)</f>
        <v>5897</v>
      </c>
      <c r="BJ18" s="141">
        <f t="shared" si="11"/>
        <v>1790</v>
      </c>
      <c r="BK18" s="141">
        <f>(BS!BK23-BS!BJ23)</f>
        <v>1790</v>
      </c>
      <c r="BL18" s="141">
        <f>(BS!BL23-BS!BK23)</f>
        <v>1790</v>
      </c>
      <c r="BM18" s="141">
        <f>(BS!BM23-BS!BL23)</f>
        <v>1790</v>
      </c>
    </row>
    <row r="19" spans="1:65" ht="16.5" x14ac:dyDescent="0.3">
      <c r="A19" s="97" t="s">
        <v>178</v>
      </c>
      <c r="B19" s="97"/>
      <c r="C19" s="97"/>
      <c r="D19" s="4"/>
      <c r="E19" s="2">
        <v>105</v>
      </c>
      <c r="F19" s="2">
        <v>465</v>
      </c>
      <c r="G19" s="2">
        <v>-218</v>
      </c>
      <c r="H19" s="2">
        <v>43</v>
      </c>
      <c r="I19" s="2">
        <v>275</v>
      </c>
      <c r="J19" s="2">
        <v>399</v>
      </c>
      <c r="K19" s="2">
        <v>741</v>
      </c>
      <c r="L19" s="22">
        <v>1292</v>
      </c>
      <c r="M19" s="29">
        <v>704</v>
      </c>
      <c r="N19" s="29">
        <v>132</v>
      </c>
      <c r="O19" s="29">
        <v>405</v>
      </c>
      <c r="P19" s="29">
        <v>714</v>
      </c>
      <c r="Q19" s="22">
        <v>1955</v>
      </c>
      <c r="R19" s="29">
        <v>807</v>
      </c>
      <c r="S19" s="29">
        <v>-387</v>
      </c>
      <c r="T19" s="29">
        <v>184</v>
      </c>
      <c r="U19" s="29">
        <v>136</v>
      </c>
      <c r="V19" s="2">
        <v>740</v>
      </c>
      <c r="W19" s="29">
        <v>906</v>
      </c>
      <c r="X19" s="29">
        <v>-283</v>
      </c>
      <c r="Y19" s="29" t="s">
        <v>179</v>
      </c>
      <c r="Z19" s="29">
        <v>528</v>
      </c>
      <c r="AA19" s="22">
        <v>1151</v>
      </c>
      <c r="AB19" s="29">
        <v>888</v>
      </c>
      <c r="AC19" s="29">
        <v>390</v>
      </c>
      <c r="AD19" s="29">
        <v>-53</v>
      </c>
      <c r="AE19" s="29">
        <v>485</v>
      </c>
      <c r="AF19" s="22">
        <v>1710</v>
      </c>
      <c r="AG19" s="29">
        <v>607</v>
      </c>
      <c r="AH19" s="29">
        <v>247</v>
      </c>
      <c r="AI19" s="29">
        <v>78</v>
      </c>
      <c r="AJ19" s="29">
        <v>333</v>
      </c>
      <c r="AK19" s="22">
        <v>1265</v>
      </c>
      <c r="AL19" s="29">
        <v>900</v>
      </c>
      <c r="AM19" s="29">
        <v>156</v>
      </c>
      <c r="AN19" s="29">
        <v>338</v>
      </c>
      <c r="AO19" s="29">
        <v>920</v>
      </c>
      <c r="AP19" s="22">
        <v>2314</v>
      </c>
      <c r="AQ19" s="30">
        <v>1336</v>
      </c>
      <c r="AR19" s="29">
        <v>321</v>
      </c>
      <c r="AS19" s="29">
        <v>54</v>
      </c>
      <c r="AT19" s="29">
        <v>505</v>
      </c>
      <c r="AU19" s="22">
        <f t="shared" si="8"/>
        <v>2216</v>
      </c>
      <c r="AV19" s="29">
        <v>818</v>
      </c>
      <c r="AW19" s="29">
        <v>156</v>
      </c>
      <c r="AX19" s="29">
        <v>-25</v>
      </c>
      <c r="AY19" s="30">
        <v>3629</v>
      </c>
      <c r="AZ19" s="22">
        <f t="shared" si="9"/>
        <v>4578</v>
      </c>
      <c r="BA19" s="30">
        <v>1568</v>
      </c>
      <c r="BB19" s="29">
        <v>407</v>
      </c>
      <c r="BC19" s="29">
        <v>421</v>
      </c>
      <c r="BD19" s="194">
        <f>(BS!BD24-BS!BC24)</f>
        <v>829</v>
      </c>
      <c r="BE19" s="141">
        <f t="shared" si="10"/>
        <v>3225</v>
      </c>
      <c r="BF19" s="189">
        <f>(BS!BF24-BS!BE24)</f>
        <v>700</v>
      </c>
      <c r="BG19" s="189">
        <f>(BS!BG24-BS!BF24)</f>
        <v>77</v>
      </c>
      <c r="BH19" s="189">
        <f>(BS!BH24-BS!BG24)</f>
        <v>301</v>
      </c>
      <c r="BI19" s="189">
        <f>(BS!BI24-BS!BH24)</f>
        <v>829</v>
      </c>
      <c r="BJ19" s="141">
        <f t="shared" si="11"/>
        <v>1907</v>
      </c>
      <c r="BK19" s="141">
        <f>(BS!BK24-BS!BJ24)</f>
        <v>1907</v>
      </c>
      <c r="BL19" s="141">
        <f>(BS!BL24-BS!BK24)</f>
        <v>1907</v>
      </c>
      <c r="BM19" s="141">
        <f>(BS!BM24-BS!BL24)</f>
        <v>1907</v>
      </c>
    </row>
    <row r="20" spans="1:65" ht="16.5" x14ac:dyDescent="0.3">
      <c r="A20" s="7" t="s">
        <v>180</v>
      </c>
      <c r="B20" s="7"/>
      <c r="C20" s="4"/>
      <c r="D20" s="7" t="s">
        <v>0</v>
      </c>
      <c r="E20" s="102">
        <f t="shared" ref="E20:AJ20" si="12">SUM(E8:E19)</f>
        <v>1697</v>
      </c>
      <c r="F20" s="102">
        <f t="shared" si="12"/>
        <v>3293</v>
      </c>
      <c r="G20" s="102">
        <f t="shared" si="12"/>
        <v>3495</v>
      </c>
      <c r="H20" s="102">
        <f t="shared" si="12"/>
        <v>3903</v>
      </c>
      <c r="I20" s="102">
        <f t="shared" si="12"/>
        <v>4180</v>
      </c>
      <c r="J20" s="102">
        <f t="shared" si="12"/>
        <v>5475</v>
      </c>
      <c r="K20" s="102">
        <f t="shared" si="12"/>
        <v>6842</v>
      </c>
      <c r="L20" s="102">
        <f t="shared" si="12"/>
        <v>11920</v>
      </c>
      <c r="M20" s="31">
        <f t="shared" si="12"/>
        <v>-1953</v>
      </c>
      <c r="N20" s="31">
        <f t="shared" si="12"/>
        <v>3578</v>
      </c>
      <c r="O20" s="31">
        <f t="shared" si="12"/>
        <v>4659</v>
      </c>
      <c r="P20" s="31">
        <f t="shared" si="12"/>
        <v>10987</v>
      </c>
      <c r="Q20" s="102">
        <f t="shared" si="12"/>
        <v>17271</v>
      </c>
      <c r="R20" s="31">
        <f t="shared" si="12"/>
        <v>-1619</v>
      </c>
      <c r="S20" s="31">
        <f t="shared" si="12"/>
        <v>3850</v>
      </c>
      <c r="T20" s="31">
        <f t="shared" si="12"/>
        <v>3777</v>
      </c>
      <c r="U20" s="31">
        <f t="shared" si="12"/>
        <v>12358</v>
      </c>
      <c r="V20" s="102">
        <f t="shared" si="12"/>
        <v>18366</v>
      </c>
      <c r="W20" s="31">
        <f t="shared" si="12"/>
        <v>-1791</v>
      </c>
      <c r="X20" s="31">
        <f t="shared" si="12"/>
        <v>7449</v>
      </c>
      <c r="Y20" s="31">
        <f t="shared" si="12"/>
        <v>8588</v>
      </c>
      <c r="Z20" s="31">
        <f t="shared" si="12"/>
        <v>16478</v>
      </c>
      <c r="AA20" s="102">
        <f t="shared" si="12"/>
        <v>30724</v>
      </c>
      <c r="AB20" s="31">
        <f t="shared" si="12"/>
        <v>1846</v>
      </c>
      <c r="AC20" s="31">
        <f t="shared" si="12"/>
        <v>9118</v>
      </c>
      <c r="AD20" s="31">
        <f t="shared" si="12"/>
        <v>7892</v>
      </c>
      <c r="AE20" s="31">
        <f t="shared" si="12"/>
        <v>19659</v>
      </c>
      <c r="AF20" s="102">
        <f t="shared" si="12"/>
        <v>38515</v>
      </c>
      <c r="AG20" s="31">
        <f t="shared" si="12"/>
        <v>3064</v>
      </c>
      <c r="AH20" s="31">
        <f t="shared" si="12"/>
        <v>20606</v>
      </c>
      <c r="AI20" s="31">
        <f t="shared" si="12"/>
        <v>11964</v>
      </c>
      <c r="AJ20" s="31">
        <f t="shared" si="12"/>
        <v>30430</v>
      </c>
      <c r="AK20" s="102">
        <f t="shared" ref="AK20:BJ20" si="13">SUM(AK8:AK19)</f>
        <v>66064</v>
      </c>
      <c r="AL20" s="31">
        <f t="shared" si="13"/>
        <v>4213</v>
      </c>
      <c r="AM20" s="31">
        <f t="shared" si="13"/>
        <v>12715</v>
      </c>
      <c r="AN20" s="31">
        <f t="shared" si="13"/>
        <v>7313</v>
      </c>
      <c r="AO20" s="31">
        <f t="shared" si="13"/>
        <v>22086</v>
      </c>
      <c r="AP20" s="102">
        <f t="shared" si="13"/>
        <v>46327</v>
      </c>
      <c r="AQ20" s="31">
        <f t="shared" si="13"/>
        <v>-2790</v>
      </c>
      <c r="AR20" s="31">
        <f t="shared" si="13"/>
        <v>8965</v>
      </c>
      <c r="AS20" s="31">
        <f t="shared" si="13"/>
        <v>11404</v>
      </c>
      <c r="AT20" s="31">
        <f t="shared" si="13"/>
        <v>29173</v>
      </c>
      <c r="AU20" s="102">
        <f t="shared" si="13"/>
        <v>46752</v>
      </c>
      <c r="AV20" s="31">
        <f t="shared" si="13"/>
        <v>4788</v>
      </c>
      <c r="AW20" s="31">
        <f t="shared" si="13"/>
        <v>16476</v>
      </c>
      <c r="AX20" s="31">
        <f t="shared" si="13"/>
        <v>21217</v>
      </c>
      <c r="AY20" s="31">
        <f t="shared" si="13"/>
        <v>42465</v>
      </c>
      <c r="AZ20" s="102">
        <f t="shared" si="13"/>
        <v>84946</v>
      </c>
      <c r="BA20" s="31">
        <f t="shared" si="13"/>
        <v>18989</v>
      </c>
      <c r="BB20" s="31">
        <f t="shared" si="13"/>
        <v>25281</v>
      </c>
      <c r="BC20" s="31">
        <f t="shared" si="13"/>
        <v>25971</v>
      </c>
      <c r="BD20" s="31">
        <f t="shared" si="13"/>
        <v>31265.731212392326</v>
      </c>
      <c r="BE20" s="245">
        <f t="shared" si="13"/>
        <v>101506.73121239249</v>
      </c>
      <c r="BF20" s="190">
        <f t="shared" si="13"/>
        <v>21750.933869452259</v>
      </c>
      <c r="BG20" s="190">
        <f t="shared" si="13"/>
        <v>33375.729556734572</v>
      </c>
      <c r="BH20" s="190">
        <f t="shared" si="13"/>
        <v>33073.90777766156</v>
      </c>
      <c r="BI20" s="190">
        <f t="shared" si="13"/>
        <v>33357.3288040115</v>
      </c>
      <c r="BJ20" s="245">
        <f t="shared" si="13"/>
        <v>121557.90000785976</v>
      </c>
      <c r="BK20" s="245">
        <f t="shared" ref="BK20:BM20" si="14">SUM(BK8:BK19)</f>
        <v>142658.14353844064</v>
      </c>
      <c r="BL20" s="245">
        <f t="shared" si="14"/>
        <v>151772.96014811983</v>
      </c>
      <c r="BM20" s="245">
        <f t="shared" si="14"/>
        <v>165747.83130004851</v>
      </c>
    </row>
    <row r="21" spans="1:65" ht="16.5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141"/>
      <c r="BF21" s="191"/>
      <c r="BG21" s="191"/>
      <c r="BH21" s="191"/>
      <c r="BI21" s="191"/>
      <c r="BJ21" s="191"/>
      <c r="BK21" s="191"/>
      <c r="BL21" s="191"/>
      <c r="BM21" s="191"/>
    </row>
    <row r="22" spans="1:65" ht="16.5" x14ac:dyDescent="0.3">
      <c r="A22" s="4" t="s">
        <v>181</v>
      </c>
      <c r="B22" s="4"/>
      <c r="C22" s="4"/>
      <c r="D22" s="4"/>
      <c r="E22" s="2">
        <v>-333</v>
      </c>
      <c r="F22" s="2">
        <v>-373</v>
      </c>
      <c r="G22" s="2">
        <v>-979</v>
      </c>
      <c r="H22" s="22">
        <v>-1811</v>
      </c>
      <c r="I22" s="22">
        <v>-3785</v>
      </c>
      <c r="J22" s="22">
        <v>-3444</v>
      </c>
      <c r="K22" s="22">
        <v>-4893</v>
      </c>
      <c r="L22" s="22">
        <v>-4589</v>
      </c>
      <c r="M22" s="30">
        <v>-1179</v>
      </c>
      <c r="N22" s="30">
        <v>-1711</v>
      </c>
      <c r="O22" s="30">
        <v>-1841</v>
      </c>
      <c r="P22" s="30">
        <v>-2414</v>
      </c>
      <c r="Q22" s="22">
        <v>-7145</v>
      </c>
      <c r="R22" s="30">
        <v>-2148</v>
      </c>
      <c r="S22" s="30">
        <v>-3113</v>
      </c>
      <c r="T22" s="30">
        <v>-3074</v>
      </c>
      <c r="U22" s="30">
        <v>-3619</v>
      </c>
      <c r="V22" s="22">
        <v>-11954</v>
      </c>
      <c r="W22" s="30">
        <v>-3098</v>
      </c>
      <c r="X22" s="30">
        <v>-3243</v>
      </c>
      <c r="Y22" s="30">
        <v>-3352</v>
      </c>
      <c r="Z22" s="30">
        <v>-3733</v>
      </c>
      <c r="AA22" s="22">
        <v>-13426</v>
      </c>
      <c r="AB22" s="30">
        <v>-3290</v>
      </c>
      <c r="AC22" s="30">
        <v>-3562</v>
      </c>
      <c r="AD22" s="30">
        <v>-4697</v>
      </c>
      <c r="AE22" s="30">
        <v>-5312</v>
      </c>
      <c r="AF22" s="22">
        <v>-16861</v>
      </c>
      <c r="AG22" s="30">
        <v>-6795</v>
      </c>
      <c r="AH22" s="30">
        <v>-7459</v>
      </c>
      <c r="AI22" s="30">
        <v>-11063</v>
      </c>
      <c r="AJ22" s="30">
        <v>-14824</v>
      </c>
      <c r="AK22" s="22">
        <v>-40141</v>
      </c>
      <c r="AL22" s="30">
        <v>-12082</v>
      </c>
      <c r="AM22" s="30">
        <v>-14288</v>
      </c>
      <c r="AN22" s="30">
        <v>-15748</v>
      </c>
      <c r="AO22" s="30">
        <v>-18935</v>
      </c>
      <c r="AP22" s="22">
        <v>-61053</v>
      </c>
      <c r="AQ22" s="30">
        <v>-14951</v>
      </c>
      <c r="AR22" s="30">
        <v>-15724</v>
      </c>
      <c r="AS22" s="30">
        <v>-16378</v>
      </c>
      <c r="AT22" s="30">
        <v>-16592</v>
      </c>
      <c r="AU22" s="22">
        <f t="shared" ref="AU22:AU26" si="15">SUM(AQ22:AT22)</f>
        <v>-63645</v>
      </c>
      <c r="AV22" s="30">
        <v>-14207</v>
      </c>
      <c r="AW22" s="30">
        <v>-11455</v>
      </c>
      <c r="AX22" s="30">
        <v>-12479</v>
      </c>
      <c r="AY22" s="30">
        <v>-14588</v>
      </c>
      <c r="AZ22" s="22">
        <f t="shared" ref="AZ22:AZ26" si="16">SUM(AV22:AY22)</f>
        <v>-52729</v>
      </c>
      <c r="BA22" s="30">
        <v>-14925</v>
      </c>
      <c r="BB22" s="30">
        <v>-17620</v>
      </c>
      <c r="BC22" s="30">
        <v>-22620</v>
      </c>
      <c r="BD22" s="194">
        <f>'Assumptions + Estimates'!J42*IS!BD15</f>
        <v>-18787.636872679206</v>
      </c>
      <c r="BE22" s="141">
        <f t="shared" ref="BE22:BE26" si="17">SUM(BA22:BD22)</f>
        <v>-73952.636872679199</v>
      </c>
      <c r="BF22" s="189">
        <f>'Assumptions + Estimates'!$O42*IS!BF15</f>
        <v>-18904.3776</v>
      </c>
      <c r="BG22" s="189">
        <f>'Assumptions + Estimates'!$O42*IS!BG15</f>
        <v>-19536.715200000002</v>
      </c>
      <c r="BH22" s="189">
        <f>'Assumptions + Estimates'!$O42*IS!BH15</f>
        <v>-20965.168799999999</v>
      </c>
      <c r="BI22" s="189">
        <f>'Assumptions + Estimates'!$O42*IS!BI15</f>
        <v>-24756.53553344656</v>
      </c>
      <c r="BJ22" s="141">
        <f t="shared" ref="BJ22:BJ26" si="18">SUM(BF22:BI22)</f>
        <v>-84162.797133446555</v>
      </c>
      <c r="BK22" s="141">
        <f>'Assumptions + Estimates'!P42*IS!BK15</f>
        <v>-92025.813131350835</v>
      </c>
      <c r="BL22" s="141">
        <f>'Assumptions + Estimates'!Q42*IS!BL15</f>
        <v>-100763.43553607965</v>
      </c>
      <c r="BM22" s="141">
        <f>'Assumptions + Estimates'!R42*IS!BM15</f>
        <v>-110484.93542758802</v>
      </c>
    </row>
    <row r="23" spans="1:65" ht="16.5" x14ac:dyDescent="0.3">
      <c r="A23" s="4" t="s">
        <v>182</v>
      </c>
      <c r="B23" s="4"/>
      <c r="C23" s="4"/>
      <c r="D23" s="4"/>
      <c r="E23" s="2" t="s">
        <v>179</v>
      </c>
      <c r="F23" s="2" t="s">
        <v>179</v>
      </c>
      <c r="G23" s="2" t="s">
        <v>179</v>
      </c>
      <c r="H23" s="2" t="s">
        <v>179</v>
      </c>
      <c r="I23" s="2" t="s">
        <v>179</v>
      </c>
      <c r="J23" s="2" t="s">
        <v>183</v>
      </c>
      <c r="K23" s="2" t="s">
        <v>179</v>
      </c>
      <c r="L23" s="2" t="s">
        <v>179</v>
      </c>
      <c r="M23" s="29" t="s">
        <v>179</v>
      </c>
      <c r="N23" s="29" t="s">
        <v>179</v>
      </c>
      <c r="O23" s="29" t="s">
        <v>179</v>
      </c>
      <c r="P23" s="29">
        <v>409</v>
      </c>
      <c r="Q23" s="2">
        <v>409</v>
      </c>
      <c r="R23" s="29">
        <v>287</v>
      </c>
      <c r="S23" s="29">
        <v>612</v>
      </c>
      <c r="T23" s="29">
        <v>415</v>
      </c>
      <c r="U23" s="29">
        <v>583</v>
      </c>
      <c r="V23" s="22">
        <v>1897</v>
      </c>
      <c r="W23" s="29">
        <v>371</v>
      </c>
      <c r="X23" s="29">
        <v>294</v>
      </c>
      <c r="Y23" s="29">
        <v>825</v>
      </c>
      <c r="Z23" s="29">
        <v>614</v>
      </c>
      <c r="AA23" s="22">
        <v>2104</v>
      </c>
      <c r="AB23" s="29">
        <v>569</v>
      </c>
      <c r="AC23" s="29">
        <v>919</v>
      </c>
      <c r="AD23" s="30">
        <v>1312</v>
      </c>
      <c r="AE23" s="30">
        <v>1371</v>
      </c>
      <c r="AF23" s="22">
        <v>4171</v>
      </c>
      <c r="AG23" s="30">
        <v>1367</v>
      </c>
      <c r="AH23" s="29">
        <v>844</v>
      </c>
      <c r="AI23" s="30">
        <v>1255</v>
      </c>
      <c r="AJ23" s="30">
        <v>1629</v>
      </c>
      <c r="AK23" s="22">
        <v>5095</v>
      </c>
      <c r="AL23" s="29">
        <v>895</v>
      </c>
      <c r="AM23" s="30">
        <v>1300</v>
      </c>
      <c r="AN23" s="29">
        <v>997</v>
      </c>
      <c r="AO23" s="30">
        <v>2465</v>
      </c>
      <c r="AP23" s="22">
        <v>5657</v>
      </c>
      <c r="AQ23" s="30">
        <v>1209</v>
      </c>
      <c r="AR23" s="30">
        <v>1626</v>
      </c>
      <c r="AS23" s="30">
        <v>1337</v>
      </c>
      <c r="AT23" s="30">
        <v>1152</v>
      </c>
      <c r="AU23" s="22">
        <f t="shared" si="15"/>
        <v>5324</v>
      </c>
      <c r="AV23" s="30">
        <v>1137</v>
      </c>
      <c r="AW23" s="30">
        <v>1043</v>
      </c>
      <c r="AX23" s="30">
        <v>1181</v>
      </c>
      <c r="AY23" s="30">
        <v>1235</v>
      </c>
      <c r="AZ23" s="22">
        <f t="shared" si="16"/>
        <v>4596</v>
      </c>
      <c r="BA23" s="29">
        <v>990</v>
      </c>
      <c r="BB23" s="30">
        <v>1227</v>
      </c>
      <c r="BC23" s="30">
        <v>1342</v>
      </c>
      <c r="BD23" s="194">
        <f>BC23*(AY23/AX23)</f>
        <v>1403.3615580016935</v>
      </c>
      <c r="BE23" s="141">
        <f t="shared" si="17"/>
        <v>4962.361558001694</v>
      </c>
      <c r="BF23" s="189">
        <f>(BA23/BE23)*(BE23*1.1)</f>
        <v>1089</v>
      </c>
      <c r="BG23" s="189">
        <f t="shared" ref="BG23:BG26" si="19">BF23*(BB23/BA23)</f>
        <v>1349.7</v>
      </c>
      <c r="BH23" s="189">
        <f t="shared" ref="BH23:BH26" si="20">BG23*(BC23/BB23)</f>
        <v>1476.2</v>
      </c>
      <c r="BI23" s="189">
        <f t="shared" ref="BI23:BI26" si="21">BH23*(BD23/BC23)</f>
        <v>1543.6977138018628</v>
      </c>
      <c r="BJ23" s="141">
        <f t="shared" si="18"/>
        <v>5458.5977138018625</v>
      </c>
      <c r="BK23" s="141">
        <f>BJ23*(BJ23/BE23)</f>
        <v>6004.457485182048</v>
      </c>
      <c r="BL23" s="141">
        <f>BK23*(BK23/BJ23)</f>
        <v>6604.9032337002518</v>
      </c>
      <c r="BM23" s="141">
        <f>BL23*(BL23/BK23)</f>
        <v>7265.3935570702761</v>
      </c>
    </row>
    <row r="24" spans="1:65" ht="16.5" x14ac:dyDescent="0.3">
      <c r="A24" s="4" t="s">
        <v>184</v>
      </c>
      <c r="B24" s="4"/>
      <c r="C24" s="4"/>
      <c r="D24" s="4"/>
      <c r="E24" s="2">
        <v>-494</v>
      </c>
      <c r="F24" s="2">
        <v>-40</v>
      </c>
      <c r="G24" s="2">
        <v>-352</v>
      </c>
      <c r="H24" s="2">
        <v>-705</v>
      </c>
      <c r="I24" s="2">
        <v>-745</v>
      </c>
      <c r="J24" s="2">
        <v>-312</v>
      </c>
      <c r="K24" s="2">
        <v>-979</v>
      </c>
      <c r="L24" s="2">
        <v>-795</v>
      </c>
      <c r="M24" s="29">
        <v>-16</v>
      </c>
      <c r="N24" s="29">
        <v>-14</v>
      </c>
      <c r="O24" s="29">
        <v>-84</v>
      </c>
      <c r="P24" s="29">
        <v>-3</v>
      </c>
      <c r="Q24" s="2">
        <v>-117</v>
      </c>
      <c r="R24" s="29">
        <v>-45</v>
      </c>
      <c r="S24" s="29">
        <v>-633</v>
      </c>
      <c r="T24" s="30">
        <v>-13213</v>
      </c>
      <c r="U24" s="29">
        <v>-81</v>
      </c>
      <c r="V24" s="22">
        <v>-13972</v>
      </c>
      <c r="W24" s="29">
        <v>-13</v>
      </c>
      <c r="X24" s="29">
        <v>-866</v>
      </c>
      <c r="Y24" s="29">
        <v>-976</v>
      </c>
      <c r="Z24" s="29">
        <v>-331</v>
      </c>
      <c r="AA24" s="22">
        <v>-2186</v>
      </c>
      <c r="AB24" s="30">
        <v>-1169</v>
      </c>
      <c r="AC24" s="29">
        <v>-117</v>
      </c>
      <c r="AD24" s="29">
        <v>-398</v>
      </c>
      <c r="AE24" s="29">
        <v>-777</v>
      </c>
      <c r="AF24" s="22">
        <v>-2461</v>
      </c>
      <c r="AG24" s="29">
        <v>-91</v>
      </c>
      <c r="AH24" s="29">
        <v>-118</v>
      </c>
      <c r="AI24" s="30">
        <v>-1735</v>
      </c>
      <c r="AJ24" s="29">
        <v>-380</v>
      </c>
      <c r="AK24" s="22">
        <v>-2324</v>
      </c>
      <c r="AL24" s="29">
        <v>-630</v>
      </c>
      <c r="AM24" s="29">
        <v>-320</v>
      </c>
      <c r="AN24" s="29">
        <v>-654</v>
      </c>
      <c r="AO24" s="29">
        <v>-381</v>
      </c>
      <c r="AP24" s="22">
        <v>-1985</v>
      </c>
      <c r="AQ24" s="30">
        <v>-6341</v>
      </c>
      <c r="AR24" s="29">
        <v>-259</v>
      </c>
      <c r="AS24" s="29">
        <v>-885</v>
      </c>
      <c r="AT24" s="29">
        <v>-831</v>
      </c>
      <c r="AU24" s="22">
        <f t="shared" si="15"/>
        <v>-8316</v>
      </c>
      <c r="AV24" s="30">
        <v>-3513</v>
      </c>
      <c r="AW24" s="29">
        <v>-316</v>
      </c>
      <c r="AX24" s="30">
        <v>-1629</v>
      </c>
      <c r="AY24" s="29">
        <v>-381</v>
      </c>
      <c r="AZ24" s="22">
        <f t="shared" si="16"/>
        <v>-5839</v>
      </c>
      <c r="BA24" s="30">
        <v>-3354</v>
      </c>
      <c r="BB24" s="29">
        <v>-571</v>
      </c>
      <c r="BC24" s="29">
        <v>-622</v>
      </c>
      <c r="BD24" s="194">
        <f>BC24*(AY24/AX24)</f>
        <v>-145.47697974217311</v>
      </c>
      <c r="BE24" s="141">
        <f t="shared" si="17"/>
        <v>-4692.4769797421732</v>
      </c>
      <c r="BF24" s="189">
        <f t="shared" ref="BF24:BF26" si="22">(BA24/BE24)*(BE24*1.1)</f>
        <v>-3689.4000000000005</v>
      </c>
      <c r="BG24" s="189">
        <f t="shared" si="19"/>
        <v>-628.1</v>
      </c>
      <c r="BH24" s="189">
        <f t="shared" si="20"/>
        <v>-684.19999999999993</v>
      </c>
      <c r="BI24" s="189">
        <f t="shared" si="21"/>
        <v>-160.02467771639041</v>
      </c>
      <c r="BJ24" s="141">
        <f t="shared" si="18"/>
        <v>-5161.7246777163909</v>
      </c>
      <c r="BK24" s="141">
        <f t="shared" ref="BK24:BK26" si="23">BJ24*(BJ24/BE24)</f>
        <v>-5677.8971454880302</v>
      </c>
      <c r="BL24" s="141">
        <f t="shared" ref="BL24:BM24" si="24">BK24*(BK24/BJ24)</f>
        <v>-6245.6868600368334</v>
      </c>
      <c r="BM24" s="141">
        <f t="shared" si="24"/>
        <v>-6870.2555460405174</v>
      </c>
    </row>
    <row r="25" spans="1:65" ht="16.5" x14ac:dyDescent="0.3">
      <c r="A25" s="4" t="s">
        <v>185</v>
      </c>
      <c r="B25" s="4"/>
      <c r="C25" s="4"/>
      <c r="D25" s="4"/>
      <c r="E25" s="22">
        <v>1305</v>
      </c>
      <c r="F25" s="22">
        <v>1966</v>
      </c>
      <c r="G25" s="22">
        <v>4250</v>
      </c>
      <c r="H25" s="22">
        <v>6843</v>
      </c>
      <c r="I25" s="22">
        <v>4237</v>
      </c>
      <c r="J25" s="22">
        <v>2306</v>
      </c>
      <c r="K25" s="22">
        <v>3349</v>
      </c>
      <c r="L25" s="22">
        <v>3025</v>
      </c>
      <c r="M25" s="30">
        <v>1138</v>
      </c>
      <c r="N25" s="29">
        <v>931</v>
      </c>
      <c r="O25" s="30">
        <v>1431</v>
      </c>
      <c r="P25" s="30">
        <v>1233</v>
      </c>
      <c r="Q25" s="22">
        <v>4733</v>
      </c>
      <c r="R25" s="30">
        <v>1910</v>
      </c>
      <c r="S25" s="30">
        <v>2070</v>
      </c>
      <c r="T25" s="30">
        <v>2211</v>
      </c>
      <c r="U25" s="30">
        <v>3485</v>
      </c>
      <c r="V25" s="22">
        <v>9676</v>
      </c>
      <c r="W25" s="30">
        <v>2677</v>
      </c>
      <c r="X25" s="30">
        <v>1660</v>
      </c>
      <c r="Y25" s="30">
        <v>1964</v>
      </c>
      <c r="Z25" s="30">
        <v>1938</v>
      </c>
      <c r="AA25" s="22">
        <v>8239</v>
      </c>
      <c r="AB25" s="30">
        <v>2643</v>
      </c>
      <c r="AC25" s="30">
        <v>5161</v>
      </c>
      <c r="AD25" s="30">
        <v>7251</v>
      </c>
      <c r="AE25" s="30">
        <v>7626</v>
      </c>
      <c r="AF25" s="22">
        <v>22681</v>
      </c>
      <c r="AG25" s="30">
        <v>11626</v>
      </c>
      <c r="AH25" s="30">
        <v>8138</v>
      </c>
      <c r="AI25" s="30">
        <v>13135</v>
      </c>
      <c r="AJ25" s="30">
        <v>17338</v>
      </c>
      <c r="AK25" s="22">
        <v>50237</v>
      </c>
      <c r="AL25" s="30">
        <v>17826</v>
      </c>
      <c r="AM25" s="30">
        <v>13213</v>
      </c>
      <c r="AN25" s="30">
        <v>15808</v>
      </c>
      <c r="AO25" s="30">
        <v>12537</v>
      </c>
      <c r="AP25" s="22">
        <v>59384</v>
      </c>
      <c r="AQ25" s="30">
        <v>22753</v>
      </c>
      <c r="AR25" s="30">
        <v>2608</v>
      </c>
      <c r="AS25" s="29">
        <v>557</v>
      </c>
      <c r="AT25" s="30">
        <v>5683</v>
      </c>
      <c r="AU25" s="22">
        <f t="shared" si="15"/>
        <v>31601</v>
      </c>
      <c r="AV25" s="30">
        <v>1115</v>
      </c>
      <c r="AW25" s="30">
        <v>1551</v>
      </c>
      <c r="AX25" s="30">
        <v>1393</v>
      </c>
      <c r="AY25" s="30">
        <v>1568</v>
      </c>
      <c r="AZ25" s="22">
        <f t="shared" si="16"/>
        <v>5627</v>
      </c>
      <c r="BA25" s="30">
        <v>1392</v>
      </c>
      <c r="BB25" s="30">
        <v>3265</v>
      </c>
      <c r="BC25" s="30">
        <v>8069</v>
      </c>
      <c r="BD25" s="194">
        <f>BC25*(AY25/AX25)</f>
        <v>9082.6934673366832</v>
      </c>
      <c r="BE25" s="141">
        <f t="shared" si="17"/>
        <v>21808.693467336685</v>
      </c>
      <c r="BF25" s="189">
        <f t="shared" si="22"/>
        <v>1531.2</v>
      </c>
      <c r="BG25" s="189">
        <f t="shared" si="19"/>
        <v>3591.5000000000005</v>
      </c>
      <c r="BH25" s="189">
        <f t="shared" si="20"/>
        <v>8875.9000000000015</v>
      </c>
      <c r="BI25" s="189">
        <f t="shared" si="21"/>
        <v>9990.9628140703535</v>
      </c>
      <c r="BJ25" s="141">
        <f t="shared" si="18"/>
        <v>23989.562814070356</v>
      </c>
      <c r="BK25" s="141">
        <f t="shared" si="23"/>
        <v>26388.519095477393</v>
      </c>
      <c r="BL25" s="141">
        <f t="shared" ref="BL25:BM25" si="25">BK25*(BK25/BJ25)</f>
        <v>29027.371005025136</v>
      </c>
      <c r="BM25" s="141">
        <f t="shared" si="25"/>
        <v>31930.108105527652</v>
      </c>
    </row>
    <row r="26" spans="1:65" ht="16.5" x14ac:dyDescent="0.3">
      <c r="A26" s="4" t="s">
        <v>186</v>
      </c>
      <c r="B26" s="4"/>
      <c r="C26" s="4"/>
      <c r="D26" s="4"/>
      <c r="E26" s="22">
        <v>-1677</v>
      </c>
      <c r="F26" s="22">
        <v>-3890</v>
      </c>
      <c r="G26" s="22">
        <v>-6279</v>
      </c>
      <c r="H26" s="22">
        <v>-6257</v>
      </c>
      <c r="I26" s="22">
        <v>-3302</v>
      </c>
      <c r="J26" s="22">
        <v>-2826</v>
      </c>
      <c r="K26" s="22">
        <v>-2542</v>
      </c>
      <c r="L26" s="22">
        <v>-4091</v>
      </c>
      <c r="M26" s="29">
        <v>-636</v>
      </c>
      <c r="N26" s="30">
        <v>-1645</v>
      </c>
      <c r="O26" s="30">
        <v>-2076</v>
      </c>
      <c r="P26" s="30">
        <v>-3399</v>
      </c>
      <c r="Q26" s="22">
        <v>-7756</v>
      </c>
      <c r="R26" s="30">
        <v>-1354</v>
      </c>
      <c r="S26" s="30">
        <v>-4210</v>
      </c>
      <c r="T26" s="30">
        <v>-4817</v>
      </c>
      <c r="U26" s="30">
        <v>-2349</v>
      </c>
      <c r="V26" s="22">
        <v>-12730</v>
      </c>
      <c r="W26" s="29">
        <v>-470</v>
      </c>
      <c r="X26" s="29">
        <v>-537</v>
      </c>
      <c r="Y26" s="30">
        <v>-4033</v>
      </c>
      <c r="Z26" s="30">
        <v>-2060</v>
      </c>
      <c r="AA26" s="22">
        <v>-7100</v>
      </c>
      <c r="AB26" s="30">
        <v>-6876</v>
      </c>
      <c r="AC26" s="30">
        <v>-9950</v>
      </c>
      <c r="AD26" s="30">
        <v>-8542</v>
      </c>
      <c r="AE26" s="30">
        <v>-6444</v>
      </c>
      <c r="AF26" s="22">
        <v>-31812</v>
      </c>
      <c r="AG26" s="30">
        <v>-15001</v>
      </c>
      <c r="AH26" s="30">
        <v>-19209</v>
      </c>
      <c r="AI26" s="30">
        <v>-17468</v>
      </c>
      <c r="AJ26" s="30">
        <v>-20801</v>
      </c>
      <c r="AK26" s="22">
        <v>-72479</v>
      </c>
      <c r="AL26" s="30">
        <v>-14675</v>
      </c>
      <c r="AM26" s="30">
        <v>-21985</v>
      </c>
      <c r="AN26" s="30">
        <v>-15231</v>
      </c>
      <c r="AO26" s="30">
        <v>-8266</v>
      </c>
      <c r="AP26" s="22">
        <v>-60157</v>
      </c>
      <c r="AQ26" s="30">
        <v>-1764</v>
      </c>
      <c r="AR26" s="29">
        <v>-329</v>
      </c>
      <c r="AS26" s="29">
        <v>-239</v>
      </c>
      <c r="AT26" s="29">
        <v>-233</v>
      </c>
      <c r="AU26" s="22">
        <f t="shared" si="15"/>
        <v>-2565</v>
      </c>
      <c r="AV26" s="29">
        <v>-338</v>
      </c>
      <c r="AW26" s="29">
        <v>-496</v>
      </c>
      <c r="AX26" s="29">
        <v>-219</v>
      </c>
      <c r="AY26" s="29">
        <v>-435</v>
      </c>
      <c r="AZ26" s="22">
        <f t="shared" si="16"/>
        <v>-1488</v>
      </c>
      <c r="BA26" s="30">
        <v>-1965</v>
      </c>
      <c r="BB26" s="30">
        <v>-8439</v>
      </c>
      <c r="BC26" s="30">
        <v>-3068</v>
      </c>
      <c r="BD26" s="194">
        <f>BC26*(AY26/AX26)</f>
        <v>-6093.9726027397255</v>
      </c>
      <c r="BE26" s="141">
        <f t="shared" si="17"/>
        <v>-19565.972602739726</v>
      </c>
      <c r="BF26" s="189">
        <f t="shared" si="22"/>
        <v>-2161.5000000000005</v>
      </c>
      <c r="BG26" s="189">
        <f t="shared" si="19"/>
        <v>-9282.9000000000015</v>
      </c>
      <c r="BH26" s="189">
        <f t="shared" si="20"/>
        <v>-3374.8000000000006</v>
      </c>
      <c r="BI26" s="189">
        <f t="shared" si="21"/>
        <v>-6703.3698630136987</v>
      </c>
      <c r="BJ26" s="141">
        <f t="shared" si="18"/>
        <v>-21522.569863013701</v>
      </c>
      <c r="BK26" s="141">
        <f t="shared" si="23"/>
        <v>-23674.826849315072</v>
      </c>
      <c r="BL26" s="141">
        <f t="shared" ref="BL26:BM26" si="26">BK26*(BK26/BJ26)</f>
        <v>-26042.309534246582</v>
      </c>
      <c r="BM26" s="141">
        <f t="shared" si="26"/>
        <v>-28646.540487671242</v>
      </c>
    </row>
    <row r="27" spans="1:65" ht="16.5" x14ac:dyDescent="0.3">
      <c r="A27" s="7" t="s">
        <v>187</v>
      </c>
      <c r="B27" s="7"/>
      <c r="C27" s="4"/>
      <c r="D27" s="7" t="s">
        <v>0</v>
      </c>
      <c r="E27" s="102">
        <f t="shared" ref="E27:AJ27" si="27">SUM(E22:E26)</f>
        <v>-1199</v>
      </c>
      <c r="F27" s="102">
        <f t="shared" si="27"/>
        <v>-2337</v>
      </c>
      <c r="G27" s="102">
        <f t="shared" si="27"/>
        <v>-3360</v>
      </c>
      <c r="H27" s="102">
        <f t="shared" si="27"/>
        <v>-1930</v>
      </c>
      <c r="I27" s="102">
        <f t="shared" si="27"/>
        <v>-3595</v>
      </c>
      <c r="J27" s="102">
        <f t="shared" si="27"/>
        <v>-4276</v>
      </c>
      <c r="K27" s="102">
        <f t="shared" si="27"/>
        <v>-5065</v>
      </c>
      <c r="L27" s="102">
        <f t="shared" si="27"/>
        <v>-6450</v>
      </c>
      <c r="M27" s="103">
        <f t="shared" si="27"/>
        <v>-693</v>
      </c>
      <c r="N27" s="31">
        <f t="shared" si="27"/>
        <v>-2439</v>
      </c>
      <c r="O27" s="31">
        <f t="shared" si="27"/>
        <v>-2570</v>
      </c>
      <c r="P27" s="31">
        <f t="shared" si="27"/>
        <v>-4174</v>
      </c>
      <c r="Q27" s="102">
        <f t="shared" si="27"/>
        <v>-9876</v>
      </c>
      <c r="R27" s="31">
        <f t="shared" si="27"/>
        <v>-1350</v>
      </c>
      <c r="S27" s="31">
        <f t="shared" si="27"/>
        <v>-5274</v>
      </c>
      <c r="T27" s="31">
        <f t="shared" si="27"/>
        <v>-18478</v>
      </c>
      <c r="U27" s="31">
        <f t="shared" si="27"/>
        <v>-1981</v>
      </c>
      <c r="V27" s="102">
        <f t="shared" si="27"/>
        <v>-27083</v>
      </c>
      <c r="W27" s="103">
        <f t="shared" si="27"/>
        <v>-533</v>
      </c>
      <c r="X27" s="31">
        <f t="shared" si="27"/>
        <v>-2692</v>
      </c>
      <c r="Y27" s="31">
        <f t="shared" si="27"/>
        <v>-5572</v>
      </c>
      <c r="Z27" s="31">
        <f t="shared" si="27"/>
        <v>-3572</v>
      </c>
      <c r="AA27" s="102">
        <f t="shared" si="27"/>
        <v>-12369</v>
      </c>
      <c r="AB27" s="31">
        <f t="shared" si="27"/>
        <v>-8123</v>
      </c>
      <c r="AC27" s="31">
        <f t="shared" si="27"/>
        <v>-7549</v>
      </c>
      <c r="AD27" s="31">
        <f t="shared" si="27"/>
        <v>-5074</v>
      </c>
      <c r="AE27" s="31">
        <f t="shared" si="27"/>
        <v>-3536</v>
      </c>
      <c r="AF27" s="102">
        <f t="shared" si="27"/>
        <v>-24282</v>
      </c>
      <c r="AG27" s="31">
        <f t="shared" si="27"/>
        <v>-8894</v>
      </c>
      <c r="AH27" s="31">
        <f t="shared" si="27"/>
        <v>-17804</v>
      </c>
      <c r="AI27" s="31">
        <f t="shared" si="27"/>
        <v>-15876</v>
      </c>
      <c r="AJ27" s="31">
        <f t="shared" si="27"/>
        <v>-17038</v>
      </c>
      <c r="AK27" s="102">
        <f t="shared" ref="AK27:BJ27" si="28">SUM(AK22:AK26)</f>
        <v>-59612</v>
      </c>
      <c r="AL27" s="31">
        <f t="shared" si="28"/>
        <v>-8666</v>
      </c>
      <c r="AM27" s="31">
        <f t="shared" si="28"/>
        <v>-22080</v>
      </c>
      <c r="AN27" s="31">
        <f t="shared" si="28"/>
        <v>-14828</v>
      </c>
      <c r="AO27" s="31">
        <f t="shared" si="28"/>
        <v>-12580</v>
      </c>
      <c r="AP27" s="102">
        <f t="shared" si="28"/>
        <v>-58154</v>
      </c>
      <c r="AQ27" s="103">
        <f t="shared" si="28"/>
        <v>906</v>
      </c>
      <c r="AR27" s="31">
        <f t="shared" si="28"/>
        <v>-12078</v>
      </c>
      <c r="AS27" s="31">
        <f t="shared" si="28"/>
        <v>-15608</v>
      </c>
      <c r="AT27" s="31">
        <f t="shared" si="28"/>
        <v>-10821</v>
      </c>
      <c r="AU27" s="102">
        <f t="shared" si="28"/>
        <v>-37601</v>
      </c>
      <c r="AV27" s="31">
        <f t="shared" si="28"/>
        <v>-15806</v>
      </c>
      <c r="AW27" s="31">
        <f t="shared" si="28"/>
        <v>-9673</v>
      </c>
      <c r="AX27" s="31">
        <f t="shared" si="28"/>
        <v>-11753</v>
      </c>
      <c r="AY27" s="31">
        <f t="shared" si="28"/>
        <v>-12601</v>
      </c>
      <c r="AZ27" s="102">
        <f t="shared" si="28"/>
        <v>-49833</v>
      </c>
      <c r="BA27" s="31">
        <f t="shared" si="28"/>
        <v>-17862</v>
      </c>
      <c r="BB27" s="31">
        <f t="shared" si="28"/>
        <v>-22138</v>
      </c>
      <c r="BC27" s="31">
        <f t="shared" si="28"/>
        <v>-16899</v>
      </c>
      <c r="BD27" s="31">
        <f t="shared" si="28"/>
        <v>-14541.031429822728</v>
      </c>
      <c r="BE27" s="245">
        <f t="shared" si="28"/>
        <v>-71440.031429822731</v>
      </c>
      <c r="BF27" s="190">
        <f t="shared" si="28"/>
        <v>-22135.077600000001</v>
      </c>
      <c r="BG27" s="190">
        <f t="shared" si="28"/>
        <v>-24506.515200000002</v>
      </c>
      <c r="BH27" s="190">
        <f t="shared" si="28"/>
        <v>-14672.068799999999</v>
      </c>
      <c r="BI27" s="190">
        <f t="shared" si="28"/>
        <v>-20085.269546304437</v>
      </c>
      <c r="BJ27" s="245">
        <f t="shared" si="28"/>
        <v>-81398.931146304429</v>
      </c>
      <c r="BK27" s="245">
        <f t="shared" ref="BK27:BM27" si="29">SUM(BK22:BK26)</f>
        <v>-88985.560545494503</v>
      </c>
      <c r="BL27" s="245">
        <f t="shared" si="29"/>
        <v>-97419.157691637665</v>
      </c>
      <c r="BM27" s="245">
        <f t="shared" si="29"/>
        <v>-106806.22979870185</v>
      </c>
    </row>
    <row r="28" spans="1:65" ht="16.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29"/>
      <c r="N28" s="29"/>
      <c r="O28" s="29"/>
      <c r="P28" s="29"/>
      <c r="Q28" s="4"/>
      <c r="R28" s="29"/>
      <c r="S28" s="29"/>
      <c r="T28" s="29"/>
      <c r="U28" s="29"/>
      <c r="V28" s="4"/>
      <c r="W28" s="29"/>
      <c r="X28" s="29"/>
      <c r="Y28" s="29"/>
      <c r="Z28" s="29"/>
      <c r="AA28" s="4"/>
      <c r="AB28" s="29"/>
      <c r="AC28" s="29"/>
      <c r="AD28" s="29"/>
      <c r="AE28" s="29"/>
      <c r="AF28" s="4"/>
      <c r="AG28" s="29"/>
      <c r="AH28" s="29"/>
      <c r="AI28" s="29"/>
      <c r="AJ28" s="29"/>
      <c r="AK28" s="4"/>
      <c r="AL28" s="29"/>
      <c r="AM28" s="29"/>
      <c r="AN28" s="29"/>
      <c r="AO28" s="29"/>
      <c r="AP28" s="4"/>
      <c r="AQ28" s="29"/>
      <c r="AR28" s="29"/>
      <c r="AS28" s="29"/>
      <c r="AT28" s="29"/>
      <c r="AU28" s="4"/>
      <c r="AV28" s="29"/>
      <c r="AW28" s="29"/>
      <c r="AX28" s="29"/>
      <c r="AY28" s="29"/>
      <c r="AZ28" s="4"/>
      <c r="BA28" s="29"/>
      <c r="BB28" s="29"/>
      <c r="BC28" s="29"/>
      <c r="BD28" s="29"/>
      <c r="BE28" s="191"/>
      <c r="BF28" s="191"/>
      <c r="BG28" s="191"/>
      <c r="BH28" s="191"/>
      <c r="BI28" s="191"/>
      <c r="BJ28" s="191"/>
      <c r="BK28" s="191"/>
      <c r="BL28" s="191"/>
      <c r="BM28" s="191"/>
    </row>
    <row r="29" spans="1:65" ht="16.5" x14ac:dyDescent="0.3">
      <c r="A29" s="4" t="s">
        <v>188</v>
      </c>
      <c r="B29" s="4"/>
      <c r="C29" s="4"/>
      <c r="D29" s="4"/>
      <c r="E29" s="13" t="s">
        <v>179</v>
      </c>
      <c r="F29" s="13" t="s">
        <v>179</v>
      </c>
      <c r="G29" s="13" t="s">
        <v>179</v>
      </c>
      <c r="H29" s="13" t="s">
        <v>179</v>
      </c>
      <c r="I29" s="13" t="s">
        <v>179</v>
      </c>
      <c r="J29" s="13" t="s">
        <v>183</v>
      </c>
      <c r="K29" s="13" t="s">
        <v>179</v>
      </c>
      <c r="L29" s="13" t="s">
        <v>179</v>
      </c>
      <c r="M29" s="29" t="s">
        <v>179</v>
      </c>
      <c r="N29" s="29" t="s">
        <v>179</v>
      </c>
      <c r="O29" s="29" t="s">
        <v>179</v>
      </c>
      <c r="P29" s="29" t="s">
        <v>179</v>
      </c>
      <c r="Q29" s="13" t="s">
        <v>179</v>
      </c>
      <c r="R29" s="29" t="s">
        <v>179</v>
      </c>
      <c r="S29" s="29" t="s">
        <v>179</v>
      </c>
      <c r="T29" s="29" t="s">
        <v>179</v>
      </c>
      <c r="U29" s="29" t="s">
        <v>179</v>
      </c>
      <c r="V29" s="13" t="s">
        <v>179</v>
      </c>
      <c r="W29" s="29" t="s">
        <v>179</v>
      </c>
      <c r="X29" s="29" t="s">
        <v>179</v>
      </c>
      <c r="Y29" s="29" t="s">
        <v>179</v>
      </c>
      <c r="Z29" s="29" t="s">
        <v>179</v>
      </c>
      <c r="AA29" s="13" t="s">
        <v>179</v>
      </c>
      <c r="AB29" s="29" t="s">
        <v>179</v>
      </c>
      <c r="AC29" s="29">
        <v>222</v>
      </c>
      <c r="AD29" s="29">
        <v>415</v>
      </c>
      <c r="AE29" s="29" t="s">
        <v>179</v>
      </c>
      <c r="AF29" s="13">
        <v>637</v>
      </c>
      <c r="AG29" s="29" t="s">
        <v>179</v>
      </c>
      <c r="AH29" s="30">
        <v>2433</v>
      </c>
      <c r="AI29" s="30">
        <v>1311</v>
      </c>
      <c r="AJ29" s="30">
        <v>2434</v>
      </c>
      <c r="AK29" s="21">
        <v>6178</v>
      </c>
      <c r="AL29" s="30">
        <v>1926</v>
      </c>
      <c r="AM29" s="30">
        <v>1176</v>
      </c>
      <c r="AN29" s="30">
        <v>2187</v>
      </c>
      <c r="AO29" s="30">
        <v>2667</v>
      </c>
      <c r="AP29" s="21">
        <v>7956</v>
      </c>
      <c r="AQ29" s="30">
        <v>13743</v>
      </c>
      <c r="AR29" s="30">
        <v>4865</v>
      </c>
      <c r="AS29" s="30">
        <v>12338</v>
      </c>
      <c r="AT29" s="30">
        <v>10607</v>
      </c>
      <c r="AU29" s="22">
        <f t="shared" ref="AU29:AU35" si="30">SUM(AQ29:AT29)</f>
        <v>41553</v>
      </c>
      <c r="AV29" s="30">
        <v>12780</v>
      </c>
      <c r="AW29" s="30">
        <v>4399</v>
      </c>
      <c r="AX29" s="29">
        <v>216</v>
      </c>
      <c r="AY29" s="29">
        <v>734</v>
      </c>
      <c r="AZ29" s="22">
        <f t="shared" ref="AZ29:AZ35" si="31">SUM(AV29:AY29)</f>
        <v>18129</v>
      </c>
      <c r="BA29" s="29">
        <v>338</v>
      </c>
      <c r="BB29" s="29">
        <v>525</v>
      </c>
      <c r="BC29" s="30">
        <v>1725</v>
      </c>
      <c r="BD29" s="194">
        <f>AVERAGE(BA29:BC29,AV29:AY29)</f>
        <v>2959.5714285714284</v>
      </c>
      <c r="BE29" s="141">
        <f t="shared" ref="BE29:BE35" si="32">SUM(BA29:BD29)</f>
        <v>5547.5714285714284</v>
      </c>
      <c r="BF29" s="189">
        <f t="shared" ref="BF29:BF34" si="33">(BA29/BE29)*(BE29*1.1)</f>
        <v>371.80000000000007</v>
      </c>
      <c r="BG29" s="189">
        <f t="shared" ref="BG29:BG34" si="34">BF29*(BB29/BA29)</f>
        <v>577.50000000000011</v>
      </c>
      <c r="BH29" s="189">
        <f t="shared" ref="BH29:BH34" si="35">BG29*(BC29/BB29)</f>
        <v>1897.5000000000002</v>
      </c>
      <c r="BI29" s="189">
        <f t="shared" ref="BI29:BI34" si="36">BH29*(BD29/BC29)</f>
        <v>3255.5285714285719</v>
      </c>
      <c r="BJ29" s="141">
        <f t="shared" ref="BJ29:BJ34" si="37">SUM(BF29:BI29)</f>
        <v>6102.3285714285721</v>
      </c>
      <c r="BK29" s="141">
        <f t="shared" ref="BK29:BK34" si="38">BJ29*(BJ29/BE29)</f>
        <v>6712.56142857143</v>
      </c>
      <c r="BL29" s="141">
        <f t="shared" ref="BL29:BL34" si="39">BK29*(BK29/BJ29)</f>
        <v>7383.8175714285735</v>
      </c>
      <c r="BM29" s="141">
        <f t="shared" ref="BM29:BM34" si="40">BL29*(BL29/BK29)</f>
        <v>8122.1993285714316</v>
      </c>
    </row>
    <row r="30" spans="1:65" ht="16.5" x14ac:dyDescent="0.3">
      <c r="A30" s="4" t="s">
        <v>189</v>
      </c>
      <c r="B30" s="4"/>
      <c r="C30" s="4"/>
      <c r="D30" s="4"/>
      <c r="E30" s="4" t="s">
        <v>179</v>
      </c>
      <c r="F30" s="4" t="s">
        <v>179</v>
      </c>
      <c r="G30" s="4" t="s">
        <v>179</v>
      </c>
      <c r="H30" s="4" t="s">
        <v>179</v>
      </c>
      <c r="I30" s="4" t="s">
        <v>179</v>
      </c>
      <c r="J30" s="4" t="s">
        <v>183</v>
      </c>
      <c r="K30" s="4" t="s">
        <v>179</v>
      </c>
      <c r="L30" s="13" t="s">
        <v>179</v>
      </c>
      <c r="M30" s="29" t="s">
        <v>179</v>
      </c>
      <c r="N30" s="29" t="s">
        <v>179</v>
      </c>
      <c r="O30" s="29" t="s">
        <v>179</v>
      </c>
      <c r="P30" s="29" t="s">
        <v>179</v>
      </c>
      <c r="Q30" s="13" t="s">
        <v>179</v>
      </c>
      <c r="R30" s="29" t="s">
        <v>179</v>
      </c>
      <c r="S30" s="29" t="s">
        <v>179</v>
      </c>
      <c r="T30" s="29" t="s">
        <v>179</v>
      </c>
      <c r="U30" s="29" t="s">
        <v>179</v>
      </c>
      <c r="V30" s="13" t="s">
        <v>179</v>
      </c>
      <c r="W30" s="29" t="s">
        <v>179</v>
      </c>
      <c r="X30" s="29" t="s">
        <v>179</v>
      </c>
      <c r="Y30" s="29" t="s">
        <v>179</v>
      </c>
      <c r="Z30" s="29" t="s">
        <v>179</v>
      </c>
      <c r="AA30" s="13" t="s">
        <v>179</v>
      </c>
      <c r="AB30" s="29" t="s">
        <v>179</v>
      </c>
      <c r="AC30" s="29">
        <v>-73</v>
      </c>
      <c r="AD30" s="29">
        <v>-341</v>
      </c>
      <c r="AE30" s="29" t="s">
        <v>179</v>
      </c>
      <c r="AF30" s="13">
        <v>-414</v>
      </c>
      <c r="AG30" s="29" t="s">
        <v>179</v>
      </c>
      <c r="AH30" s="30">
        <v>-1906</v>
      </c>
      <c r="AI30" s="30">
        <v>-1349</v>
      </c>
      <c r="AJ30" s="30">
        <v>-2291</v>
      </c>
      <c r="AK30" s="21">
        <v>-5546</v>
      </c>
      <c r="AL30" s="30">
        <v>-2001</v>
      </c>
      <c r="AM30" s="30">
        <v>-1176</v>
      </c>
      <c r="AN30" s="30">
        <v>-1917</v>
      </c>
      <c r="AO30" s="30">
        <v>-2659</v>
      </c>
      <c r="AP30" s="21">
        <v>-7753</v>
      </c>
      <c r="AQ30" s="30">
        <v>-6231</v>
      </c>
      <c r="AR30" s="30">
        <v>-7610</v>
      </c>
      <c r="AS30" s="30">
        <v>-7916</v>
      </c>
      <c r="AT30" s="30">
        <v>-15797</v>
      </c>
      <c r="AU30" s="22">
        <f t="shared" si="30"/>
        <v>-37554</v>
      </c>
      <c r="AV30" s="30">
        <v>-3603</v>
      </c>
      <c r="AW30" s="30">
        <v>-7641</v>
      </c>
      <c r="AX30" s="30">
        <v>-8095</v>
      </c>
      <c r="AY30" s="30">
        <v>-6338</v>
      </c>
      <c r="AZ30" s="22">
        <f t="shared" si="31"/>
        <v>-25677</v>
      </c>
      <c r="BA30" s="29">
        <v>-404</v>
      </c>
      <c r="BB30" s="29">
        <v>-229</v>
      </c>
      <c r="BC30" s="30">
        <v>-1820</v>
      </c>
      <c r="BD30" s="194">
        <f>AVERAGE(BA30:BC30,AV30:AY30)</f>
        <v>-4018.5714285714284</v>
      </c>
      <c r="BE30" s="141">
        <f t="shared" si="32"/>
        <v>-6471.5714285714284</v>
      </c>
      <c r="BF30" s="189">
        <f t="shared" si="33"/>
        <v>-444.4</v>
      </c>
      <c r="BG30" s="189">
        <f t="shared" si="34"/>
        <v>-251.89999999999998</v>
      </c>
      <c r="BH30" s="189">
        <f t="shared" si="35"/>
        <v>-2002</v>
      </c>
      <c r="BI30" s="189">
        <f t="shared" si="36"/>
        <v>-4420.4285714285716</v>
      </c>
      <c r="BJ30" s="141">
        <f t="shared" si="37"/>
        <v>-7118.7285714285717</v>
      </c>
      <c r="BK30" s="141">
        <f t="shared" si="38"/>
        <v>-7830.6014285714291</v>
      </c>
      <c r="BL30" s="141">
        <f t="shared" si="39"/>
        <v>-8613.6615714285726</v>
      </c>
      <c r="BM30" s="141">
        <f t="shared" si="40"/>
        <v>-9475.027728571431</v>
      </c>
    </row>
    <row r="31" spans="1:65" ht="16.5" x14ac:dyDescent="0.3">
      <c r="A31" s="4" t="s">
        <v>190</v>
      </c>
      <c r="B31" s="4"/>
      <c r="C31" s="4"/>
      <c r="D31" s="4"/>
      <c r="E31" s="13">
        <v>98</v>
      </c>
      <c r="F31" s="13">
        <v>87</v>
      </c>
      <c r="G31" s="13">
        <v>143</v>
      </c>
      <c r="H31" s="13">
        <v>177</v>
      </c>
      <c r="I31" s="21">
        <v>3378</v>
      </c>
      <c r="J31" s="13">
        <v>394</v>
      </c>
      <c r="K31" s="21">
        <v>6359</v>
      </c>
      <c r="L31" s="13">
        <v>353</v>
      </c>
      <c r="M31" s="29">
        <v>9</v>
      </c>
      <c r="N31" s="29">
        <v>66</v>
      </c>
      <c r="O31" s="29">
        <v>8</v>
      </c>
      <c r="P31" s="29">
        <v>537</v>
      </c>
      <c r="Q31" s="13">
        <v>620</v>
      </c>
      <c r="R31" s="29">
        <v>21</v>
      </c>
      <c r="S31" s="29">
        <v>49</v>
      </c>
      <c r="T31" s="30">
        <v>16049</v>
      </c>
      <c r="U31" s="29">
        <v>109</v>
      </c>
      <c r="V31" s="21">
        <v>16228</v>
      </c>
      <c r="W31" s="29">
        <v>125</v>
      </c>
      <c r="X31" s="29">
        <v>96</v>
      </c>
      <c r="Y31" s="29">
        <v>143</v>
      </c>
      <c r="Z31" s="29">
        <v>406</v>
      </c>
      <c r="AA31" s="13">
        <v>770</v>
      </c>
      <c r="AB31" s="29">
        <v>190</v>
      </c>
      <c r="AC31" s="29">
        <v>61</v>
      </c>
      <c r="AD31" s="29">
        <v>287</v>
      </c>
      <c r="AE31" s="30">
        <v>1098</v>
      </c>
      <c r="AF31" s="21">
        <v>1636</v>
      </c>
      <c r="AG31" s="29">
        <v>693</v>
      </c>
      <c r="AH31" s="30">
        <v>9918</v>
      </c>
      <c r="AI31" s="29" t="s">
        <v>179</v>
      </c>
      <c r="AJ31" s="29">
        <v>531</v>
      </c>
      <c r="AK31" s="21">
        <v>11142</v>
      </c>
      <c r="AL31" s="29">
        <v>111</v>
      </c>
      <c r="AM31" s="30">
        <v>18516</v>
      </c>
      <c r="AN31" s="29">
        <v>176</v>
      </c>
      <c r="AO31" s="29">
        <v>200</v>
      </c>
      <c r="AP31" s="21">
        <v>19003</v>
      </c>
      <c r="AQ31" s="29" t="s">
        <v>179</v>
      </c>
      <c r="AR31" s="30">
        <v>12824</v>
      </c>
      <c r="AS31" s="29">
        <v>107</v>
      </c>
      <c r="AT31" s="30">
        <v>8235</v>
      </c>
      <c r="AU31" s="22">
        <f t="shared" si="30"/>
        <v>21166</v>
      </c>
      <c r="AV31" s="29">
        <v>0</v>
      </c>
      <c r="AW31" s="29">
        <v>0</v>
      </c>
      <c r="AX31" s="29">
        <v>0</v>
      </c>
      <c r="AY31" s="29">
        <v>0</v>
      </c>
      <c r="AZ31" s="22">
        <f t="shared" si="31"/>
        <v>0</v>
      </c>
      <c r="BA31" s="29">
        <v>0</v>
      </c>
      <c r="BB31" s="29">
        <v>0</v>
      </c>
      <c r="BC31" s="29">
        <v>0</v>
      </c>
      <c r="BD31" s="194">
        <v>0</v>
      </c>
      <c r="BE31" s="141">
        <f t="shared" si="32"/>
        <v>0</v>
      </c>
      <c r="BF31" s="189">
        <v>0</v>
      </c>
      <c r="BG31" s="189">
        <v>0</v>
      </c>
      <c r="BH31" s="189">
        <v>0</v>
      </c>
      <c r="BI31" s="189">
        <v>0</v>
      </c>
      <c r="BJ31" s="141">
        <f t="shared" si="37"/>
        <v>0</v>
      </c>
      <c r="BK31" s="141">
        <v>0</v>
      </c>
      <c r="BL31" s="141">
        <v>0</v>
      </c>
      <c r="BM31" s="141">
        <v>0</v>
      </c>
    </row>
    <row r="32" spans="1:65" ht="16.5" x14ac:dyDescent="0.3">
      <c r="A32" s="4" t="s">
        <v>191</v>
      </c>
      <c r="B32" s="4"/>
      <c r="C32" s="4"/>
      <c r="D32" s="4"/>
      <c r="E32" s="13">
        <v>-355</v>
      </c>
      <c r="F32" s="13">
        <v>-472</v>
      </c>
      <c r="G32" s="13">
        <v>-221</v>
      </c>
      <c r="H32" s="13">
        <v>-444</v>
      </c>
      <c r="I32" s="13">
        <v>-82</v>
      </c>
      <c r="J32" s="13">
        <v>-231</v>
      </c>
      <c r="K32" s="13">
        <v>-513</v>
      </c>
      <c r="L32" s="21">
        <v>-1652</v>
      </c>
      <c r="M32" s="29">
        <v>-175</v>
      </c>
      <c r="N32" s="29">
        <v>-70</v>
      </c>
      <c r="O32" s="29">
        <v>-26</v>
      </c>
      <c r="P32" s="29">
        <v>-84</v>
      </c>
      <c r="Q32" s="13">
        <v>-355</v>
      </c>
      <c r="R32" s="29">
        <v>-40</v>
      </c>
      <c r="S32" s="29">
        <v>-48</v>
      </c>
      <c r="T32" s="29">
        <v>-71</v>
      </c>
      <c r="U32" s="30">
        <v>-1142</v>
      </c>
      <c r="V32" s="21">
        <v>-1301</v>
      </c>
      <c r="W32" s="29">
        <v>-202</v>
      </c>
      <c r="X32" s="29">
        <v>-149</v>
      </c>
      <c r="Y32" s="29">
        <v>-183</v>
      </c>
      <c r="Z32" s="29">
        <v>-134</v>
      </c>
      <c r="AA32" s="13">
        <v>-668</v>
      </c>
      <c r="AB32" s="29">
        <v>-351</v>
      </c>
      <c r="AC32" s="29">
        <v>-39</v>
      </c>
      <c r="AD32" s="29">
        <v>-14</v>
      </c>
      <c r="AE32" s="30">
        <v>-1865</v>
      </c>
      <c r="AF32" s="21">
        <v>-2269</v>
      </c>
      <c r="AG32" s="29">
        <v>-667</v>
      </c>
      <c r="AH32" s="29">
        <v>-205</v>
      </c>
      <c r="AI32" s="30">
        <v>-1198</v>
      </c>
      <c r="AJ32" s="29">
        <v>-113</v>
      </c>
      <c r="AK32" s="21">
        <v>-2183</v>
      </c>
      <c r="AL32" s="29">
        <v>-39</v>
      </c>
      <c r="AM32" s="29">
        <v>-41</v>
      </c>
      <c r="AN32" s="29">
        <v>-509</v>
      </c>
      <c r="AO32" s="30">
        <v>-1001</v>
      </c>
      <c r="AP32" s="21">
        <v>-1590</v>
      </c>
      <c r="AQ32" s="29" t="s">
        <v>179</v>
      </c>
      <c r="AR32" s="29">
        <v>-1</v>
      </c>
      <c r="AS32" s="29" t="s">
        <v>179</v>
      </c>
      <c r="AT32" s="30">
        <v>-1257</v>
      </c>
      <c r="AU32" s="22">
        <f t="shared" si="30"/>
        <v>-1258</v>
      </c>
      <c r="AV32" s="30">
        <v>-1386</v>
      </c>
      <c r="AW32" s="30">
        <v>-2000</v>
      </c>
      <c r="AX32" s="29">
        <v>0</v>
      </c>
      <c r="AY32" s="29">
        <v>-290</v>
      </c>
      <c r="AZ32" s="22">
        <f t="shared" si="31"/>
        <v>-3676</v>
      </c>
      <c r="BA32" s="29">
        <v>-330</v>
      </c>
      <c r="BB32" s="30">
        <v>-4169</v>
      </c>
      <c r="BC32" s="30">
        <v>-2183</v>
      </c>
      <c r="BD32" s="194">
        <f>AVERAGE(BA32:BC32,AV32:AY32)</f>
        <v>-1479.7142857142858</v>
      </c>
      <c r="BE32" s="141">
        <f t="shared" si="32"/>
        <v>-8161.7142857142862</v>
      </c>
      <c r="BF32" s="189">
        <f t="shared" si="33"/>
        <v>-363.00000000000006</v>
      </c>
      <c r="BG32" s="189">
        <f t="shared" si="34"/>
        <v>-4585.9000000000005</v>
      </c>
      <c r="BH32" s="189">
        <f t="shared" si="35"/>
        <v>-2401.3000000000002</v>
      </c>
      <c r="BI32" s="189">
        <f t="shared" si="36"/>
        <v>-1627.6857142857145</v>
      </c>
      <c r="BJ32" s="141">
        <f t="shared" si="37"/>
        <v>-8977.8857142857159</v>
      </c>
      <c r="BK32" s="141">
        <f t="shared" si="38"/>
        <v>-9875.674285714289</v>
      </c>
      <c r="BL32" s="141">
        <f t="shared" si="39"/>
        <v>-10863.241714285719</v>
      </c>
      <c r="BM32" s="141">
        <f t="shared" si="40"/>
        <v>-11949.565885714292</v>
      </c>
    </row>
    <row r="33" spans="1:65" ht="16.5" x14ac:dyDescent="0.3">
      <c r="A33" s="4" t="s">
        <v>192</v>
      </c>
      <c r="B33" s="4"/>
      <c r="C33" s="4"/>
      <c r="D33" s="4"/>
      <c r="E33" s="13" t="s">
        <v>179</v>
      </c>
      <c r="F33" s="13" t="s">
        <v>179</v>
      </c>
      <c r="G33" s="13" t="s">
        <v>179</v>
      </c>
      <c r="H33" s="13" t="s">
        <v>179</v>
      </c>
      <c r="I33" s="13">
        <v>-486</v>
      </c>
      <c r="J33" s="13">
        <v>-775</v>
      </c>
      <c r="K33" s="21">
        <v>-1285</v>
      </c>
      <c r="L33" s="21">
        <v>-2462</v>
      </c>
      <c r="M33" s="29">
        <v>-801</v>
      </c>
      <c r="N33" s="30">
        <v>-1116</v>
      </c>
      <c r="O33" s="29">
        <v>-938</v>
      </c>
      <c r="P33" s="30">
        <v>-1004</v>
      </c>
      <c r="Q33" s="21">
        <v>-3859</v>
      </c>
      <c r="R33" s="29">
        <v>-832</v>
      </c>
      <c r="S33" s="30">
        <v>-1228</v>
      </c>
      <c r="T33" s="30">
        <v>-1267</v>
      </c>
      <c r="U33" s="30">
        <v>-1472</v>
      </c>
      <c r="V33" s="21">
        <v>-4799</v>
      </c>
      <c r="W33" s="30">
        <v>-2015</v>
      </c>
      <c r="X33" s="30">
        <v>-1284</v>
      </c>
      <c r="Y33" s="30">
        <v>-2247</v>
      </c>
      <c r="Z33" s="30">
        <v>-1906</v>
      </c>
      <c r="AA33" s="21">
        <v>-7452</v>
      </c>
      <c r="AB33" s="30">
        <v>-2214</v>
      </c>
      <c r="AC33" s="30">
        <v>-2327</v>
      </c>
      <c r="AD33" s="30">
        <v>-2307</v>
      </c>
      <c r="AE33" s="30">
        <v>-2780</v>
      </c>
      <c r="AF33" s="21">
        <v>-9628</v>
      </c>
      <c r="AG33" s="30">
        <v>-2600</v>
      </c>
      <c r="AH33" s="30">
        <v>-2817</v>
      </c>
      <c r="AI33" s="30">
        <v>-2857</v>
      </c>
      <c r="AJ33" s="30">
        <v>-2368</v>
      </c>
      <c r="AK33" s="21">
        <v>-10642</v>
      </c>
      <c r="AL33" s="30">
        <v>-3406</v>
      </c>
      <c r="AM33" s="30">
        <v>-2804</v>
      </c>
      <c r="AN33" s="30">
        <v>-2693</v>
      </c>
      <c r="AO33" s="30">
        <v>-2260</v>
      </c>
      <c r="AP33" s="21">
        <v>-11163</v>
      </c>
      <c r="AQ33" s="30">
        <v>-2777</v>
      </c>
      <c r="AR33" s="30">
        <v>-2059</v>
      </c>
      <c r="AS33" s="30">
        <v>-1465</v>
      </c>
      <c r="AT33" s="30">
        <v>-1640</v>
      </c>
      <c r="AU33" s="22">
        <f t="shared" si="30"/>
        <v>-7941</v>
      </c>
      <c r="AV33" s="30">
        <v>-1380</v>
      </c>
      <c r="AW33" s="30">
        <v>-1220</v>
      </c>
      <c r="AX33" s="30">
        <v>-1005</v>
      </c>
      <c r="AY33" s="29">
        <v>-779</v>
      </c>
      <c r="AZ33" s="22">
        <f t="shared" si="31"/>
        <v>-4384</v>
      </c>
      <c r="BA33" s="29">
        <v>-770</v>
      </c>
      <c r="BB33" s="29">
        <v>-538</v>
      </c>
      <c r="BC33" s="29">
        <v>-402</v>
      </c>
      <c r="BD33" s="194">
        <f>AVERAGE(BA33:BC33,AV33:AY33)</f>
        <v>-870.57142857142856</v>
      </c>
      <c r="BE33" s="141">
        <f t="shared" si="32"/>
        <v>-2580.5714285714284</v>
      </c>
      <c r="BF33" s="189">
        <f t="shared" si="33"/>
        <v>-847.00000000000011</v>
      </c>
      <c r="BG33" s="189">
        <f t="shared" si="34"/>
        <v>-591.80000000000007</v>
      </c>
      <c r="BH33" s="189">
        <f t="shared" si="35"/>
        <v>-442.20000000000005</v>
      </c>
      <c r="BI33" s="189">
        <f t="shared" si="36"/>
        <v>-957.62857142857138</v>
      </c>
      <c r="BJ33" s="141">
        <f t="shared" si="37"/>
        <v>-2838.6285714285714</v>
      </c>
      <c r="BK33" s="141">
        <f t="shared" si="38"/>
        <v>-3122.491428571429</v>
      </c>
      <c r="BL33" s="141">
        <f t="shared" si="39"/>
        <v>-3434.7405714285724</v>
      </c>
      <c r="BM33" s="141">
        <f t="shared" si="40"/>
        <v>-3778.2146285714298</v>
      </c>
    </row>
    <row r="34" spans="1:65" ht="16.5" x14ac:dyDescent="0.3">
      <c r="A34" s="4" t="s">
        <v>193</v>
      </c>
      <c r="B34" s="4"/>
      <c r="C34" s="4"/>
      <c r="D34" s="4"/>
      <c r="E34" s="13" t="s">
        <v>179</v>
      </c>
      <c r="F34" s="13" t="s">
        <v>179</v>
      </c>
      <c r="G34" s="13" t="s">
        <v>179</v>
      </c>
      <c r="H34" s="13" t="s">
        <v>179</v>
      </c>
      <c r="I34" s="13">
        <v>-20</v>
      </c>
      <c r="J34" s="13">
        <v>-5</v>
      </c>
      <c r="K34" s="13">
        <v>-135</v>
      </c>
      <c r="L34" s="13">
        <v>-121</v>
      </c>
      <c r="M34" s="29">
        <v>-29</v>
      </c>
      <c r="N34" s="29">
        <v>-32</v>
      </c>
      <c r="O34" s="29">
        <v>-44</v>
      </c>
      <c r="P34" s="29">
        <v>-41</v>
      </c>
      <c r="Q34" s="13">
        <v>-146</v>
      </c>
      <c r="R34" s="29">
        <v>-37</v>
      </c>
      <c r="S34" s="29">
        <v>-47</v>
      </c>
      <c r="T34" s="29">
        <v>-49</v>
      </c>
      <c r="U34" s="29">
        <v>-66</v>
      </c>
      <c r="V34" s="13">
        <v>-199</v>
      </c>
      <c r="W34" s="29">
        <v>-72</v>
      </c>
      <c r="X34" s="29">
        <v>-57</v>
      </c>
      <c r="Y34" s="29">
        <v>-82</v>
      </c>
      <c r="Z34" s="29">
        <v>-126</v>
      </c>
      <c r="AA34" s="13">
        <v>-337</v>
      </c>
      <c r="AB34" s="29">
        <v>-2</v>
      </c>
      <c r="AC34" s="29">
        <v>-2</v>
      </c>
      <c r="AD34" s="29" t="s">
        <v>179</v>
      </c>
      <c r="AE34" s="29">
        <v>-24</v>
      </c>
      <c r="AF34" s="13">
        <v>-28</v>
      </c>
      <c r="AG34" s="29">
        <v>-17</v>
      </c>
      <c r="AH34" s="29">
        <v>-15</v>
      </c>
      <c r="AI34" s="29">
        <v>-12</v>
      </c>
      <c r="AJ34" s="29">
        <v>-9</v>
      </c>
      <c r="AK34" s="13">
        <v>-53</v>
      </c>
      <c r="AL34" s="29">
        <v>-67</v>
      </c>
      <c r="AM34" s="29">
        <v>-28</v>
      </c>
      <c r="AN34" s="29">
        <v>-20</v>
      </c>
      <c r="AO34" s="29">
        <v>-47</v>
      </c>
      <c r="AP34" s="13">
        <v>-162</v>
      </c>
      <c r="AQ34" s="29">
        <v>-79</v>
      </c>
      <c r="AR34" s="29">
        <v>-59</v>
      </c>
      <c r="AS34" s="29">
        <v>-48</v>
      </c>
      <c r="AT34" s="29">
        <v>-62</v>
      </c>
      <c r="AU34" s="22">
        <f t="shared" si="30"/>
        <v>-248</v>
      </c>
      <c r="AV34" s="29">
        <v>-57</v>
      </c>
      <c r="AW34" s="29">
        <v>-77</v>
      </c>
      <c r="AX34" s="29">
        <v>-64</v>
      </c>
      <c r="AY34" s="29">
        <v>-73</v>
      </c>
      <c r="AZ34" s="22">
        <f t="shared" si="31"/>
        <v>-271</v>
      </c>
      <c r="BA34" s="29">
        <v>-90</v>
      </c>
      <c r="BB34" s="29">
        <v>-79</v>
      </c>
      <c r="BC34" s="29">
        <v>-78</v>
      </c>
      <c r="BD34" s="194">
        <f>AVERAGE(BA34:BC34,AV34:AY34)</f>
        <v>-74</v>
      </c>
      <c r="BE34" s="141">
        <f t="shared" si="32"/>
        <v>-321</v>
      </c>
      <c r="BF34" s="189">
        <f t="shared" si="33"/>
        <v>-99</v>
      </c>
      <c r="BG34" s="189">
        <f t="shared" si="34"/>
        <v>-86.9</v>
      </c>
      <c r="BH34" s="189">
        <f t="shared" si="35"/>
        <v>-85.800000000000011</v>
      </c>
      <c r="BI34" s="189">
        <f t="shared" si="36"/>
        <v>-81.400000000000006</v>
      </c>
      <c r="BJ34" s="141">
        <f t="shared" si="37"/>
        <v>-353.1</v>
      </c>
      <c r="BK34" s="141">
        <f t="shared" si="38"/>
        <v>-388.41000000000008</v>
      </c>
      <c r="BL34" s="141">
        <f t="shared" si="39"/>
        <v>-427.25100000000015</v>
      </c>
      <c r="BM34" s="141">
        <f t="shared" si="40"/>
        <v>-469.9761000000002</v>
      </c>
    </row>
    <row r="35" spans="1:65" ht="16.5" x14ac:dyDescent="0.3">
      <c r="A35" s="4" t="s">
        <v>194</v>
      </c>
      <c r="B35" s="4"/>
      <c r="C35" s="4"/>
      <c r="D35" s="4"/>
      <c r="E35" s="13">
        <v>59</v>
      </c>
      <c r="F35" s="13">
        <v>105</v>
      </c>
      <c r="G35" s="13">
        <v>259</v>
      </c>
      <c r="H35" s="13">
        <v>-215</v>
      </c>
      <c r="I35" s="13">
        <v>-531</v>
      </c>
      <c r="J35" s="13">
        <v>78</v>
      </c>
      <c r="K35" s="13">
        <v>6</v>
      </c>
      <c r="L35" s="13">
        <v>119</v>
      </c>
      <c r="M35" s="29"/>
      <c r="N35" s="29"/>
      <c r="O35" s="29"/>
      <c r="P35" s="29"/>
      <c r="Q35" s="13" t="s">
        <v>179</v>
      </c>
      <c r="R35" s="29"/>
      <c r="S35" s="29"/>
      <c r="T35" s="29"/>
      <c r="U35" s="29"/>
      <c r="V35" s="13" t="s">
        <v>179</v>
      </c>
      <c r="W35" s="29"/>
      <c r="X35" s="29"/>
      <c r="Y35" s="29"/>
      <c r="Z35" s="29"/>
      <c r="AA35" s="13" t="s">
        <v>179</v>
      </c>
      <c r="AB35" s="29"/>
      <c r="AC35" s="29"/>
      <c r="AD35" s="29"/>
      <c r="AE35" s="29"/>
      <c r="AF35" s="13" t="s">
        <v>179</v>
      </c>
      <c r="AG35" s="29" t="s">
        <v>179</v>
      </c>
      <c r="AH35" s="29" t="s">
        <v>179</v>
      </c>
      <c r="AI35" s="29" t="s">
        <v>179</v>
      </c>
      <c r="AJ35" s="29" t="s">
        <v>179</v>
      </c>
      <c r="AK35" s="13" t="s">
        <v>179</v>
      </c>
      <c r="AL35" s="29" t="s">
        <v>179</v>
      </c>
      <c r="AM35" s="29" t="s">
        <v>179</v>
      </c>
      <c r="AN35" s="29" t="s">
        <v>179</v>
      </c>
      <c r="AO35" s="29" t="s">
        <v>179</v>
      </c>
      <c r="AP35" s="13" t="s">
        <v>179</v>
      </c>
      <c r="AQ35" s="30">
        <v>-2666</v>
      </c>
      <c r="AR35" s="30">
        <v>-3334</v>
      </c>
      <c r="AS35" s="29" t="s">
        <v>179</v>
      </c>
      <c r="AT35" s="29" t="s">
        <v>179</v>
      </c>
      <c r="AU35" s="22">
        <f t="shared" si="30"/>
        <v>-6000</v>
      </c>
      <c r="AV35" s="29" t="s">
        <v>179</v>
      </c>
      <c r="AW35" s="29" t="s">
        <v>179</v>
      </c>
      <c r="AX35" s="29" t="s">
        <v>179</v>
      </c>
      <c r="AY35" s="29" t="s">
        <v>179</v>
      </c>
      <c r="AZ35" s="22">
        <f t="shared" si="31"/>
        <v>0</v>
      </c>
      <c r="BA35" s="29" t="s">
        <v>179</v>
      </c>
      <c r="BB35" s="29" t="s">
        <v>179</v>
      </c>
      <c r="BC35" s="29" t="s">
        <v>179</v>
      </c>
      <c r="BD35" s="194">
        <v>0</v>
      </c>
      <c r="BE35" s="141">
        <f t="shared" si="32"/>
        <v>0</v>
      </c>
      <c r="BF35" s="189">
        <v>0</v>
      </c>
      <c r="BG35" s="189">
        <v>0</v>
      </c>
      <c r="BH35" s="189">
        <v>0</v>
      </c>
      <c r="BI35" s="189">
        <v>0</v>
      </c>
      <c r="BJ35" s="141">
        <f t="shared" ref="BJ35" si="41">SUM(BF35:BI35)</f>
        <v>0</v>
      </c>
      <c r="BK35" s="141">
        <v>0</v>
      </c>
      <c r="BL35" s="141">
        <v>0</v>
      </c>
      <c r="BM35" s="141">
        <v>0</v>
      </c>
    </row>
    <row r="36" spans="1:65" ht="16.5" x14ac:dyDescent="0.3">
      <c r="A36" s="7" t="s">
        <v>195</v>
      </c>
      <c r="B36" s="7"/>
      <c r="C36" s="4"/>
      <c r="D36" s="7" t="s">
        <v>0</v>
      </c>
      <c r="E36" s="101">
        <f>SUM(E29:E35)</f>
        <v>-198</v>
      </c>
      <c r="F36" s="101">
        <f t="shared" ref="F36:BM36" si="42">SUM(F29:F35)</f>
        <v>-280</v>
      </c>
      <c r="G36" s="101">
        <f t="shared" si="42"/>
        <v>181</v>
      </c>
      <c r="H36" s="101">
        <f t="shared" si="42"/>
        <v>-482</v>
      </c>
      <c r="I36" s="102">
        <f t="shared" si="42"/>
        <v>2259</v>
      </c>
      <c r="J36" s="101">
        <f t="shared" si="42"/>
        <v>-539</v>
      </c>
      <c r="K36" s="102">
        <f t="shared" si="42"/>
        <v>4432</v>
      </c>
      <c r="L36" s="102">
        <f t="shared" si="42"/>
        <v>-3763</v>
      </c>
      <c r="M36" s="103">
        <f t="shared" si="42"/>
        <v>-996</v>
      </c>
      <c r="N36" s="31">
        <f t="shared" si="42"/>
        <v>-1152</v>
      </c>
      <c r="O36" s="31">
        <f t="shared" si="42"/>
        <v>-1000</v>
      </c>
      <c r="P36" s="103">
        <f t="shared" si="42"/>
        <v>-592</v>
      </c>
      <c r="Q36" s="102">
        <f t="shared" si="42"/>
        <v>-3740</v>
      </c>
      <c r="R36" s="103">
        <f t="shared" si="42"/>
        <v>-888</v>
      </c>
      <c r="S36" s="31">
        <f t="shared" si="42"/>
        <v>-1274</v>
      </c>
      <c r="T36" s="31">
        <f t="shared" si="42"/>
        <v>14662</v>
      </c>
      <c r="U36" s="31">
        <f t="shared" si="42"/>
        <v>-2571</v>
      </c>
      <c r="V36" s="102">
        <f t="shared" si="42"/>
        <v>9929</v>
      </c>
      <c r="W36" s="31">
        <f t="shared" si="42"/>
        <v>-2164</v>
      </c>
      <c r="X36" s="31">
        <f t="shared" si="42"/>
        <v>-1394</v>
      </c>
      <c r="Y36" s="31">
        <f t="shared" si="42"/>
        <v>-2369</v>
      </c>
      <c r="Z36" s="31">
        <f t="shared" si="42"/>
        <v>-1760</v>
      </c>
      <c r="AA36" s="102">
        <f t="shared" si="42"/>
        <v>-7687</v>
      </c>
      <c r="AB36" s="31">
        <f t="shared" si="42"/>
        <v>-2377</v>
      </c>
      <c r="AC36" s="31">
        <f t="shared" si="42"/>
        <v>-2158</v>
      </c>
      <c r="AD36" s="31">
        <f t="shared" si="42"/>
        <v>-1960</v>
      </c>
      <c r="AE36" s="31">
        <f t="shared" si="42"/>
        <v>-3571</v>
      </c>
      <c r="AF36" s="102">
        <f t="shared" si="42"/>
        <v>-10066</v>
      </c>
      <c r="AG36" s="31">
        <f t="shared" si="42"/>
        <v>-2591</v>
      </c>
      <c r="AH36" s="31">
        <f t="shared" si="42"/>
        <v>7408</v>
      </c>
      <c r="AI36" s="31">
        <f t="shared" si="42"/>
        <v>-4105</v>
      </c>
      <c r="AJ36" s="31">
        <f t="shared" si="42"/>
        <v>-1816</v>
      </c>
      <c r="AK36" s="102">
        <f t="shared" si="42"/>
        <v>-1104</v>
      </c>
      <c r="AL36" s="31">
        <f t="shared" si="42"/>
        <v>-3476</v>
      </c>
      <c r="AM36" s="31">
        <f t="shared" si="42"/>
        <v>15643</v>
      </c>
      <c r="AN36" s="31">
        <f t="shared" si="42"/>
        <v>-2776</v>
      </c>
      <c r="AO36" s="31">
        <f t="shared" si="42"/>
        <v>-3100</v>
      </c>
      <c r="AP36" s="102">
        <f t="shared" si="42"/>
        <v>6291</v>
      </c>
      <c r="AQ36" s="31">
        <f t="shared" si="42"/>
        <v>1990</v>
      </c>
      <c r="AR36" s="31">
        <f t="shared" si="42"/>
        <v>4626</v>
      </c>
      <c r="AS36" s="31">
        <f t="shared" si="42"/>
        <v>3016</v>
      </c>
      <c r="AT36" s="103">
        <f t="shared" si="42"/>
        <v>86</v>
      </c>
      <c r="AU36" s="102">
        <f t="shared" si="42"/>
        <v>9718</v>
      </c>
      <c r="AV36" s="31">
        <f t="shared" si="42"/>
        <v>6354</v>
      </c>
      <c r="AW36" s="31">
        <f t="shared" si="42"/>
        <v>-6539</v>
      </c>
      <c r="AX36" s="31">
        <f t="shared" si="42"/>
        <v>-8948</v>
      </c>
      <c r="AY36" s="31">
        <f t="shared" si="42"/>
        <v>-6746</v>
      </c>
      <c r="AZ36" s="102">
        <f t="shared" si="42"/>
        <v>-15879</v>
      </c>
      <c r="BA36" s="31">
        <f t="shared" si="42"/>
        <v>-1256</v>
      </c>
      <c r="BB36" s="31">
        <f t="shared" si="42"/>
        <v>-4490</v>
      </c>
      <c r="BC36" s="31">
        <f t="shared" si="42"/>
        <v>-2758</v>
      </c>
      <c r="BD36" s="31">
        <f t="shared" si="42"/>
        <v>-3483.2857142857142</v>
      </c>
      <c r="BE36" s="245">
        <f t="shared" si="42"/>
        <v>-11987.285714285714</v>
      </c>
      <c r="BF36" s="190">
        <f t="shared" si="42"/>
        <v>-1381.6000000000001</v>
      </c>
      <c r="BG36" s="190">
        <f t="shared" si="42"/>
        <v>-4939</v>
      </c>
      <c r="BH36" s="190">
        <f t="shared" si="42"/>
        <v>-3033.8</v>
      </c>
      <c r="BI36" s="190">
        <f t="shared" si="42"/>
        <v>-3831.6142857142854</v>
      </c>
      <c r="BJ36" s="245">
        <f t="shared" si="42"/>
        <v>-13186.014285714287</v>
      </c>
      <c r="BK36" s="245">
        <f t="shared" si="42"/>
        <v>-14504.615714285717</v>
      </c>
      <c r="BL36" s="245">
        <f t="shared" si="42"/>
        <v>-15955.077285714291</v>
      </c>
      <c r="BM36" s="245">
        <f t="shared" si="42"/>
        <v>-17550.58501428572</v>
      </c>
    </row>
    <row r="37" spans="1:65" ht="16.5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29"/>
      <c r="N37" s="29"/>
      <c r="O37" s="29"/>
      <c r="P37" s="29"/>
      <c r="Q37" s="4"/>
      <c r="R37" s="29"/>
      <c r="S37" s="29"/>
      <c r="T37" s="29"/>
      <c r="U37" s="29"/>
      <c r="V37" s="4"/>
      <c r="W37" s="29"/>
      <c r="X37" s="29"/>
      <c r="Y37" s="29"/>
      <c r="Z37" s="29"/>
      <c r="AA37" s="4"/>
      <c r="AB37" s="29"/>
      <c r="AC37" s="29"/>
      <c r="AD37" s="29"/>
      <c r="AE37" s="29"/>
      <c r="AF37" s="4"/>
      <c r="AG37" s="29"/>
      <c r="AH37" s="29">
        <v>127</v>
      </c>
      <c r="AI37" s="29"/>
      <c r="AJ37" s="29"/>
      <c r="AK37" s="4"/>
      <c r="AL37" s="29"/>
      <c r="AM37" s="29"/>
      <c r="AN37" s="29"/>
      <c r="AO37" s="29"/>
      <c r="AP37" s="4"/>
      <c r="AQ37" s="29"/>
      <c r="AR37" s="29"/>
      <c r="AS37" s="29"/>
      <c r="AT37" s="29"/>
      <c r="AU37" s="4"/>
      <c r="AV37" s="29"/>
      <c r="AW37" s="29"/>
      <c r="AX37" s="29"/>
      <c r="AY37" s="29"/>
      <c r="AZ37" s="4"/>
      <c r="BA37" s="29"/>
      <c r="BB37" s="29"/>
      <c r="BC37" s="29"/>
      <c r="BD37" s="29"/>
      <c r="BE37" s="191"/>
      <c r="BF37" s="191"/>
      <c r="BG37" s="191"/>
      <c r="BH37" s="191"/>
      <c r="BI37" s="191"/>
      <c r="BJ37" s="191"/>
      <c r="BK37" s="191"/>
      <c r="BL37" s="255"/>
      <c r="BM37" s="255"/>
    </row>
    <row r="38" spans="1:65" ht="16.5" x14ac:dyDescent="0.3">
      <c r="A38" s="4" t="s">
        <v>196</v>
      </c>
      <c r="B38" s="4"/>
      <c r="C38" s="4"/>
      <c r="D38" s="4"/>
      <c r="E38" s="13">
        <v>-70</v>
      </c>
      <c r="F38" s="13">
        <v>-1</v>
      </c>
      <c r="G38" s="13">
        <v>17</v>
      </c>
      <c r="H38" s="13">
        <v>1</v>
      </c>
      <c r="I38" s="13">
        <v>-29</v>
      </c>
      <c r="J38" s="13">
        <v>-86</v>
      </c>
      <c r="K38" s="13">
        <v>-310</v>
      </c>
      <c r="L38" s="13">
        <v>-374</v>
      </c>
      <c r="M38" s="29">
        <v>222</v>
      </c>
      <c r="N38" s="29">
        <v>64</v>
      </c>
      <c r="O38" s="29">
        <v>46</v>
      </c>
      <c r="P38" s="29">
        <v>-543</v>
      </c>
      <c r="Q38" s="13">
        <v>-211</v>
      </c>
      <c r="R38" s="29">
        <v>224</v>
      </c>
      <c r="S38" s="29">
        <v>248</v>
      </c>
      <c r="T38" s="29">
        <v>148</v>
      </c>
      <c r="U38" s="29">
        <v>90</v>
      </c>
      <c r="V38" s="13">
        <v>710</v>
      </c>
      <c r="W38" s="29">
        <v>248</v>
      </c>
      <c r="X38" s="29">
        <v>-443</v>
      </c>
      <c r="Y38" s="29">
        <v>-151</v>
      </c>
      <c r="Z38" s="29">
        <v>-5</v>
      </c>
      <c r="AA38" s="13">
        <v>-351</v>
      </c>
      <c r="AB38" s="29">
        <v>-12</v>
      </c>
      <c r="AC38" s="29">
        <v>47</v>
      </c>
      <c r="AD38" s="29">
        <v>-269</v>
      </c>
      <c r="AE38" s="29">
        <v>304</v>
      </c>
      <c r="AF38" s="13">
        <v>70</v>
      </c>
      <c r="AG38" s="29">
        <v>-484</v>
      </c>
      <c r="AH38" s="29">
        <v>127</v>
      </c>
      <c r="AI38" s="29">
        <v>377</v>
      </c>
      <c r="AJ38" s="29">
        <v>599</v>
      </c>
      <c r="AK38" s="13">
        <v>619</v>
      </c>
      <c r="AL38" s="29">
        <v>-293</v>
      </c>
      <c r="AM38" s="29">
        <v>234</v>
      </c>
      <c r="AN38" s="29">
        <v>-199</v>
      </c>
      <c r="AO38" s="29">
        <v>-106</v>
      </c>
      <c r="AP38" s="13">
        <v>-364</v>
      </c>
      <c r="AQ38" s="29">
        <v>16</v>
      </c>
      <c r="AR38" s="29">
        <v>-412</v>
      </c>
      <c r="AS38" s="30">
        <v>-1334</v>
      </c>
      <c r="AT38" s="29">
        <v>637</v>
      </c>
      <c r="AU38" s="21">
        <v>-1093</v>
      </c>
      <c r="AV38" s="29">
        <v>145</v>
      </c>
      <c r="AW38" s="29">
        <v>69</v>
      </c>
      <c r="AX38" s="29">
        <v>-502</v>
      </c>
      <c r="AY38" s="29">
        <v>691</v>
      </c>
      <c r="AZ38" s="13">
        <v>403</v>
      </c>
      <c r="BA38" s="29">
        <v>-429</v>
      </c>
      <c r="BB38" s="29">
        <v>-312</v>
      </c>
      <c r="BC38" s="29">
        <v>690</v>
      </c>
      <c r="BD38" s="194">
        <f>AVERAGE(BA38:BC38)</f>
        <v>-17</v>
      </c>
      <c r="BE38" s="251">
        <f>SUM(BA38:BD38)</f>
        <v>-68</v>
      </c>
      <c r="BF38" s="189">
        <v>0</v>
      </c>
      <c r="BG38" s="189">
        <v>0</v>
      </c>
      <c r="BH38" s="189">
        <v>0</v>
      </c>
      <c r="BI38" s="189">
        <v>0</v>
      </c>
      <c r="BJ38" s="251">
        <f>SUM(BF38:BI38)</f>
        <v>0</v>
      </c>
      <c r="BK38" s="251">
        <f t="shared" ref="BK38:BM38" si="43">SUM(BG38:BJ38)</f>
        <v>0</v>
      </c>
      <c r="BL38" s="251">
        <f t="shared" si="43"/>
        <v>0</v>
      </c>
      <c r="BM38" s="251">
        <f t="shared" si="43"/>
        <v>0</v>
      </c>
    </row>
    <row r="39" spans="1:65" ht="16.5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29"/>
      <c r="N39" s="29"/>
      <c r="O39" s="29"/>
      <c r="P39" s="29"/>
      <c r="Q39" s="4"/>
      <c r="R39" s="29"/>
      <c r="S39" s="29"/>
      <c r="T39" s="29"/>
      <c r="U39" s="29"/>
      <c r="V39" s="4"/>
      <c r="W39" s="29"/>
      <c r="X39" s="29"/>
      <c r="Y39" s="29"/>
      <c r="Z39" s="29"/>
      <c r="AA39" s="4"/>
      <c r="AB39" s="29"/>
      <c r="AC39" s="29"/>
      <c r="AD39" s="29"/>
      <c r="AE39" s="29"/>
      <c r="AF39" s="4"/>
      <c r="AG39" s="29"/>
      <c r="AH39" s="29"/>
      <c r="AI39" s="29"/>
      <c r="AJ39" s="29"/>
      <c r="AK39" s="4"/>
      <c r="AL39" s="29"/>
      <c r="AM39" s="29"/>
      <c r="AN39" s="29"/>
      <c r="AO39" s="29"/>
      <c r="AP39" s="4"/>
      <c r="AQ39" s="29"/>
      <c r="AR39" s="29"/>
      <c r="AS39" s="29"/>
      <c r="AT39" s="29"/>
      <c r="AU39" s="4"/>
      <c r="AV39" s="29"/>
      <c r="AW39" s="29"/>
      <c r="AX39" s="29"/>
      <c r="AY39" s="29"/>
      <c r="AZ39" s="4"/>
      <c r="BA39" s="29"/>
      <c r="BB39" s="29"/>
      <c r="BC39" s="29"/>
      <c r="BD39" s="29"/>
      <c r="BE39" s="191"/>
      <c r="BF39" s="191"/>
      <c r="BG39" s="191"/>
      <c r="BH39" s="191"/>
      <c r="BI39" s="191"/>
      <c r="BJ39" s="191"/>
      <c r="BK39" s="191"/>
      <c r="BL39" s="255"/>
      <c r="BM39" s="255"/>
    </row>
    <row r="40" spans="1:65" ht="16.5" x14ac:dyDescent="0.3">
      <c r="A40" s="4" t="s">
        <v>101</v>
      </c>
      <c r="B40" s="4"/>
      <c r="C40" s="4"/>
      <c r="D40" s="4"/>
      <c r="E40" s="21">
        <v>2539</v>
      </c>
      <c r="F40" s="21">
        <v>2769</v>
      </c>
      <c r="G40" s="21">
        <v>3444</v>
      </c>
      <c r="H40" s="21">
        <v>3777</v>
      </c>
      <c r="I40" s="21">
        <v>5269</v>
      </c>
      <c r="J40" s="21">
        <v>8084</v>
      </c>
      <c r="K40" s="21">
        <v>8658</v>
      </c>
      <c r="L40" s="22">
        <v>14557</v>
      </c>
      <c r="M40" s="30">
        <v>15890</v>
      </c>
      <c r="N40" s="30">
        <v>12470</v>
      </c>
      <c r="O40" s="30">
        <v>12521</v>
      </c>
      <c r="P40" s="30">
        <v>13656</v>
      </c>
      <c r="Q40" s="22">
        <v>15890</v>
      </c>
      <c r="R40" s="30">
        <v>19934</v>
      </c>
      <c r="S40" s="30">
        <v>16301</v>
      </c>
      <c r="T40" s="30">
        <v>13851</v>
      </c>
      <c r="U40" s="30">
        <v>13960</v>
      </c>
      <c r="V40" s="22">
        <v>19934</v>
      </c>
      <c r="W40" s="30">
        <v>21856</v>
      </c>
      <c r="X40" s="30">
        <v>17616</v>
      </c>
      <c r="Y40" s="30">
        <v>20536</v>
      </c>
      <c r="Z40" s="30">
        <v>21032</v>
      </c>
      <c r="AA40" s="22">
        <v>21856</v>
      </c>
      <c r="AB40" s="30">
        <v>32173</v>
      </c>
      <c r="AC40" s="30">
        <v>23507</v>
      </c>
      <c r="AD40" s="30">
        <v>22965</v>
      </c>
      <c r="AE40" s="30">
        <v>23554</v>
      </c>
      <c r="AF40" s="22">
        <v>32173</v>
      </c>
      <c r="AG40" s="30">
        <f>AE42</f>
        <v>36410</v>
      </c>
      <c r="AH40" s="30">
        <f t="shared" ref="AH40:AI40" si="44">AG42</f>
        <v>27505</v>
      </c>
      <c r="AI40" s="30">
        <f t="shared" si="44"/>
        <v>37842</v>
      </c>
      <c r="AJ40" s="30">
        <f>AI42</f>
        <v>30202</v>
      </c>
      <c r="AK40" s="22">
        <v>36410</v>
      </c>
      <c r="AL40" s="30">
        <f>AJ42</f>
        <v>42377</v>
      </c>
      <c r="AM40" s="30">
        <f t="shared" ref="AM40:AN40" si="45">AL42</f>
        <v>34155</v>
      </c>
      <c r="AN40" s="30">
        <f t="shared" si="45"/>
        <v>40667</v>
      </c>
      <c r="AO40" s="30">
        <f>AN42</f>
        <v>30177</v>
      </c>
      <c r="AP40" s="22">
        <v>42377</v>
      </c>
      <c r="AQ40" s="30">
        <f>AO42</f>
        <v>36477</v>
      </c>
      <c r="AR40" s="30">
        <f t="shared" ref="AR40:AS40" si="46">AQ42</f>
        <v>36599</v>
      </c>
      <c r="AS40" s="30">
        <f t="shared" si="46"/>
        <v>37700</v>
      </c>
      <c r="AT40" s="30">
        <f>AS42</f>
        <v>35178</v>
      </c>
      <c r="AU40" s="22">
        <v>36477</v>
      </c>
      <c r="AV40" s="30">
        <f>AT42</f>
        <v>54253</v>
      </c>
      <c r="AW40" s="30">
        <f t="shared" ref="AW40:AX40" si="47">AV42</f>
        <v>49734</v>
      </c>
      <c r="AX40" s="30">
        <f t="shared" si="47"/>
        <v>50067</v>
      </c>
      <c r="AY40" s="30">
        <f>AX42</f>
        <v>50081</v>
      </c>
      <c r="AZ40" s="22">
        <f>AU42</f>
        <v>54253</v>
      </c>
      <c r="BA40" s="30">
        <f>AY42</f>
        <v>73890</v>
      </c>
      <c r="BB40" s="30">
        <f>BA42</f>
        <v>73332</v>
      </c>
      <c r="BC40" s="30">
        <f>BB42</f>
        <v>71673</v>
      </c>
      <c r="BD40" s="30">
        <f>BC42</f>
        <v>78677</v>
      </c>
      <c r="BE40" s="141">
        <f>AZ42</f>
        <v>73890</v>
      </c>
      <c r="BF40" s="189">
        <f>BD42</f>
        <v>91901.414068283892</v>
      </c>
      <c r="BG40" s="189">
        <f>BF42</f>
        <v>90135.670337736155</v>
      </c>
      <c r="BH40" s="189">
        <f>BG42</f>
        <v>94065.884694470733</v>
      </c>
      <c r="BI40" s="189">
        <f>BH42</f>
        <v>109433.9236721323</v>
      </c>
      <c r="BJ40" s="141">
        <f>BE42</f>
        <v>91901.414068284052</v>
      </c>
      <c r="BK40" s="141">
        <f t="shared" ref="BK40:BM40" si="48">BF42</f>
        <v>90135.670337736155</v>
      </c>
      <c r="BL40" s="141">
        <f t="shared" si="48"/>
        <v>94065.884694470733</v>
      </c>
      <c r="BM40" s="141">
        <f t="shared" si="48"/>
        <v>109433.9236721323</v>
      </c>
    </row>
    <row r="41" spans="1:65" ht="16.5" x14ac:dyDescent="0.3">
      <c r="A41" s="17" t="s">
        <v>102</v>
      </c>
      <c r="B41" s="17"/>
      <c r="C41" s="4"/>
      <c r="D41" s="4"/>
      <c r="E41" s="21">
        <f t="shared" ref="E41:AJ41" si="49">E20+E27+E36+E38</f>
        <v>230</v>
      </c>
      <c r="F41" s="13">
        <f t="shared" si="49"/>
        <v>675</v>
      </c>
      <c r="G41" s="13">
        <f t="shared" si="49"/>
        <v>333</v>
      </c>
      <c r="H41" s="21">
        <f t="shared" si="49"/>
        <v>1492</v>
      </c>
      <c r="I41" s="21">
        <f t="shared" si="49"/>
        <v>2815</v>
      </c>
      <c r="J41" s="13">
        <f t="shared" si="49"/>
        <v>574</v>
      </c>
      <c r="K41" s="21">
        <f t="shared" si="49"/>
        <v>5899</v>
      </c>
      <c r="L41" s="21">
        <f t="shared" si="49"/>
        <v>1333</v>
      </c>
      <c r="M41" s="30">
        <f t="shared" si="49"/>
        <v>-3420</v>
      </c>
      <c r="N41" s="29">
        <f t="shared" si="49"/>
        <v>51</v>
      </c>
      <c r="O41" s="30">
        <f t="shared" si="49"/>
        <v>1135</v>
      </c>
      <c r="P41" s="30">
        <f t="shared" si="49"/>
        <v>5678</v>
      </c>
      <c r="Q41" s="21">
        <f t="shared" si="49"/>
        <v>3444</v>
      </c>
      <c r="R41" s="30">
        <f t="shared" si="49"/>
        <v>-3633</v>
      </c>
      <c r="S41" s="30">
        <f t="shared" si="49"/>
        <v>-2450</v>
      </c>
      <c r="T41" s="29">
        <f t="shared" si="49"/>
        <v>109</v>
      </c>
      <c r="U41" s="30">
        <f t="shared" si="49"/>
        <v>7896</v>
      </c>
      <c r="V41" s="21">
        <f t="shared" si="49"/>
        <v>1922</v>
      </c>
      <c r="W41" s="30">
        <f t="shared" si="49"/>
        <v>-4240</v>
      </c>
      <c r="X41" s="30">
        <f t="shared" si="49"/>
        <v>2920</v>
      </c>
      <c r="Y41" s="29">
        <f t="shared" si="49"/>
        <v>496</v>
      </c>
      <c r="Z41" s="30">
        <f t="shared" si="49"/>
        <v>11141</v>
      </c>
      <c r="AA41" s="21">
        <f t="shared" si="49"/>
        <v>10317</v>
      </c>
      <c r="AB41" s="30">
        <f t="shared" si="49"/>
        <v>-8666</v>
      </c>
      <c r="AC41" s="29">
        <f t="shared" si="49"/>
        <v>-542</v>
      </c>
      <c r="AD41" s="29">
        <f t="shared" si="49"/>
        <v>589</v>
      </c>
      <c r="AE41" s="30">
        <f t="shared" si="49"/>
        <v>12856</v>
      </c>
      <c r="AF41" s="21">
        <f t="shared" si="49"/>
        <v>4237</v>
      </c>
      <c r="AG41" s="30">
        <f t="shared" si="49"/>
        <v>-8905</v>
      </c>
      <c r="AH41" s="30">
        <f t="shared" si="49"/>
        <v>10337</v>
      </c>
      <c r="AI41" s="30">
        <f t="shared" si="49"/>
        <v>-7640</v>
      </c>
      <c r="AJ41" s="30">
        <f t="shared" si="49"/>
        <v>12175</v>
      </c>
      <c r="AK41" s="21">
        <f t="shared" ref="AK41:BJ41" si="50">AK20+AK27+AK36+AK38</f>
        <v>5967</v>
      </c>
      <c r="AL41" s="30">
        <f t="shared" si="50"/>
        <v>-8222</v>
      </c>
      <c r="AM41" s="30">
        <f t="shared" si="50"/>
        <v>6512</v>
      </c>
      <c r="AN41" s="30">
        <f t="shared" si="50"/>
        <v>-10490</v>
      </c>
      <c r="AO41" s="30">
        <f t="shared" si="50"/>
        <v>6300</v>
      </c>
      <c r="AP41" s="21">
        <f t="shared" si="50"/>
        <v>-5900</v>
      </c>
      <c r="AQ41" s="29">
        <f t="shared" si="50"/>
        <v>122</v>
      </c>
      <c r="AR41" s="30">
        <f t="shared" si="50"/>
        <v>1101</v>
      </c>
      <c r="AS41" s="30">
        <f t="shared" si="50"/>
        <v>-2522</v>
      </c>
      <c r="AT41" s="30">
        <f t="shared" si="50"/>
        <v>19075</v>
      </c>
      <c r="AU41" s="21">
        <f t="shared" si="50"/>
        <v>17776</v>
      </c>
      <c r="AV41" s="30">
        <f t="shared" si="50"/>
        <v>-4519</v>
      </c>
      <c r="AW41" s="29">
        <f t="shared" si="50"/>
        <v>333</v>
      </c>
      <c r="AX41" s="29">
        <f t="shared" si="50"/>
        <v>14</v>
      </c>
      <c r="AY41" s="30">
        <f t="shared" si="50"/>
        <v>23809</v>
      </c>
      <c r="AZ41" s="21">
        <f t="shared" si="50"/>
        <v>19637</v>
      </c>
      <c r="BA41" s="29">
        <f t="shared" si="50"/>
        <v>-558</v>
      </c>
      <c r="BB41" s="30">
        <f t="shared" si="50"/>
        <v>-1659</v>
      </c>
      <c r="BC41" s="30">
        <f t="shared" si="50"/>
        <v>7004</v>
      </c>
      <c r="BD41" s="30">
        <f t="shared" si="50"/>
        <v>13224.414068283884</v>
      </c>
      <c r="BE41" s="141">
        <f t="shared" si="50"/>
        <v>18011.414068284048</v>
      </c>
      <c r="BF41" s="189">
        <f t="shared" si="50"/>
        <v>-1765.7437305477413</v>
      </c>
      <c r="BG41" s="189">
        <f t="shared" si="50"/>
        <v>3930.2143567345702</v>
      </c>
      <c r="BH41" s="189">
        <f t="shared" si="50"/>
        <v>15368.038977661559</v>
      </c>
      <c r="BI41" s="189">
        <f t="shared" si="50"/>
        <v>9440.4449719927779</v>
      </c>
      <c r="BJ41" s="141">
        <f t="shared" si="50"/>
        <v>26972.954575841046</v>
      </c>
      <c r="BK41" s="141">
        <f t="shared" ref="BK41:BM41" si="51">BK20+BK27+BK36+BK38</f>
        <v>39167.967278660413</v>
      </c>
      <c r="BL41" s="141">
        <f t="shared" si="51"/>
        <v>38398.725170767881</v>
      </c>
      <c r="BM41" s="141">
        <f t="shared" si="51"/>
        <v>41391.01648706093</v>
      </c>
    </row>
    <row r="42" spans="1:65" ht="16.5" x14ac:dyDescent="0.3">
      <c r="A42" s="4" t="s">
        <v>103</v>
      </c>
      <c r="B42" s="4"/>
      <c r="C42" s="4"/>
      <c r="D42" s="7" t="s">
        <v>0</v>
      </c>
      <c r="E42" s="20">
        <f>E40+E41</f>
        <v>2769</v>
      </c>
      <c r="F42" s="20">
        <f t="shared" ref="F42:BJ42" si="52">F40+F41</f>
        <v>3444</v>
      </c>
      <c r="G42" s="20">
        <f t="shared" si="52"/>
        <v>3777</v>
      </c>
      <c r="H42" s="20">
        <f t="shared" si="52"/>
        <v>5269</v>
      </c>
      <c r="I42" s="20">
        <f t="shared" si="52"/>
        <v>8084</v>
      </c>
      <c r="J42" s="20">
        <f t="shared" si="52"/>
        <v>8658</v>
      </c>
      <c r="K42" s="20">
        <f t="shared" si="52"/>
        <v>14557</v>
      </c>
      <c r="L42" s="20">
        <f t="shared" si="52"/>
        <v>15890</v>
      </c>
      <c r="M42" s="31">
        <f t="shared" si="52"/>
        <v>12470</v>
      </c>
      <c r="N42" s="31">
        <f t="shared" si="52"/>
        <v>12521</v>
      </c>
      <c r="O42" s="31">
        <f t="shared" si="52"/>
        <v>13656</v>
      </c>
      <c r="P42" s="31">
        <f t="shared" si="52"/>
        <v>19334</v>
      </c>
      <c r="Q42" s="20">
        <f t="shared" si="52"/>
        <v>19334</v>
      </c>
      <c r="R42" s="31">
        <f t="shared" si="52"/>
        <v>16301</v>
      </c>
      <c r="S42" s="31">
        <f t="shared" si="52"/>
        <v>13851</v>
      </c>
      <c r="T42" s="31">
        <f t="shared" si="52"/>
        <v>13960</v>
      </c>
      <c r="U42" s="31">
        <f t="shared" si="52"/>
        <v>21856</v>
      </c>
      <c r="V42" s="20">
        <f t="shared" si="52"/>
        <v>21856</v>
      </c>
      <c r="W42" s="31">
        <f t="shared" si="52"/>
        <v>17616</v>
      </c>
      <c r="X42" s="31">
        <f t="shared" si="52"/>
        <v>20536</v>
      </c>
      <c r="Y42" s="31">
        <f t="shared" si="52"/>
        <v>21032</v>
      </c>
      <c r="Z42" s="31">
        <f t="shared" si="52"/>
        <v>32173</v>
      </c>
      <c r="AA42" s="20">
        <f t="shared" si="52"/>
        <v>32173</v>
      </c>
      <c r="AB42" s="31">
        <f t="shared" si="52"/>
        <v>23507</v>
      </c>
      <c r="AC42" s="31">
        <f t="shared" si="52"/>
        <v>22965</v>
      </c>
      <c r="AD42" s="31">
        <f t="shared" si="52"/>
        <v>23554</v>
      </c>
      <c r="AE42" s="31">
        <f t="shared" si="52"/>
        <v>36410</v>
      </c>
      <c r="AF42" s="20">
        <f t="shared" si="52"/>
        <v>36410</v>
      </c>
      <c r="AG42" s="31">
        <f t="shared" si="52"/>
        <v>27505</v>
      </c>
      <c r="AH42" s="31">
        <f t="shared" si="52"/>
        <v>37842</v>
      </c>
      <c r="AI42" s="31">
        <f t="shared" si="52"/>
        <v>30202</v>
      </c>
      <c r="AJ42" s="31">
        <f t="shared" si="52"/>
        <v>42377</v>
      </c>
      <c r="AK42" s="20">
        <f t="shared" si="52"/>
        <v>42377</v>
      </c>
      <c r="AL42" s="31">
        <f t="shared" si="52"/>
        <v>34155</v>
      </c>
      <c r="AM42" s="31">
        <f t="shared" si="52"/>
        <v>40667</v>
      </c>
      <c r="AN42" s="31">
        <f t="shared" si="52"/>
        <v>30177</v>
      </c>
      <c r="AO42" s="31">
        <f t="shared" si="52"/>
        <v>36477</v>
      </c>
      <c r="AP42" s="20">
        <f t="shared" si="52"/>
        <v>36477</v>
      </c>
      <c r="AQ42" s="31">
        <f t="shared" si="52"/>
        <v>36599</v>
      </c>
      <c r="AR42" s="31">
        <f t="shared" si="52"/>
        <v>37700</v>
      </c>
      <c r="AS42" s="31">
        <f t="shared" si="52"/>
        <v>35178</v>
      </c>
      <c r="AT42" s="31">
        <f t="shared" si="52"/>
        <v>54253</v>
      </c>
      <c r="AU42" s="20">
        <f t="shared" si="52"/>
        <v>54253</v>
      </c>
      <c r="AV42" s="31">
        <f t="shared" si="52"/>
        <v>49734</v>
      </c>
      <c r="AW42" s="31">
        <f t="shared" si="52"/>
        <v>50067</v>
      </c>
      <c r="AX42" s="31">
        <f t="shared" si="52"/>
        <v>50081</v>
      </c>
      <c r="AY42" s="31">
        <f t="shared" si="52"/>
        <v>73890</v>
      </c>
      <c r="AZ42" s="20">
        <f t="shared" si="52"/>
        <v>73890</v>
      </c>
      <c r="BA42" s="31">
        <f t="shared" si="52"/>
        <v>73332</v>
      </c>
      <c r="BB42" s="31">
        <f t="shared" si="52"/>
        <v>71673</v>
      </c>
      <c r="BC42" s="31">
        <f t="shared" si="52"/>
        <v>78677</v>
      </c>
      <c r="BD42" s="31">
        <f t="shared" si="52"/>
        <v>91901.414068283892</v>
      </c>
      <c r="BE42" s="245">
        <f t="shared" si="52"/>
        <v>91901.414068284052</v>
      </c>
      <c r="BF42" s="190">
        <f t="shared" si="52"/>
        <v>90135.670337736155</v>
      </c>
      <c r="BG42" s="190">
        <f t="shared" si="52"/>
        <v>94065.884694470733</v>
      </c>
      <c r="BH42" s="190">
        <f t="shared" si="52"/>
        <v>109433.9236721323</v>
      </c>
      <c r="BI42" s="190">
        <f t="shared" si="52"/>
        <v>118874.36864412508</v>
      </c>
      <c r="BJ42" s="245">
        <f t="shared" si="52"/>
        <v>118874.36864412509</v>
      </c>
      <c r="BK42" s="245">
        <f t="shared" ref="BK42:BM42" si="53">BK40+BK41</f>
        <v>129303.63761639656</v>
      </c>
      <c r="BL42" s="245">
        <f t="shared" si="53"/>
        <v>132464.6098652386</v>
      </c>
      <c r="BM42" s="245">
        <f t="shared" si="53"/>
        <v>150824.94015919324</v>
      </c>
    </row>
    <row r="43" spans="1:65" ht="16.5" x14ac:dyDescent="0.3">
      <c r="A43" s="4"/>
      <c r="B43" s="4"/>
      <c r="C43" s="4"/>
      <c r="D43" s="4"/>
      <c r="E43" s="13"/>
      <c r="F43" s="13"/>
      <c r="G43" s="13"/>
      <c r="H43" s="13"/>
      <c r="I43" s="13"/>
      <c r="J43" s="13"/>
      <c r="K43" s="13"/>
      <c r="L43" s="13"/>
      <c r="M43" s="4"/>
      <c r="N43" s="4"/>
      <c r="O43" s="4"/>
      <c r="P43" s="4"/>
      <c r="Q43" s="13"/>
      <c r="R43" s="29"/>
      <c r="S43" s="29"/>
      <c r="T43" s="29"/>
      <c r="U43" s="29"/>
      <c r="V43" s="13"/>
      <c r="W43" s="29"/>
      <c r="X43" s="29"/>
      <c r="Y43" s="29"/>
      <c r="Z43" s="29"/>
      <c r="AA43" s="13"/>
      <c r="AB43" s="29"/>
      <c r="AC43" s="29"/>
      <c r="AD43" s="29"/>
      <c r="AE43" s="29"/>
      <c r="AF43" s="13"/>
      <c r="AG43" s="29"/>
      <c r="AH43" s="29"/>
      <c r="AI43" s="29"/>
      <c r="AJ43" s="29"/>
      <c r="AK43" s="13"/>
      <c r="AL43" s="29"/>
      <c r="AM43" s="29"/>
      <c r="AN43" s="29"/>
      <c r="AO43" s="29"/>
      <c r="AP43" s="13"/>
      <c r="AQ43" s="29"/>
      <c r="AR43" s="29"/>
      <c r="AS43" s="29"/>
      <c r="AT43" s="29"/>
      <c r="AU43" s="13"/>
      <c r="AV43" s="29"/>
      <c r="AW43" s="29"/>
      <c r="AX43" s="29"/>
      <c r="AY43" s="29"/>
      <c r="AZ43" s="13"/>
      <c r="BA43" s="29"/>
      <c r="BB43" s="29"/>
      <c r="BC43" s="29"/>
      <c r="BD43" s="29"/>
      <c r="BE43" s="251"/>
      <c r="BF43" s="191"/>
      <c r="BG43" s="191"/>
      <c r="BH43" s="191"/>
      <c r="BI43" s="191"/>
      <c r="BJ43" s="251"/>
      <c r="BK43" s="251"/>
      <c r="BL43" s="255"/>
      <c r="BM43" s="255"/>
    </row>
    <row r="44" spans="1:65" ht="16.5" x14ac:dyDescent="0.3">
      <c r="A44" s="10" t="s">
        <v>197</v>
      </c>
      <c r="B44" s="10"/>
      <c r="C44" s="11"/>
      <c r="D44" s="98" t="s">
        <v>0</v>
      </c>
      <c r="E44" s="11" t="s">
        <v>0</v>
      </c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98" t="s">
        <v>0</v>
      </c>
      <c r="N44" s="98" t="s">
        <v>0</v>
      </c>
      <c r="O44" s="98" t="s">
        <v>0</v>
      </c>
      <c r="P44" s="98" t="s">
        <v>0</v>
      </c>
      <c r="Q44" s="11" t="s">
        <v>0</v>
      </c>
      <c r="R44" s="98" t="s">
        <v>0</v>
      </c>
      <c r="S44" s="98" t="s">
        <v>0</v>
      </c>
      <c r="T44" s="98" t="s">
        <v>0</v>
      </c>
      <c r="U44" s="98" t="s">
        <v>0</v>
      </c>
      <c r="V44" s="11" t="s">
        <v>0</v>
      </c>
      <c r="W44" s="98" t="s">
        <v>0</v>
      </c>
      <c r="X44" s="98" t="s">
        <v>0</v>
      </c>
      <c r="Y44" s="98" t="s">
        <v>0</v>
      </c>
      <c r="Z44" s="98" t="s">
        <v>0</v>
      </c>
      <c r="AA44" s="11" t="s">
        <v>0</v>
      </c>
      <c r="AB44" s="98" t="s">
        <v>0</v>
      </c>
      <c r="AC44" s="98" t="s">
        <v>0</v>
      </c>
      <c r="AD44" s="98" t="s">
        <v>0</v>
      </c>
      <c r="AE44" s="98" t="s">
        <v>0</v>
      </c>
      <c r="AF44" s="11" t="s">
        <v>0</v>
      </c>
      <c r="AG44" s="98" t="s">
        <v>0</v>
      </c>
      <c r="AH44" s="98" t="s">
        <v>0</v>
      </c>
      <c r="AI44" s="98" t="s">
        <v>0</v>
      </c>
      <c r="AJ44" s="98" t="s">
        <v>0</v>
      </c>
      <c r="AK44" s="11" t="s">
        <v>0</v>
      </c>
      <c r="AL44" s="98" t="s">
        <v>0</v>
      </c>
      <c r="AM44" s="98" t="s">
        <v>0</v>
      </c>
      <c r="AN44" s="98" t="s">
        <v>0</v>
      </c>
      <c r="AO44" s="98" t="s">
        <v>0</v>
      </c>
      <c r="AP44" s="11" t="s">
        <v>0</v>
      </c>
      <c r="AQ44" s="98" t="s">
        <v>0</v>
      </c>
      <c r="AR44" s="98" t="s">
        <v>0</v>
      </c>
      <c r="AS44" s="98" t="s">
        <v>0</v>
      </c>
      <c r="AT44" s="98" t="s">
        <v>0</v>
      </c>
      <c r="AU44" s="11" t="s">
        <v>0</v>
      </c>
      <c r="AV44" s="98" t="s">
        <v>0</v>
      </c>
      <c r="AW44" s="98" t="s">
        <v>0</v>
      </c>
      <c r="AX44" s="98" t="s">
        <v>0</v>
      </c>
      <c r="AY44" s="98" t="s">
        <v>0</v>
      </c>
      <c r="AZ44" s="11" t="s">
        <v>0</v>
      </c>
      <c r="BA44" s="98" t="s">
        <v>0</v>
      </c>
      <c r="BB44" s="98" t="s">
        <v>0</v>
      </c>
      <c r="BC44" s="98" t="s">
        <v>0</v>
      </c>
      <c r="BD44" s="98" t="s">
        <v>0</v>
      </c>
      <c r="BE44" s="256" t="s">
        <v>0</v>
      </c>
      <c r="BF44" s="257" t="s">
        <v>0</v>
      </c>
      <c r="BG44" s="257" t="s">
        <v>0</v>
      </c>
      <c r="BH44" s="257" t="s">
        <v>0</v>
      </c>
      <c r="BI44" s="257" t="s">
        <v>0</v>
      </c>
      <c r="BJ44" s="256" t="s">
        <v>0</v>
      </c>
      <c r="BK44" s="256" t="s">
        <v>0</v>
      </c>
      <c r="BL44" s="256" t="s">
        <v>0</v>
      </c>
      <c r="BM44" s="256" t="s">
        <v>0</v>
      </c>
    </row>
    <row r="45" spans="1:65" ht="16.5" x14ac:dyDescent="0.3">
      <c r="A45" s="4" t="s">
        <v>198</v>
      </c>
      <c r="B45" s="16"/>
      <c r="C45" s="16"/>
      <c r="D45" s="16"/>
      <c r="E45" s="22">
        <f t="shared" ref="E45:AY45" si="54">E20+E22-SUM(E15:E19)</f>
        <v>650</v>
      </c>
      <c r="F45" s="22">
        <f t="shared" si="54"/>
        <v>1308</v>
      </c>
      <c r="G45" s="22">
        <f t="shared" si="54"/>
        <v>935</v>
      </c>
      <c r="H45" s="22">
        <f t="shared" si="54"/>
        <v>628</v>
      </c>
      <c r="I45" s="22">
        <f t="shared" si="54"/>
        <v>-1128</v>
      </c>
      <c r="J45" s="22">
        <f t="shared" si="54"/>
        <v>1264</v>
      </c>
      <c r="K45" s="22">
        <f t="shared" si="54"/>
        <v>975</v>
      </c>
      <c r="L45" s="22">
        <f t="shared" si="54"/>
        <v>4774</v>
      </c>
      <c r="M45" s="30">
        <f t="shared" si="54"/>
        <v>1709</v>
      </c>
      <c r="N45" s="30">
        <f t="shared" si="54"/>
        <v>2014</v>
      </c>
      <c r="O45" s="30">
        <f t="shared" si="54"/>
        <v>1198</v>
      </c>
      <c r="P45" s="30">
        <f t="shared" si="54"/>
        <v>1289</v>
      </c>
      <c r="Q45" s="22">
        <f t="shared" si="54"/>
        <v>6210</v>
      </c>
      <c r="R45" s="30">
        <f t="shared" si="54"/>
        <v>1783</v>
      </c>
      <c r="S45" s="30">
        <f t="shared" si="54"/>
        <v>1191</v>
      </c>
      <c r="T45" s="30">
        <f t="shared" si="54"/>
        <v>1020</v>
      </c>
      <c r="U45" s="30">
        <f t="shared" si="54"/>
        <v>2657</v>
      </c>
      <c r="V45" s="22">
        <f t="shared" si="54"/>
        <v>6651</v>
      </c>
      <c r="W45" s="30">
        <f t="shared" si="54"/>
        <v>3397</v>
      </c>
      <c r="X45" s="30">
        <f t="shared" si="54"/>
        <v>4445</v>
      </c>
      <c r="Y45" s="30">
        <f t="shared" si="54"/>
        <v>5083</v>
      </c>
      <c r="Z45" s="30">
        <f t="shared" si="54"/>
        <v>5415</v>
      </c>
      <c r="AA45" s="22">
        <f t="shared" si="54"/>
        <v>18340</v>
      </c>
      <c r="AB45" s="30">
        <f t="shared" si="54"/>
        <v>6666</v>
      </c>
      <c r="AC45" s="30">
        <f t="shared" si="54"/>
        <v>6414</v>
      </c>
      <c r="AD45" s="30">
        <f t="shared" si="54"/>
        <v>5306</v>
      </c>
      <c r="AE45" s="30">
        <f t="shared" si="54"/>
        <v>5707</v>
      </c>
      <c r="AF45" s="22">
        <f t="shared" si="54"/>
        <v>24093</v>
      </c>
      <c r="AG45" s="30">
        <f t="shared" si="54"/>
        <v>3813</v>
      </c>
      <c r="AH45" s="30">
        <f t="shared" si="54"/>
        <v>6111</v>
      </c>
      <c r="AI45" s="30">
        <f t="shared" si="54"/>
        <v>3390</v>
      </c>
      <c r="AJ45" s="30">
        <f t="shared" si="54"/>
        <v>-872</v>
      </c>
      <c r="AK45" s="22">
        <f t="shared" si="54"/>
        <v>12442</v>
      </c>
      <c r="AL45" s="30">
        <f t="shared" si="54"/>
        <v>6116</v>
      </c>
      <c r="AM45" s="30">
        <f t="shared" si="54"/>
        <v>4580</v>
      </c>
      <c r="AN45" s="30">
        <f t="shared" si="54"/>
        <v>809</v>
      </c>
      <c r="AO45" s="30">
        <f t="shared" si="54"/>
        <v>-6620</v>
      </c>
      <c r="AP45" s="22">
        <f t="shared" si="54"/>
        <v>4885</v>
      </c>
      <c r="AQ45" s="30">
        <f t="shared" si="54"/>
        <v>336</v>
      </c>
      <c r="AR45" s="30">
        <f t="shared" si="54"/>
        <v>1322</v>
      </c>
      <c r="AS45" s="30">
        <f t="shared" si="54"/>
        <v>280</v>
      </c>
      <c r="AT45" s="30">
        <f t="shared" si="54"/>
        <v>2055</v>
      </c>
      <c r="AU45" s="22">
        <f t="shared" si="54"/>
        <v>3993</v>
      </c>
      <c r="AV45" s="30">
        <f t="shared" si="54"/>
        <v>4898</v>
      </c>
      <c r="AW45" s="30">
        <f t="shared" si="54"/>
        <v>11314</v>
      </c>
      <c r="AX45" s="30">
        <f t="shared" si="54"/>
        <v>13174</v>
      </c>
      <c r="AY45" s="30">
        <f t="shared" si="54"/>
        <v>14372</v>
      </c>
      <c r="AZ45" s="22">
        <f>AZ20+AZ22-SUM(AZ15:AZ19)</f>
        <v>43758</v>
      </c>
      <c r="BA45" s="30">
        <f t="shared" ref="BA45:BJ45" si="55">BA20+BA22-SUM(BA15:BA19)</f>
        <v>13947</v>
      </c>
      <c r="BB45" s="30">
        <f t="shared" si="55"/>
        <v>13745</v>
      </c>
      <c r="BC45" s="30">
        <f t="shared" si="55"/>
        <v>10025</v>
      </c>
      <c r="BD45" s="30">
        <f t="shared" si="55"/>
        <v>14349.939544621739</v>
      </c>
      <c r="BE45" s="141">
        <f t="shared" si="55"/>
        <v>52066.939544621913</v>
      </c>
      <c r="BF45" s="189">
        <f t="shared" si="55"/>
        <v>10242.566237991174</v>
      </c>
      <c r="BG45" s="189">
        <f t="shared" si="55"/>
        <v>12206.732667040265</v>
      </c>
      <c r="BH45" s="189">
        <f t="shared" si="55"/>
        <v>11436.586010346407</v>
      </c>
      <c r="BI45" s="189">
        <f t="shared" si="55"/>
        <v>12350.096831915023</v>
      </c>
      <c r="BJ45" s="141">
        <f t="shared" si="55"/>
        <v>46235.981747292746</v>
      </c>
      <c r="BK45" s="141">
        <f t="shared" ref="BK45:BM45" si="56">BK20+BK22-SUM(BK15:BK19)</f>
        <v>59293.461880459065</v>
      </c>
      <c r="BL45" s="141">
        <f t="shared" si="56"/>
        <v>62334.178381392783</v>
      </c>
      <c r="BM45" s="141">
        <f t="shared" si="56"/>
        <v>69752.465077161105</v>
      </c>
    </row>
    <row r="46" spans="1:65" ht="16.5" x14ac:dyDescent="0.3">
      <c r="A46" s="4" t="s">
        <v>199</v>
      </c>
      <c r="AP46" s="21">
        <f>AP20+AP22+AP23</f>
        <v>-9069</v>
      </c>
      <c r="AU46" s="21">
        <f>AU20+AU22+AU23</f>
        <v>-11569</v>
      </c>
      <c r="AZ46" s="21">
        <f>AZ20+AZ22+AZ23</f>
        <v>36813</v>
      </c>
      <c r="BE46" s="141">
        <f>BE20+BE22+BE23</f>
        <v>32516.455897714986</v>
      </c>
      <c r="BF46" s="255"/>
      <c r="BG46" s="255"/>
      <c r="BH46" s="255"/>
      <c r="BI46" s="255"/>
      <c r="BJ46" s="141">
        <f>BJ20+BJ22+BJ23</f>
        <v>42853.70058821507</v>
      </c>
      <c r="BK46" s="141">
        <f t="shared" ref="BK46:BM46" si="57">BK20+BK22+BK23</f>
        <v>56636.787892271852</v>
      </c>
      <c r="BL46" s="141">
        <f t="shared" si="57"/>
        <v>57614.427845740436</v>
      </c>
      <c r="BM46" s="141">
        <f t="shared" si="57"/>
        <v>62528.289429530763</v>
      </c>
    </row>
    <row r="47" spans="1:65" ht="16.5" x14ac:dyDescent="0.3">
      <c r="A47" s="4" t="s">
        <v>200</v>
      </c>
      <c r="AF47" s="22">
        <f>IS!AF24+IS!AF29-(-SUM(IS!AF25:AF27)*IS!AF90)+(BS!AF52+CF!AF22+CF!AF9+AF23+AF24)+(AF10+AF13+AF11+AF12)</f>
        <v>26286.061180679786</v>
      </c>
      <c r="AK47" s="22">
        <f>IS!AK24+IS!AK29-(-SUM(IS!AK25:AK27)*IS!AK90)+(BS!AK52+CF!AK22+CF!AK9+AK23+AK24)+(AK10+AK13+AK11+AK12)</f>
        <v>11895.450781702373</v>
      </c>
      <c r="AP47" s="22">
        <f>IS!AP24+IS!AP29-(-SUM(IS!AP25:AP27)*IS!AP90)+(BS!AP52+CF!AP22+CF!AP9+AP23+AP24)+(AP10+AP13+AP11+AP12)</f>
        <v>9913.6968624675646</v>
      </c>
      <c r="AU47" s="22">
        <f>IS!AU24+IS!AU29-(-SUM(IS!AU25:AU27)*IS!AU90)+(BS!AU52+CF!AU22+CF!AU9+AU23+AU24)+(AU10+AU13+AU11+AU12)</f>
        <v>-18582.772237196768</v>
      </c>
      <c r="AY47" s="105"/>
      <c r="AZ47" s="22">
        <f>IS!AZ24+IS!AZ29-(-SUM(IS!AZ25:AZ27)*IS!AZ90)+(BS!AZ52+CF!AZ22+CF!AZ9+AZ23+AZ24)+(AZ10+AZ13+AZ11+AZ12)</f>
        <v>57991.652847671539</v>
      </c>
      <c r="BE47" s="141">
        <f>IS!BE24+IS!BE29-(-SUM(IS!BE25:BE27)*IS!BE90)+BS!BE52+(BE22+BE9+BE23+BE24)+(BE10+BE13+BE11+BE12)</f>
        <v>74015.256710975736</v>
      </c>
      <c r="BF47" s="255"/>
      <c r="BG47" s="255"/>
      <c r="BH47" s="255"/>
      <c r="BI47" s="255"/>
      <c r="BJ47" s="141">
        <f>IS!BJ24+IS!BJ29-(-SUM(IS!BJ25:BJ27)*IS!BJ90)+(BS!BJ52+CF!BJ22+CF!BJ9+BJ23+BJ24)+(BJ10+BJ13+BJ11+BJ12)</f>
        <v>93066.03652598233</v>
      </c>
      <c r="BK47" s="141">
        <f>IS!BK24+IS!BK29-(-SUM(IS!BK25:BK27)*IS!BK90)+(BS!BK52+CF!BK22+CF!BK9+BK23+BK24)+(BK10+BK13+BK11+BK12)</f>
        <v>148711.46324460179</v>
      </c>
      <c r="BL47" s="141">
        <f>IS!BL24+IS!BL29-(-SUM(IS!BL25:BL27)*IS!BL90)+(BS!BL52+CF!BL22+CF!BL9+BL23+BL24)+(BL10+BL13+BL11+BL12)</f>
        <v>201887.60668690474</v>
      </c>
      <c r="BM47" s="141">
        <f>IS!BM24+IS!BM29-(-SUM(IS!BM25:BM27)*IS!BM90)+(BS!BM52+CF!BM22+CF!BM9+BM23+BM24)+(BM10+BM13+BM11+BM12)</f>
        <v>263017.22761034791</v>
      </c>
    </row>
    <row r="48" spans="1:65" ht="16.5" x14ac:dyDescent="0.3">
      <c r="A48" s="4" t="s">
        <v>201</v>
      </c>
      <c r="AF48" s="22">
        <f>AF20-SUM(AF15:AF19)+AF22+(-IS!AF26*(1-IS!AF90))</f>
        <v>25421.314847942755</v>
      </c>
      <c r="AK48" s="22">
        <f>AK20-SUM(AK15:AK19)+AK22+(-IS!AK26*(1-IS!AK90))</f>
        <v>13893.973074696005</v>
      </c>
      <c r="AP48" s="22">
        <f>AP20-SUM(AP15:AP19)+AP22+(-IS!AP26*(1-IS!AP90))</f>
        <v>6466.8259023354567</v>
      </c>
      <c r="AU48" s="22">
        <f>AU20-SUM(AU15:AU19)+AU22+(-IS!AU26*(1-IS!AU90))</f>
        <v>5077.2104110512128</v>
      </c>
      <c r="AY48" s="105"/>
      <c r="AZ48" s="22">
        <f>AZ20-SUM(AZ15:AZ19)+AZ22+(-IS!AZ26*(1-IS!AZ90))</f>
        <v>46336.761189658384</v>
      </c>
      <c r="BE48" s="141">
        <f>BE20-SUM(BE15:BE19)+BE22+(-IS!BE26*(1-IS!BE90))</f>
        <v>55781.703231889835</v>
      </c>
      <c r="BF48" s="255"/>
      <c r="BG48" s="255"/>
      <c r="BH48" s="255"/>
      <c r="BI48" s="255"/>
      <c r="BJ48" s="141">
        <f>BJ20-SUM(BJ15:BJ19)+BJ22+(-IS!BJ26*(1-IS!BJ90))</f>
        <v>53249.548175079952</v>
      </c>
      <c r="BK48" s="141">
        <f>BK20-SUM(BK15:BK19)+BK22+(-IS!BK26*(1-IS!BK90))</f>
        <v>66962.279641404966</v>
      </c>
      <c r="BL48" s="141">
        <f>BL20-SUM(BL15:BL19)+BL22+(-IS!BL26*(1-IS!BL90))</f>
        <v>70731.13134273274</v>
      </c>
      <c r="BM48" s="141">
        <f>BM20-SUM(BM15:BM19)+BM22+(-IS!BM26*(1-IS!BM90))</f>
        <v>78959.54302946011</v>
      </c>
    </row>
    <row r="49" spans="1:65" ht="16.5" x14ac:dyDescent="0.3">
      <c r="A49" t="s">
        <v>202</v>
      </c>
      <c r="AF49" s="22">
        <f>AF20+(-(IS!AF26+IS!AF25)*(1-IS!AF90))+AF22</f>
        <v>22290.760930232558</v>
      </c>
      <c r="AK49" s="22">
        <f>AK20+(-(IS!AK26+IS!AK25)*(1-IS!AK90))+AK22</f>
        <v>26885.692530399538</v>
      </c>
      <c r="AP49" s="22">
        <f>AP20+(-(IS!AP26+IS!AP25)*(1-IS!AP90))+AP22</f>
        <v>-13535.914287961001</v>
      </c>
      <c r="AU49" s="22">
        <f>AU20+(-(IS!AU26+IS!AU25)*(1-IS!AU90))+AU22</f>
        <v>-16261.803571428572</v>
      </c>
      <c r="AZ49" s="22">
        <f>AZ20+(-(IS!AZ26+IS!AZ25)*(1-IS!AZ90))+AZ22</f>
        <v>32405.828207790822</v>
      </c>
      <c r="BE49" s="141">
        <f>BE20+(-(IS!BE26+IS!BE25)*(1-IS!BE90))+BE22</f>
        <v>26900.476183347258</v>
      </c>
      <c r="BF49" s="255"/>
      <c r="BG49" s="255"/>
      <c r="BH49" s="255" t="s">
        <v>19</v>
      </c>
      <c r="BI49" s="255"/>
      <c r="BJ49" s="141">
        <f>BJ20+(-(IS!BJ26+IS!BJ25)*(1-IS!BJ90))+BJ22</f>
        <v>40901.886088306812</v>
      </c>
      <c r="BK49" s="141">
        <f>BK20+(-(IS!BK26+IS!BK25)*(1-IS!BK90))+BK22</f>
        <v>54466.739287562741</v>
      </c>
      <c r="BL49" s="141">
        <f>BL20+(-(IS!BL26+IS!BL25)*(1-IS!BL90))+BL22</f>
        <v>55208.001092710168</v>
      </c>
      <c r="BM49" s="141">
        <f>BM20+(-(IS!BM26+IS!BM25)*(1-IS!BM90))+BM22</f>
        <v>59866.434848609977</v>
      </c>
    </row>
    <row r="51" spans="1:65" x14ac:dyDescent="0.25">
      <c r="AU51" s="105"/>
    </row>
    <row r="53" spans="1:65" x14ac:dyDescent="0.25">
      <c r="AU53" s="105"/>
      <c r="AZ53" s="105"/>
      <c r="BE53" s="105"/>
      <c r="BJ53" s="105"/>
    </row>
    <row r="54" spans="1:65" x14ac:dyDescent="0.25">
      <c r="AU54" s="105"/>
      <c r="AZ54" s="105"/>
      <c r="BE54" s="105"/>
      <c r="BJ54" s="105"/>
    </row>
    <row r="55" spans="1:65" x14ac:dyDescent="0.25">
      <c r="AU55" s="105"/>
      <c r="AZ55" s="105"/>
      <c r="BE55" s="105"/>
      <c r="BJ55" s="105"/>
    </row>
    <row r="56" spans="1:65" x14ac:dyDescent="0.25">
      <c r="AU56" s="105"/>
      <c r="AZ56" s="105"/>
      <c r="BE56" s="105"/>
      <c r="BJ56" s="105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53A9-8324-4B84-813C-5E2BF745A8DB}">
  <dimension ref="B1:XDY67"/>
  <sheetViews>
    <sheetView showGridLines="0" workbookViewId="0">
      <selection activeCell="B14" sqref="B14"/>
    </sheetView>
  </sheetViews>
  <sheetFormatPr defaultRowHeight="16.5" x14ac:dyDescent="0.3"/>
  <cols>
    <col min="1" max="1" width="3.140625" customWidth="1"/>
    <col min="2" max="2" width="36.7109375" style="261" bestFit="1" customWidth="1"/>
    <col min="3" max="3" width="16.28515625" style="261" customWidth="1"/>
    <col min="4" max="4" width="13.5703125" style="261" customWidth="1"/>
    <col min="5" max="5" width="15.85546875" style="261" customWidth="1"/>
    <col min="6" max="6" width="15.7109375" style="261" bestFit="1" customWidth="1"/>
    <col min="7" max="10" width="9.28515625" style="261" bestFit="1" customWidth="1"/>
  </cols>
  <sheetData>
    <row r="1" spans="2:17" x14ac:dyDescent="0.3">
      <c r="B1" s="2" t="s">
        <v>10</v>
      </c>
    </row>
    <row r="3" spans="2:17" x14ac:dyDescent="0.3">
      <c r="B3" s="261" t="s">
        <v>19</v>
      </c>
      <c r="F3" s="66" t="s">
        <v>43</v>
      </c>
      <c r="G3" s="66" t="s">
        <v>43</v>
      </c>
      <c r="H3" s="66" t="s">
        <v>43</v>
      </c>
      <c r="I3" s="66" t="s">
        <v>43</v>
      </c>
      <c r="J3" s="66" t="s">
        <v>43</v>
      </c>
    </row>
    <row r="4" spans="2:17" x14ac:dyDescent="0.25">
      <c r="B4" s="104" t="s">
        <v>203</v>
      </c>
      <c r="C4" s="27">
        <v>2021</v>
      </c>
      <c r="D4" s="27">
        <v>2022</v>
      </c>
      <c r="E4" s="27">
        <v>2023</v>
      </c>
      <c r="F4" s="27">
        <v>2024</v>
      </c>
      <c r="G4" s="27">
        <v>2025</v>
      </c>
      <c r="H4" s="27">
        <v>2026</v>
      </c>
      <c r="I4" s="27">
        <v>2027</v>
      </c>
      <c r="J4" s="27">
        <v>2028</v>
      </c>
    </row>
    <row r="6" spans="2:17" x14ac:dyDescent="0.3">
      <c r="B6" s="262" t="s">
        <v>204</v>
      </c>
      <c r="C6" s="263">
        <f>BS!AP12/BS!AP25</f>
        <v>1.1357597739445826</v>
      </c>
      <c r="D6" s="263">
        <f>BS!AU12/BS!AU25</f>
        <v>0.9446435811136924</v>
      </c>
      <c r="E6" s="263">
        <f>BS!AZ12/BS!AZ25</f>
        <v>1.0450772206625152</v>
      </c>
      <c r="F6" s="263">
        <f>BS!BE12/BS!BE25</f>
        <v>1.1598539719096705</v>
      </c>
      <c r="G6" s="263">
        <f>BS!BJ12/BS!BJ25</f>
        <v>1.4050784908132079</v>
      </c>
      <c r="H6" s="263">
        <f>BS!BK12/BS!BK25</f>
        <v>1.6794837484539311</v>
      </c>
      <c r="I6" s="263">
        <f>BS!BL12/BS!BL25</f>
        <v>1.9608242410794832</v>
      </c>
      <c r="J6" s="263">
        <f>BS!BM12/BS!BM25</f>
        <v>2.2730218150625991</v>
      </c>
    </row>
    <row r="7" spans="2:17" x14ac:dyDescent="0.3">
      <c r="B7" s="262" t="s">
        <v>205</v>
      </c>
      <c r="C7" s="263">
        <f>(BS!AP12-BS!AP10)/BS!AP25</f>
        <v>0.90633039517523517</v>
      </c>
      <c r="D7" s="263">
        <f>(BS!AU12-BS!AU10)/BS!AU25</f>
        <v>0.72323721145740161</v>
      </c>
      <c r="E7" s="263">
        <f>(BS!AZ12-BS!AZ10)/BS!AZ25</f>
        <v>0.84304832127676343</v>
      </c>
      <c r="F7" s="263">
        <f>(BS!BE12-BS!BE10)/BS!BE25</f>
        <v>0.94329756216128036</v>
      </c>
      <c r="G7" s="263">
        <f>(BS!BJ12-BS!BJ10)/BS!BJ25</f>
        <v>1.1778942156566086</v>
      </c>
      <c r="H7" s="263">
        <f>(BS!BK12-BS!BK10)/BS!BK25</f>
        <v>1.4555068991955222</v>
      </c>
      <c r="I7" s="263">
        <f>(BS!BL12-BS!BL10)/BS!BL25</f>
        <v>1.7397621999236725</v>
      </c>
      <c r="J7" s="263">
        <f>(BS!BM12-BS!BM10)/BS!BM25</f>
        <v>2.0546078399671517</v>
      </c>
    </row>
    <row r="8" spans="2:17" x14ac:dyDescent="0.3">
      <c r="B8" s="261" t="s">
        <v>206</v>
      </c>
      <c r="C8" s="263">
        <f>(BS!AP8+BS!AP9)/BS!AP25</f>
        <v>0.67513671572968947</v>
      </c>
      <c r="D8" s="263">
        <f>(BS!AU8+BS!AU9)/BS!AU25</f>
        <v>0.45063805962945563</v>
      </c>
      <c r="E8" s="263">
        <f>(BS!AZ8+BS!AZ9)/BS!AZ25</f>
        <v>0.52620409054251538</v>
      </c>
      <c r="F8" s="263">
        <f>(BS!BE8+BS!BE9)/BS!BE25</f>
        <v>0.57999269651138929</v>
      </c>
      <c r="G8" s="263">
        <f>(BS!BJ8+BS!BJ9)/BS!BJ25</f>
        <v>0.76077992906132541</v>
      </c>
      <c r="H8" s="263">
        <f>(BS!BK8+BS!BK9)/BS!BK25</f>
        <v>0.97603920475047601</v>
      </c>
      <c r="I8" s="263">
        <f>(BS!BL8+BS!BL9)/BS!BL25</f>
        <v>1.1880027022074762</v>
      </c>
      <c r="J8" s="263">
        <f>(BS!BM8+BS!BM9)/BS!BM25</f>
        <v>1.4189908647913838</v>
      </c>
      <c r="Q8" t="s">
        <v>19</v>
      </c>
    </row>
    <row r="9" spans="2:17" x14ac:dyDescent="0.3">
      <c r="B9" s="261" t="s">
        <v>207</v>
      </c>
      <c r="C9" s="263">
        <f>BS!AP46/BS!AP20</f>
        <v>0.22838955745941614</v>
      </c>
      <c r="D9" s="263">
        <f>BS!AU46/BS!AU20</f>
        <v>0.15135029988652943</v>
      </c>
      <c r="E9" s="263">
        <f>BS!AZ46/BS!AZ20</f>
        <v>0.16440152011730516</v>
      </c>
      <c r="F9" s="263">
        <f>BS!BE46/BS!BE20</f>
        <v>0.16162343724310158</v>
      </c>
      <c r="G9" s="263">
        <f>BS!BJ46/BS!BJ20</f>
        <v>0.19331452359919579</v>
      </c>
      <c r="H9" s="263">
        <f>BS!BK46/BS!BK20</f>
        <v>0.22972399900254165</v>
      </c>
      <c r="I9" s="263">
        <f>BS!BL46/BS!BL20</f>
        <v>0.26084050536292491</v>
      </c>
      <c r="J9" s="263">
        <f>BS!BM46/BS!BM20</f>
        <v>0.29108442011478014</v>
      </c>
    </row>
    <row r="10" spans="2:17" x14ac:dyDescent="0.3">
      <c r="B10" s="261" t="s">
        <v>208</v>
      </c>
      <c r="C10" s="263">
        <f>IS!AP15/AVERAGE(BS!AK46:AO46)</f>
        <v>5.5587474591632224</v>
      </c>
      <c r="D10" s="263">
        <f>IS!AU15/AVERAGE(BS!AP46:AT46)</f>
        <v>7.304381068237114</v>
      </c>
      <c r="E10" s="263">
        <f>IS!AZ15/AVERAGE(BS!AU46:AY46)</f>
        <v>8.226492056676685</v>
      </c>
      <c r="F10" s="263">
        <f>IS!BE15/AVERAGE(BS!AZ46:BD46)</f>
        <v>7.1177792715125872</v>
      </c>
      <c r="G10" s="263">
        <f>IS!BJ15/AVERAGE(BS!BE46:BI46)</f>
        <v>6.1166167946821952</v>
      </c>
      <c r="H10" s="263">
        <f>IS!BK15/AVERAGE(BS!BJ46:BK46)</f>
        <v>4.8890380209497906</v>
      </c>
      <c r="I10" s="263">
        <f>IS!BL15/AVERAGE(BS!BK46:BL46)</f>
        <v>4.1571231530564337</v>
      </c>
      <c r="J10" s="263">
        <f>IS!BM15/AVERAGE(BS!BL46:BM46)</f>
        <v>3.6639340133904392</v>
      </c>
    </row>
    <row r="11" spans="2:17" x14ac:dyDescent="0.3">
      <c r="B11" s="261" t="s">
        <v>209</v>
      </c>
      <c r="C11" s="263">
        <f>(IS!AP16+IS!AP18+IS!AP19)/AVERAGE(BS!AK10:AO10)</f>
        <v>14.907600342850387</v>
      </c>
      <c r="D11" s="263">
        <f>(IS!AU16+IS!AU18+IS!AU19)/AVERAGE(BS!AP10:AT10)</f>
        <v>12.620538137893593</v>
      </c>
      <c r="E11" s="263">
        <f>(IS!AZ16+IS!AZ18+IS!AZ19)/AVERAGE(BS!AU10:AY10)</f>
        <v>13.830325615633232</v>
      </c>
      <c r="F11" s="263">
        <f>(IS!BE16+IS!BE18+IS!BE19)/AVERAGE(BS!AZ10:BD10)</f>
        <v>15.019984143588873</v>
      </c>
      <c r="G11" s="263">
        <f>(IS!BJ16+IS!BJ18+IS!BJ19)/AVERAGE(BS!BE10:BI10)</f>
        <v>14.59705575438953</v>
      </c>
      <c r="H11" s="263">
        <f>(IS!BK16+IS!BK18+IS!BK19)/AVERAGE(BS!BJ10:BK10)</f>
        <v>14.901861219002004</v>
      </c>
      <c r="I11" s="263">
        <f>(IS!BL16+IS!BL18+IS!BL19)/AVERAGE(BS!BK10:BL10)</f>
        <v>15.99681954118096</v>
      </c>
      <c r="J11" s="263">
        <f>(IS!BM16+IS!BM18+IS!BM19)/AVERAGE(BS!BL10:BM10)</f>
        <v>17.196243005847816</v>
      </c>
    </row>
    <row r="12" spans="2:17" x14ac:dyDescent="0.3">
      <c r="B12" s="261" t="s">
        <v>210</v>
      </c>
      <c r="C12" s="263">
        <f>IS!AP15/AVERAGE(BS!AK11:AO11)</f>
        <v>17.125912209204838</v>
      </c>
      <c r="D12" s="263">
        <f>IS!AU15/AVERAGE(BS!AP11:AT11)</f>
        <v>14.380123438138245</v>
      </c>
      <c r="E12" s="263">
        <f>IS!AZ15/AVERAGE(BS!AU11:AY11)</f>
        <v>13.329646017699114</v>
      </c>
      <c r="F12" s="263">
        <f>IS!BE15/AVERAGE(BS!AZ11:BD11)</f>
        <v>12.0883764445558</v>
      </c>
      <c r="G12" s="263">
        <f>IS!BJ15/AVERAGE(BS!BE11:BI11)</f>
        <v>11.173187766714285</v>
      </c>
      <c r="H12" s="263">
        <f>IS!BK15/AVERAGE(BS!BJ11:BK11)</f>
        <v>9.4795810012625488</v>
      </c>
      <c r="I12" s="263">
        <f>IS!BL15/AVERAGE(BS!BK11:BL11)</f>
        <v>8.7277611126058083</v>
      </c>
      <c r="J12" s="263">
        <f>IS!BM15/AVERAGE(BS!BL11:BM11)</f>
        <v>8.0468027640661184</v>
      </c>
    </row>
    <row r="13" spans="2:17" x14ac:dyDescent="0.3">
      <c r="B13" s="261" t="s">
        <v>211</v>
      </c>
      <c r="C13" s="263">
        <f>(IS!AP16+IS!AP18+IS!AP19)/AVERAGE(BS!AK22:AO22)</f>
        <v>5.7203715412554255</v>
      </c>
      <c r="D13" s="263">
        <f>(IS!AU16+IS!AU18+IS!AU19)/AVERAGE(BS!AP22:AT22)</f>
        <v>6.1010825883703763</v>
      </c>
      <c r="E13" s="263">
        <f>(IS!AZ16+IS!AZ18+IS!AZ19)/AVERAGE(BS!AU22:AY22)</f>
        <v>6.4479198226145051</v>
      </c>
      <c r="F13" s="263">
        <f>(IS!BE16+IS!BE18+IS!BE19)/AVERAGE(BS!AZ22:BD22)</f>
        <v>6.2624780621436296</v>
      </c>
      <c r="G13" s="263">
        <f>(IS!BJ16+IS!BJ18+IS!BJ19)/AVERAGE(BS!BE22:BI22)</f>
        <v>6.6492660111587938</v>
      </c>
      <c r="H13" s="263">
        <f>(IS!BK16+IS!BK18+IS!BK19)/AVERAGE(BS!BJ22:BK22)</f>
        <v>6.6526043113884308</v>
      </c>
      <c r="I13" s="263">
        <f>(IS!BL16+IS!BL18+IS!BL19)/AVERAGE(BS!BK22:BL22)</f>
        <v>7.0945834144700166</v>
      </c>
      <c r="J13" s="263">
        <f>(IS!BM16+IS!BM18+IS!BM19)/AVERAGE(BS!BL22:BM22)</f>
        <v>7.5816450794081529</v>
      </c>
    </row>
    <row r="14" spans="2:17" x14ac:dyDescent="0.3">
      <c r="B14" s="261" t="s">
        <v>212</v>
      </c>
      <c r="C14" s="263">
        <f>IS!AP15/AVERAGE(BS!AK50:AO50)</f>
        <v>2.5986592475414008</v>
      </c>
      <c r="D14" s="263">
        <f>IS!AU15/AVERAGE(BS!AP50:AT50)</f>
        <v>2.2055683431256941</v>
      </c>
      <c r="E14" s="263">
        <f>IS!AZ15/AVERAGE(BS!AU50:AY50)</f>
        <v>2.177403957614521</v>
      </c>
      <c r="F14" s="263">
        <f>IS!BE15/AVERAGE(BS!AZ50:BD50)</f>
        <v>2.1438162189777459</v>
      </c>
      <c r="G14" s="263">
        <f>IS!BJ15/AVERAGE(BS!BE50:BI50)</f>
        <v>2.1184583723990937</v>
      </c>
      <c r="H14" s="263">
        <f>IS!BK15/AVERAGE(BS!BJ50:BK50)</f>
        <v>2.1694787250141117</v>
      </c>
      <c r="I14" s="263">
        <f>IS!BL15/AVERAGE(BS!BK50:BL50)</f>
        <v>2.2796382817490994</v>
      </c>
      <c r="J14" s="263">
        <f>IS!BM15/AVERAGE(BS!BL50:BM50)</f>
        <v>2.4223026347820897</v>
      </c>
    </row>
    <row r="15" spans="2:17" x14ac:dyDescent="0.3">
      <c r="B15" s="261" t="s">
        <v>213</v>
      </c>
      <c r="C15" s="263">
        <f>IS!AP15/AVERAGE(BS!AK20:AO20)</f>
        <v>1.2996128452609228</v>
      </c>
      <c r="D15" s="263">
        <f>IS!AU15/AVERAGE(BS!AP20:AT20)</f>
        <v>1.1997282082236853</v>
      </c>
      <c r="E15" s="263">
        <f>IS!AZ15/AVERAGE(BS!AU20:AY20)</f>
        <v>1.1878682994151022</v>
      </c>
      <c r="F15" s="263">
        <f>IS!BE15/AVERAGE(BS!AZ20:BD20)</f>
        <v>1.1344677592281895</v>
      </c>
      <c r="G15" s="263">
        <f>IS!BJ15/AVERAGE(BS!BE20:BI20)</f>
        <v>1.084814333084867</v>
      </c>
      <c r="H15" s="263">
        <f>IS!BK15/AVERAGE(BS!BJ20:BK20)</f>
        <v>1.0390434874447163</v>
      </c>
      <c r="I15" s="263">
        <f>IS!BL15/AVERAGE(BS!BK20:BL20)</f>
        <v>1.0229770471064472</v>
      </c>
      <c r="J15" s="263">
        <f>IS!BM15/AVERAGE(BS!BL20:BM20)</f>
        <v>1.0138713227465022</v>
      </c>
    </row>
    <row r="16" spans="2:17" x14ac:dyDescent="0.3">
      <c r="B16" s="261" t="s">
        <v>214</v>
      </c>
      <c r="C16" s="263">
        <f>IS!AP15/AVERAGE(BS!AK40:AO40)</f>
        <v>4.1188176794030182</v>
      </c>
      <c r="D16" s="263">
        <f>IS!AU15/AVERAGE(BS!AP40:AT40)</f>
        <v>3.7397988882097848</v>
      </c>
      <c r="E16" s="263">
        <f>IS!AZ15/AVERAGE(BS!AU40:AY40)</f>
        <v>3.3651768871652741</v>
      </c>
      <c r="F16" s="263">
        <f>IS!BE15/AVERAGE(BS!AZ40:BD40)</f>
        <v>2.6906035468902956</v>
      </c>
      <c r="G16" s="263">
        <f>IS!BJ15/AVERAGE(BS!BE40:BI40)</f>
        <v>2.3477567226816434</v>
      </c>
      <c r="H16" s="263">
        <f>IS!BK15/AVERAGE(BS!BJ40:BK40)</f>
        <v>2.135951989267546</v>
      </c>
      <c r="I16" s="263">
        <f>IS!BL15/AVERAGE(BS!BK40:BL40)</f>
        <v>1.9915295230747714</v>
      </c>
      <c r="J16" s="263">
        <f>IS!BM15/AVERAGE(BS!BL40:BM40)</f>
        <v>1.8842143116116938</v>
      </c>
    </row>
    <row r="17" spans="2:16353" x14ac:dyDescent="0.3">
      <c r="B17" s="261" t="s">
        <v>215</v>
      </c>
      <c r="C17" s="263">
        <f t="shared" ref="C17:J17" si="0">365/C12</f>
        <v>21.31273333304954</v>
      </c>
      <c r="D17" s="263">
        <f t="shared" si="0"/>
        <v>25.382257778953775</v>
      </c>
      <c r="E17" s="263">
        <f t="shared" si="0"/>
        <v>27.382572614107886</v>
      </c>
      <c r="F17" s="263">
        <f t="shared" si="0"/>
        <v>30.194294632873032</v>
      </c>
      <c r="G17" s="263">
        <f t="shared" si="0"/>
        <v>32.667490032465111</v>
      </c>
      <c r="H17" s="263">
        <f t="shared" si="0"/>
        <v>38.503811502996498</v>
      </c>
      <c r="I17" s="263">
        <f t="shared" si="0"/>
        <v>41.820576352945523</v>
      </c>
      <c r="J17" s="263">
        <f t="shared" si="0"/>
        <v>45.359630489509151</v>
      </c>
    </row>
    <row r="18" spans="2:16353" x14ac:dyDescent="0.3">
      <c r="B18" s="261" t="s">
        <v>216</v>
      </c>
      <c r="C18" s="263">
        <f t="shared" ref="C18:J18" si="1">365/C11</f>
        <v>24.484155169550963</v>
      </c>
      <c r="D18" s="263">
        <f t="shared" si="1"/>
        <v>28.921112238793935</v>
      </c>
      <c r="E18" s="263">
        <f t="shared" si="1"/>
        <v>26.391280302715288</v>
      </c>
      <c r="F18" s="263">
        <f t="shared" si="1"/>
        <v>24.300957744738799</v>
      </c>
      <c r="G18" s="263">
        <f t="shared" si="1"/>
        <v>25.005042533336876</v>
      </c>
      <c r="H18" s="263">
        <f t="shared" si="1"/>
        <v>24.493584703001581</v>
      </c>
      <c r="I18" s="263">
        <f t="shared" si="1"/>
        <v>22.817035540119246</v>
      </c>
      <c r="J18" s="263">
        <f t="shared" si="1"/>
        <v>21.225566530775168</v>
      </c>
    </row>
    <row r="19" spans="2:16353" x14ac:dyDescent="0.3">
      <c r="B19" s="261" t="s">
        <v>217</v>
      </c>
      <c r="C19" s="263">
        <f t="shared" ref="C19:J19" si="2">365/C13</f>
        <v>63.807044239629057</v>
      </c>
      <c r="D19" s="263">
        <f t="shared" si="2"/>
        <v>59.825448141899841</v>
      </c>
      <c r="E19" s="263">
        <f t="shared" si="2"/>
        <v>56.607403634246751</v>
      </c>
      <c r="F19" s="263">
        <f t="shared" si="2"/>
        <v>58.283637304281662</v>
      </c>
      <c r="G19" s="263">
        <f t="shared" si="2"/>
        <v>54.893276850024833</v>
      </c>
      <c r="H19" s="263">
        <f t="shared" si="2"/>
        <v>54.865731210732825</v>
      </c>
      <c r="I19" s="263">
        <f t="shared" si="2"/>
        <v>51.44770012225819</v>
      </c>
      <c r="J19" s="263">
        <f t="shared" si="2"/>
        <v>48.142585966117664</v>
      </c>
    </row>
    <row r="20" spans="2:16353" x14ac:dyDescent="0.3">
      <c r="B20" s="261" t="s">
        <v>218</v>
      </c>
      <c r="C20" s="263">
        <f t="shared" ref="C20:J20" si="3">C17+C18-C19</f>
        <v>-18.010155737028555</v>
      </c>
      <c r="D20" s="263">
        <f t="shared" si="3"/>
        <v>-5.5220781241521308</v>
      </c>
      <c r="E20" s="263">
        <f t="shared" si="3"/>
        <v>-2.8335507174235772</v>
      </c>
      <c r="F20" s="263">
        <f t="shared" si="3"/>
        <v>-3.7883849266698277</v>
      </c>
      <c r="G20" s="263">
        <f t="shared" si="3"/>
        <v>2.779255715777154</v>
      </c>
      <c r="H20" s="263">
        <f t="shared" si="3"/>
        <v>8.131664995265254</v>
      </c>
      <c r="I20" s="263">
        <f t="shared" si="3"/>
        <v>13.189911770806582</v>
      </c>
      <c r="J20" s="263">
        <f t="shared" si="3"/>
        <v>18.442611054166647</v>
      </c>
    </row>
    <row r="21" spans="2:16353" x14ac:dyDescent="0.3">
      <c r="C21" s="263"/>
      <c r="D21" s="263"/>
      <c r="E21" s="263"/>
      <c r="F21" s="263"/>
      <c r="G21" s="263"/>
    </row>
    <row r="22" spans="2:16353" x14ac:dyDescent="0.25">
      <c r="B22" s="104" t="s">
        <v>219</v>
      </c>
      <c r="C22" s="27">
        <v>2021</v>
      </c>
      <c r="D22" s="27">
        <v>2022</v>
      </c>
      <c r="E22" s="27">
        <v>2023</v>
      </c>
      <c r="F22" s="27">
        <f>F4</f>
        <v>2024</v>
      </c>
      <c r="G22" s="27">
        <f>G4</f>
        <v>2025</v>
      </c>
      <c r="H22" s="27">
        <v>2026</v>
      </c>
      <c r="I22" s="27">
        <v>2027</v>
      </c>
      <c r="J22" s="27">
        <v>2028</v>
      </c>
    </row>
    <row r="23" spans="2:16353" x14ac:dyDescent="0.3">
      <c r="C23" s="263"/>
      <c r="D23" s="263"/>
      <c r="E23" s="263"/>
      <c r="F23" s="263"/>
      <c r="G23" s="263"/>
    </row>
    <row r="24" spans="2:16353" x14ac:dyDescent="0.3">
      <c r="B24" s="261" t="s">
        <v>220</v>
      </c>
      <c r="C24" s="263">
        <f>BS!AP46/BS!AP47</f>
        <v>0.82519867691911164</v>
      </c>
      <c r="D24" s="263">
        <f>BS!AU46/BS!AU47</f>
        <v>0.49976448422044278</v>
      </c>
      <c r="E24" s="263">
        <f>BS!AZ46/BS!AZ47</f>
        <v>0.63991859067479773</v>
      </c>
      <c r="F24" s="263">
        <f>BS!BE46/BS!BE47</f>
        <v>0.71804495695429771</v>
      </c>
      <c r="G24" s="263">
        <f>BS!BJ46/BS!BJ47</f>
        <v>0.8918663528415901</v>
      </c>
      <c r="H24" s="263">
        <f>BS!BK46/BS!BK47</f>
        <v>1.1357628048011754</v>
      </c>
      <c r="I24" s="263">
        <f>BS!BL46/BS!BL47</f>
        <v>1.3721449594145014</v>
      </c>
      <c r="J24" s="263">
        <f>BS!BM46/BS!BM47</f>
        <v>1.6266808581196039</v>
      </c>
    </row>
    <row r="25" spans="2:16353" x14ac:dyDescent="0.3">
      <c r="B25" s="261" t="s">
        <v>221</v>
      </c>
      <c r="C25" s="263">
        <f>CF!AP45/BS!AP47</f>
        <v>4.1969156750719536E-2</v>
      </c>
      <c r="D25" s="263">
        <f>CF!AU45/BS!AU47</f>
        <v>2.8497409326424871E-2</v>
      </c>
      <c r="E25" s="263">
        <f>CF!AZ45/BS!AZ47</f>
        <v>0.32267293951080667</v>
      </c>
      <c r="F25" s="263">
        <f>CF!BE45/BS!BE47</f>
        <v>0.37685263224853527</v>
      </c>
      <c r="G25" s="263">
        <f>CF!BJ45/BS!BJ47</f>
        <v>0.30591830493565358</v>
      </c>
      <c r="H25" s="263">
        <f>CF!BK45/BS!BK47</f>
        <v>0.37638865606326016</v>
      </c>
      <c r="I25" s="263">
        <f>CF!BL45/BS!BL47</f>
        <v>0.38003974435033627</v>
      </c>
      <c r="J25" s="263">
        <f>CF!BM45/BS!BM47</f>
        <v>0.40885433249244491</v>
      </c>
    </row>
    <row r="26" spans="2:16353" x14ac:dyDescent="0.3">
      <c r="B26" s="261" t="s">
        <v>222</v>
      </c>
      <c r="C26" s="263">
        <f>IS!AP95/-IS!AP26</f>
        <v>21.841901603095632</v>
      </c>
      <c r="D26" s="263">
        <f>IS!AU95/-IS!AU26</f>
        <v>-1.9256442754541614</v>
      </c>
      <c r="E26" s="263">
        <f>IS!AZ95/-IS!AZ26</f>
        <v>11.87617850408548</v>
      </c>
      <c r="F26" s="263">
        <f>IS!BE95/-IS!BE26</f>
        <v>16.931361739663394</v>
      </c>
      <c r="G26" s="263">
        <f>IS!BJ95/-IS!BJ26</f>
        <v>10.69999999999998</v>
      </c>
      <c r="H26" s="263">
        <f>IS!BK95/-IS!BK26</f>
        <v>10.599999999999994</v>
      </c>
      <c r="I26" s="263">
        <f>IS!BL95/-IS!BL26</f>
        <v>10.100000000000003</v>
      </c>
      <c r="J26" s="263">
        <f>IS!BM95/-IS!BM26</f>
        <v>10.100000000000009</v>
      </c>
    </row>
    <row r="27" spans="2:16353" x14ac:dyDescent="0.3">
      <c r="B27" s="261" t="s">
        <v>223</v>
      </c>
      <c r="C27" s="263">
        <f>IS!AP94/-IS!AP26</f>
        <v>40.876174682144828</v>
      </c>
      <c r="D27" s="263">
        <f>IS!AU94/-IS!AU26</f>
        <v>15.784959864807773</v>
      </c>
      <c r="E27" s="263">
        <f>IS!AZ94/-IS!AZ26</f>
        <v>27.169390320553113</v>
      </c>
      <c r="F27" s="263">
        <f>IS!BE94/-IS!BE26</f>
        <v>31.058109775853147</v>
      </c>
      <c r="G27" s="263">
        <f>IS!BJ94/-IS!BJ26</f>
        <v>18.990901668869022</v>
      </c>
      <c r="H27" s="263">
        <f>IS!BK94/-IS!BK26</f>
        <v>20.599999999999994</v>
      </c>
      <c r="I27" s="263">
        <f>IS!BL94/-IS!BL26</f>
        <v>20.6</v>
      </c>
      <c r="J27" s="263">
        <f>IS!BM94/-IS!BM26</f>
        <v>21.100000000000009</v>
      </c>
    </row>
    <row r="28" spans="2:16353" x14ac:dyDescent="0.3">
      <c r="B28" s="261" t="s">
        <v>224</v>
      </c>
      <c r="C28" s="263">
        <f>-CF!AP22/IS!AP94</f>
        <v>0.82565420244776522</v>
      </c>
      <c r="D28" s="263">
        <f>-CF!AU22/IS!AU94</f>
        <v>1.7034231726574418</v>
      </c>
      <c r="E28" s="263">
        <f>-CF!AZ22/IS!AZ94</f>
        <v>0.60991521404693883</v>
      </c>
      <c r="F28" s="263">
        <f>-CF!BE22/IS!BE94</f>
        <v>0.64098438779230227</v>
      </c>
      <c r="G28" s="263">
        <f>-CF!BJ22/IS!BJ94</f>
        <v>0.63188152986285473</v>
      </c>
      <c r="H28" s="263">
        <f>-CF!BK22/IS!BK94</f>
        <v>0.58252427184466038</v>
      </c>
      <c r="I28" s="263">
        <f>-CF!BL22/IS!BL94</f>
        <v>0.58252427184466016</v>
      </c>
      <c r="J28" s="263">
        <f>-CF!BM22/IS!BM94</f>
        <v>0.5687203791469192</v>
      </c>
    </row>
    <row r="29" spans="2:16353" x14ac:dyDescent="0.3">
      <c r="B29" s="261" t="s">
        <v>225</v>
      </c>
      <c r="C29" s="263">
        <f>CF!AP45/IS!AP31</f>
        <v>0.14641529792590816</v>
      </c>
      <c r="D29" s="263">
        <f>CF!AU45/IS!AU31</f>
        <v>-1.4669360764144013</v>
      </c>
      <c r="E29" s="263">
        <f>CF!AZ45/IS!AZ31</f>
        <v>1.4382251437962201</v>
      </c>
      <c r="F29" s="263">
        <f>CF!BE45/IS!BE31</f>
        <v>0.98427347921549491</v>
      </c>
      <c r="G29" s="263">
        <f>CF!BJ45/IS!BJ31</f>
        <v>0.8181141530907069</v>
      </c>
      <c r="H29" s="263">
        <f>CF!BK45/IS!BK31</f>
        <v>0.96901371755393106</v>
      </c>
      <c r="I29" s="263">
        <f>CF!BL45/IS!BL31</f>
        <v>0.97882757331320325</v>
      </c>
      <c r="J29" s="263">
        <f>CF!BM45/IS!BM31</f>
        <v>0.99894002799607085</v>
      </c>
    </row>
    <row r="30" spans="2:16353" x14ac:dyDescent="0.3">
      <c r="B30" s="261" t="s">
        <v>198</v>
      </c>
      <c r="C30" s="263">
        <f>CF!AP45/BS!AP40</f>
        <v>3.5335816846902242E-2</v>
      </c>
      <c r="D30" s="263">
        <f>CF!AU45/BS!AU40</f>
        <v>2.7341262504878699E-2</v>
      </c>
      <c r="E30" s="263">
        <f>CF!AZ45/BS!AZ40</f>
        <v>0.21675789473684209</v>
      </c>
      <c r="F30" s="263">
        <f>CF!BE45/BS!BE40</f>
        <v>0.1917368314739171</v>
      </c>
      <c r="G30" s="263">
        <f>CF!BJ45/BS!BJ40</f>
        <v>0.14082736230848461</v>
      </c>
      <c r="H30" s="263">
        <f>CF!BK45/BS!BK40</f>
        <v>0.15213067647867476</v>
      </c>
      <c r="I30" s="263">
        <f>CF!BL45/BS!BL40</f>
        <v>0.13744731672475716</v>
      </c>
      <c r="J30" s="263">
        <f>CF!BM45/BS!BM40</f>
        <v>0.13317323599742828</v>
      </c>
      <c r="P30" t="str">
        <f t="shared" ref="P30:CA30" si="4">TRIM(AB11)</f>
        <v/>
      </c>
      <c r="Q30" t="str">
        <f t="shared" si="4"/>
        <v/>
      </c>
      <c r="R30" t="str">
        <f t="shared" si="4"/>
        <v/>
      </c>
      <c r="S30" t="str">
        <f t="shared" si="4"/>
        <v/>
      </c>
      <c r="T30" t="str">
        <f t="shared" si="4"/>
        <v/>
      </c>
      <c r="U30" t="str">
        <f t="shared" si="4"/>
        <v/>
      </c>
      <c r="V30" t="str">
        <f t="shared" si="4"/>
        <v/>
      </c>
      <c r="W30" t="str">
        <f t="shared" si="4"/>
        <v/>
      </c>
      <c r="X30" t="str">
        <f t="shared" si="4"/>
        <v/>
      </c>
      <c r="Y30" t="str">
        <f t="shared" si="4"/>
        <v/>
      </c>
      <c r="Z30" t="str">
        <f t="shared" si="4"/>
        <v/>
      </c>
      <c r="AA30" t="str">
        <f t="shared" si="4"/>
        <v/>
      </c>
      <c r="AB30" t="str">
        <f t="shared" si="4"/>
        <v/>
      </c>
      <c r="AC30" t="str">
        <f t="shared" si="4"/>
        <v/>
      </c>
      <c r="AD30" t="str">
        <f t="shared" si="4"/>
        <v/>
      </c>
      <c r="AE30" t="str">
        <f t="shared" si="4"/>
        <v/>
      </c>
      <c r="AF30" t="str">
        <f t="shared" si="4"/>
        <v/>
      </c>
      <c r="AG30" t="str">
        <f t="shared" si="4"/>
        <v/>
      </c>
      <c r="AH30" t="str">
        <f t="shared" si="4"/>
        <v/>
      </c>
      <c r="AI30" t="str">
        <f t="shared" si="4"/>
        <v/>
      </c>
      <c r="AJ30" t="str">
        <f t="shared" si="4"/>
        <v/>
      </c>
      <c r="AK30" t="str">
        <f t="shared" si="4"/>
        <v/>
      </c>
      <c r="AL30" t="str">
        <f t="shared" si="4"/>
        <v/>
      </c>
      <c r="AM30" t="str">
        <f t="shared" si="4"/>
        <v/>
      </c>
      <c r="AN30" t="str">
        <f t="shared" si="4"/>
        <v/>
      </c>
      <c r="AO30" t="str">
        <f t="shared" si="4"/>
        <v/>
      </c>
      <c r="AP30" t="str">
        <f t="shared" si="4"/>
        <v/>
      </c>
      <c r="AQ30" t="str">
        <f t="shared" si="4"/>
        <v/>
      </c>
      <c r="AR30" t="str">
        <f t="shared" si="4"/>
        <v/>
      </c>
      <c r="AS30" t="str">
        <f t="shared" si="4"/>
        <v/>
      </c>
      <c r="AT30" t="str">
        <f t="shared" si="4"/>
        <v/>
      </c>
      <c r="AU30" t="str">
        <f t="shared" si="4"/>
        <v/>
      </c>
      <c r="AV30" t="str">
        <f t="shared" si="4"/>
        <v/>
      </c>
      <c r="AW30" t="str">
        <f t="shared" si="4"/>
        <v/>
      </c>
      <c r="AX30" t="str">
        <f t="shared" si="4"/>
        <v/>
      </c>
      <c r="AY30" t="str">
        <f t="shared" si="4"/>
        <v/>
      </c>
      <c r="AZ30" t="str">
        <f t="shared" si="4"/>
        <v/>
      </c>
      <c r="BA30" t="str">
        <f t="shared" si="4"/>
        <v/>
      </c>
      <c r="BB30" t="str">
        <f t="shared" si="4"/>
        <v/>
      </c>
      <c r="BC30" t="str">
        <f t="shared" si="4"/>
        <v/>
      </c>
      <c r="BD30" t="str">
        <f t="shared" si="4"/>
        <v/>
      </c>
      <c r="BE30" t="str">
        <f t="shared" si="4"/>
        <v/>
      </c>
      <c r="BF30" t="str">
        <f t="shared" si="4"/>
        <v/>
      </c>
      <c r="BG30" t="str">
        <f t="shared" si="4"/>
        <v/>
      </c>
      <c r="BH30" t="str">
        <f t="shared" si="4"/>
        <v/>
      </c>
      <c r="BI30" t="str">
        <f t="shared" si="4"/>
        <v/>
      </c>
      <c r="BJ30" t="str">
        <f t="shared" si="4"/>
        <v/>
      </c>
      <c r="BK30" t="str">
        <f t="shared" si="4"/>
        <v/>
      </c>
      <c r="BL30" t="str">
        <f t="shared" si="4"/>
        <v/>
      </c>
      <c r="BM30" t="str">
        <f t="shared" si="4"/>
        <v/>
      </c>
      <c r="BN30" t="str">
        <f t="shared" si="4"/>
        <v/>
      </c>
      <c r="BO30" t="str">
        <f t="shared" si="4"/>
        <v/>
      </c>
      <c r="BP30" t="str">
        <f t="shared" si="4"/>
        <v/>
      </c>
      <c r="BQ30" t="str">
        <f t="shared" si="4"/>
        <v/>
      </c>
      <c r="BR30" t="str">
        <f t="shared" si="4"/>
        <v/>
      </c>
      <c r="BS30" t="str">
        <f t="shared" si="4"/>
        <v/>
      </c>
      <c r="BT30" t="str">
        <f t="shared" si="4"/>
        <v/>
      </c>
      <c r="BU30" t="str">
        <f t="shared" si="4"/>
        <v/>
      </c>
      <c r="BV30" t="str">
        <f t="shared" si="4"/>
        <v/>
      </c>
      <c r="BW30" t="str">
        <f t="shared" si="4"/>
        <v/>
      </c>
      <c r="BX30" t="str">
        <f t="shared" si="4"/>
        <v/>
      </c>
      <c r="BY30" t="str">
        <f t="shared" si="4"/>
        <v/>
      </c>
      <c r="BZ30" t="str">
        <f t="shared" si="4"/>
        <v/>
      </c>
      <c r="CA30" t="str">
        <f t="shared" si="4"/>
        <v/>
      </c>
      <c r="CB30" t="str">
        <f t="shared" ref="CB30:EM30" si="5">TRIM(CN11)</f>
        <v/>
      </c>
      <c r="CC30" t="str">
        <f t="shared" si="5"/>
        <v/>
      </c>
      <c r="CD30" t="str">
        <f t="shared" si="5"/>
        <v/>
      </c>
      <c r="CE30" t="str">
        <f t="shared" si="5"/>
        <v/>
      </c>
      <c r="CF30" t="str">
        <f t="shared" si="5"/>
        <v/>
      </c>
      <c r="CG30" t="str">
        <f t="shared" si="5"/>
        <v/>
      </c>
      <c r="CH30" t="str">
        <f t="shared" si="5"/>
        <v/>
      </c>
      <c r="CI30" t="str">
        <f t="shared" si="5"/>
        <v/>
      </c>
      <c r="CJ30" t="str">
        <f t="shared" si="5"/>
        <v/>
      </c>
      <c r="CK30" t="str">
        <f t="shared" si="5"/>
        <v/>
      </c>
      <c r="CL30" t="str">
        <f t="shared" si="5"/>
        <v/>
      </c>
      <c r="CM30" t="str">
        <f t="shared" si="5"/>
        <v/>
      </c>
      <c r="CN30" t="str">
        <f t="shared" si="5"/>
        <v/>
      </c>
      <c r="CO30" t="str">
        <f t="shared" si="5"/>
        <v/>
      </c>
      <c r="CP30" t="str">
        <f t="shared" si="5"/>
        <v/>
      </c>
      <c r="CQ30" t="str">
        <f t="shared" si="5"/>
        <v/>
      </c>
      <c r="CR30" t="str">
        <f t="shared" si="5"/>
        <v/>
      </c>
      <c r="CS30" t="str">
        <f t="shared" si="5"/>
        <v/>
      </c>
      <c r="CT30" t="str">
        <f t="shared" si="5"/>
        <v/>
      </c>
      <c r="CU30" t="str">
        <f t="shared" si="5"/>
        <v/>
      </c>
      <c r="CV30" t="str">
        <f t="shared" si="5"/>
        <v/>
      </c>
      <c r="CW30" t="str">
        <f t="shared" si="5"/>
        <v/>
      </c>
      <c r="CX30" t="str">
        <f t="shared" si="5"/>
        <v/>
      </c>
      <c r="CY30" t="str">
        <f t="shared" si="5"/>
        <v/>
      </c>
      <c r="CZ30" t="str">
        <f t="shared" si="5"/>
        <v/>
      </c>
      <c r="DA30" t="str">
        <f t="shared" si="5"/>
        <v/>
      </c>
      <c r="DB30" t="str">
        <f t="shared" si="5"/>
        <v/>
      </c>
      <c r="DC30" t="str">
        <f t="shared" si="5"/>
        <v/>
      </c>
      <c r="DD30" t="str">
        <f t="shared" si="5"/>
        <v/>
      </c>
      <c r="DE30" t="str">
        <f t="shared" si="5"/>
        <v/>
      </c>
      <c r="DF30" t="str">
        <f t="shared" si="5"/>
        <v/>
      </c>
      <c r="DG30" t="str">
        <f t="shared" si="5"/>
        <v/>
      </c>
      <c r="DH30" t="str">
        <f t="shared" si="5"/>
        <v/>
      </c>
      <c r="DI30" t="str">
        <f t="shared" si="5"/>
        <v/>
      </c>
      <c r="DJ30" t="str">
        <f t="shared" si="5"/>
        <v/>
      </c>
      <c r="DK30" t="str">
        <f t="shared" si="5"/>
        <v/>
      </c>
      <c r="DL30" t="str">
        <f t="shared" si="5"/>
        <v/>
      </c>
      <c r="DM30" t="str">
        <f t="shared" si="5"/>
        <v/>
      </c>
      <c r="DN30" t="str">
        <f t="shared" si="5"/>
        <v/>
      </c>
      <c r="DO30" t="str">
        <f t="shared" si="5"/>
        <v/>
      </c>
      <c r="DP30" t="str">
        <f t="shared" si="5"/>
        <v/>
      </c>
      <c r="DQ30" t="str">
        <f t="shared" si="5"/>
        <v/>
      </c>
      <c r="DR30" t="str">
        <f t="shared" si="5"/>
        <v/>
      </c>
      <c r="DS30" t="str">
        <f t="shared" si="5"/>
        <v/>
      </c>
      <c r="DT30" t="str">
        <f t="shared" si="5"/>
        <v/>
      </c>
      <c r="DU30" t="str">
        <f t="shared" si="5"/>
        <v/>
      </c>
      <c r="DV30" t="str">
        <f t="shared" si="5"/>
        <v/>
      </c>
      <c r="DW30" t="str">
        <f t="shared" si="5"/>
        <v/>
      </c>
      <c r="DX30" t="str">
        <f t="shared" si="5"/>
        <v/>
      </c>
      <c r="DY30" t="str">
        <f t="shared" si="5"/>
        <v/>
      </c>
      <c r="DZ30" t="str">
        <f t="shared" si="5"/>
        <v/>
      </c>
      <c r="EA30" t="str">
        <f t="shared" si="5"/>
        <v/>
      </c>
      <c r="EB30" t="str">
        <f t="shared" si="5"/>
        <v/>
      </c>
      <c r="EC30" t="str">
        <f t="shared" si="5"/>
        <v/>
      </c>
      <c r="ED30" t="str">
        <f t="shared" si="5"/>
        <v/>
      </c>
      <c r="EE30" t="str">
        <f t="shared" si="5"/>
        <v/>
      </c>
      <c r="EF30" t="str">
        <f t="shared" si="5"/>
        <v/>
      </c>
      <c r="EG30" t="str">
        <f t="shared" si="5"/>
        <v/>
      </c>
      <c r="EH30" t="str">
        <f t="shared" si="5"/>
        <v/>
      </c>
      <c r="EI30" t="str">
        <f t="shared" si="5"/>
        <v/>
      </c>
      <c r="EJ30" t="str">
        <f t="shared" si="5"/>
        <v/>
      </c>
      <c r="EK30" t="str">
        <f t="shared" si="5"/>
        <v/>
      </c>
      <c r="EL30" t="str">
        <f t="shared" si="5"/>
        <v/>
      </c>
      <c r="EM30" t="str">
        <f t="shared" si="5"/>
        <v/>
      </c>
      <c r="EN30" t="str">
        <f t="shared" ref="EN30:GY30" si="6">TRIM(EZ11)</f>
        <v/>
      </c>
      <c r="EO30" t="str">
        <f t="shared" si="6"/>
        <v/>
      </c>
      <c r="EP30" t="str">
        <f t="shared" si="6"/>
        <v/>
      </c>
      <c r="EQ30" t="str">
        <f t="shared" si="6"/>
        <v/>
      </c>
      <c r="ER30" t="str">
        <f t="shared" si="6"/>
        <v/>
      </c>
      <c r="ES30" t="str">
        <f t="shared" si="6"/>
        <v/>
      </c>
      <c r="ET30" t="str">
        <f t="shared" si="6"/>
        <v/>
      </c>
      <c r="EU30" t="str">
        <f t="shared" si="6"/>
        <v/>
      </c>
      <c r="EV30" t="str">
        <f t="shared" si="6"/>
        <v/>
      </c>
      <c r="EW30" t="str">
        <f t="shared" si="6"/>
        <v/>
      </c>
      <c r="EX30" t="str">
        <f t="shared" si="6"/>
        <v/>
      </c>
      <c r="EY30" t="str">
        <f t="shared" si="6"/>
        <v/>
      </c>
      <c r="EZ30" t="str">
        <f t="shared" si="6"/>
        <v/>
      </c>
      <c r="FA30" t="str">
        <f t="shared" si="6"/>
        <v/>
      </c>
      <c r="FB30" t="str">
        <f t="shared" si="6"/>
        <v/>
      </c>
      <c r="FC30" t="str">
        <f t="shared" si="6"/>
        <v/>
      </c>
      <c r="FD30" t="str">
        <f t="shared" si="6"/>
        <v/>
      </c>
      <c r="FE30" t="str">
        <f t="shared" si="6"/>
        <v/>
      </c>
      <c r="FF30" t="str">
        <f t="shared" si="6"/>
        <v/>
      </c>
      <c r="FG30" t="str">
        <f t="shared" si="6"/>
        <v/>
      </c>
      <c r="FH30" t="str">
        <f t="shared" si="6"/>
        <v/>
      </c>
      <c r="FI30" t="str">
        <f t="shared" si="6"/>
        <v/>
      </c>
      <c r="FJ30" t="str">
        <f t="shared" si="6"/>
        <v/>
      </c>
      <c r="FK30" t="str">
        <f t="shared" si="6"/>
        <v/>
      </c>
      <c r="FL30" t="str">
        <f t="shared" si="6"/>
        <v/>
      </c>
      <c r="FM30" t="str">
        <f t="shared" si="6"/>
        <v/>
      </c>
      <c r="FN30" t="str">
        <f t="shared" si="6"/>
        <v/>
      </c>
      <c r="FO30" t="str">
        <f t="shared" si="6"/>
        <v/>
      </c>
      <c r="FP30" t="str">
        <f t="shared" si="6"/>
        <v/>
      </c>
      <c r="FQ30" t="str">
        <f t="shared" si="6"/>
        <v/>
      </c>
      <c r="FR30" t="str">
        <f t="shared" si="6"/>
        <v/>
      </c>
      <c r="FS30" t="str">
        <f t="shared" si="6"/>
        <v/>
      </c>
      <c r="FT30" t="str">
        <f t="shared" si="6"/>
        <v/>
      </c>
      <c r="FU30" t="str">
        <f t="shared" si="6"/>
        <v/>
      </c>
      <c r="FV30" t="str">
        <f t="shared" si="6"/>
        <v/>
      </c>
      <c r="FW30" t="str">
        <f t="shared" si="6"/>
        <v/>
      </c>
      <c r="FX30" t="str">
        <f t="shared" si="6"/>
        <v/>
      </c>
      <c r="FY30" t="str">
        <f t="shared" si="6"/>
        <v/>
      </c>
      <c r="FZ30" t="str">
        <f t="shared" si="6"/>
        <v/>
      </c>
      <c r="GA30" t="str">
        <f t="shared" si="6"/>
        <v/>
      </c>
      <c r="GB30" t="str">
        <f t="shared" si="6"/>
        <v/>
      </c>
      <c r="GC30" t="str">
        <f t="shared" si="6"/>
        <v/>
      </c>
      <c r="GD30" t="str">
        <f t="shared" si="6"/>
        <v/>
      </c>
      <c r="GE30" t="str">
        <f t="shared" si="6"/>
        <v/>
      </c>
      <c r="GF30" t="str">
        <f t="shared" si="6"/>
        <v/>
      </c>
      <c r="GG30" t="str">
        <f t="shared" si="6"/>
        <v/>
      </c>
      <c r="GH30" t="str">
        <f t="shared" si="6"/>
        <v/>
      </c>
      <c r="GI30" t="str">
        <f t="shared" si="6"/>
        <v/>
      </c>
      <c r="GJ30" t="str">
        <f t="shared" si="6"/>
        <v/>
      </c>
      <c r="GK30" t="str">
        <f t="shared" si="6"/>
        <v/>
      </c>
      <c r="GL30" t="str">
        <f t="shared" si="6"/>
        <v/>
      </c>
      <c r="GM30" t="str">
        <f t="shared" si="6"/>
        <v/>
      </c>
      <c r="GN30" t="str">
        <f t="shared" si="6"/>
        <v/>
      </c>
      <c r="GO30" t="str">
        <f t="shared" si="6"/>
        <v/>
      </c>
      <c r="GP30" t="str">
        <f t="shared" si="6"/>
        <v/>
      </c>
      <c r="GQ30" t="str">
        <f t="shared" si="6"/>
        <v/>
      </c>
      <c r="GR30" t="str">
        <f t="shared" si="6"/>
        <v/>
      </c>
      <c r="GS30" t="str">
        <f t="shared" si="6"/>
        <v/>
      </c>
      <c r="GT30" t="str">
        <f t="shared" si="6"/>
        <v/>
      </c>
      <c r="GU30" t="str">
        <f t="shared" si="6"/>
        <v/>
      </c>
      <c r="GV30" t="str">
        <f t="shared" si="6"/>
        <v/>
      </c>
      <c r="GW30" t="str">
        <f t="shared" si="6"/>
        <v/>
      </c>
      <c r="GX30" t="str">
        <f t="shared" si="6"/>
        <v/>
      </c>
      <c r="GY30" t="str">
        <f t="shared" si="6"/>
        <v/>
      </c>
      <c r="GZ30" t="str">
        <f t="shared" ref="GZ30:JK30" si="7">TRIM(HL11)</f>
        <v/>
      </c>
      <c r="HA30" t="str">
        <f t="shared" si="7"/>
        <v/>
      </c>
      <c r="HB30" t="str">
        <f t="shared" si="7"/>
        <v/>
      </c>
      <c r="HC30" t="str">
        <f t="shared" si="7"/>
        <v/>
      </c>
      <c r="HD30" t="str">
        <f t="shared" si="7"/>
        <v/>
      </c>
      <c r="HE30" t="str">
        <f t="shared" si="7"/>
        <v/>
      </c>
      <c r="HF30" t="str">
        <f t="shared" si="7"/>
        <v/>
      </c>
      <c r="HG30" t="str">
        <f t="shared" si="7"/>
        <v/>
      </c>
      <c r="HH30" t="str">
        <f t="shared" si="7"/>
        <v/>
      </c>
      <c r="HI30" t="str">
        <f t="shared" si="7"/>
        <v/>
      </c>
      <c r="HJ30" t="str">
        <f t="shared" si="7"/>
        <v/>
      </c>
      <c r="HK30" t="str">
        <f t="shared" si="7"/>
        <v/>
      </c>
      <c r="HL30" t="str">
        <f t="shared" si="7"/>
        <v/>
      </c>
      <c r="HM30" t="str">
        <f t="shared" si="7"/>
        <v/>
      </c>
      <c r="HN30" t="str">
        <f t="shared" si="7"/>
        <v/>
      </c>
      <c r="HO30" t="str">
        <f t="shared" si="7"/>
        <v/>
      </c>
      <c r="HP30" t="str">
        <f t="shared" si="7"/>
        <v/>
      </c>
      <c r="HQ30" t="str">
        <f t="shared" si="7"/>
        <v/>
      </c>
      <c r="HR30" t="str">
        <f t="shared" si="7"/>
        <v/>
      </c>
      <c r="HS30" t="str">
        <f t="shared" si="7"/>
        <v/>
      </c>
      <c r="HT30" t="str">
        <f t="shared" si="7"/>
        <v/>
      </c>
      <c r="HU30" t="str">
        <f t="shared" si="7"/>
        <v/>
      </c>
      <c r="HV30" t="str">
        <f t="shared" si="7"/>
        <v/>
      </c>
      <c r="HW30" t="str">
        <f t="shared" si="7"/>
        <v/>
      </c>
      <c r="HX30" t="str">
        <f t="shared" si="7"/>
        <v/>
      </c>
      <c r="HY30" t="str">
        <f t="shared" si="7"/>
        <v/>
      </c>
      <c r="HZ30" t="str">
        <f t="shared" si="7"/>
        <v/>
      </c>
      <c r="IA30" t="str">
        <f t="shared" si="7"/>
        <v/>
      </c>
      <c r="IB30" t="str">
        <f t="shared" si="7"/>
        <v/>
      </c>
      <c r="IC30" t="str">
        <f t="shared" si="7"/>
        <v/>
      </c>
      <c r="ID30" t="str">
        <f t="shared" si="7"/>
        <v/>
      </c>
      <c r="IE30" t="str">
        <f t="shared" si="7"/>
        <v/>
      </c>
      <c r="IF30" t="str">
        <f t="shared" si="7"/>
        <v/>
      </c>
      <c r="IG30" t="str">
        <f t="shared" si="7"/>
        <v/>
      </c>
      <c r="IH30" t="str">
        <f t="shared" si="7"/>
        <v/>
      </c>
      <c r="II30" t="str">
        <f t="shared" si="7"/>
        <v/>
      </c>
      <c r="IJ30" t="str">
        <f t="shared" si="7"/>
        <v/>
      </c>
      <c r="IK30" t="str">
        <f t="shared" si="7"/>
        <v/>
      </c>
      <c r="IL30" t="str">
        <f t="shared" si="7"/>
        <v/>
      </c>
      <c r="IM30" t="str">
        <f t="shared" si="7"/>
        <v/>
      </c>
      <c r="IN30" t="str">
        <f t="shared" si="7"/>
        <v/>
      </c>
      <c r="IO30" t="str">
        <f t="shared" si="7"/>
        <v/>
      </c>
      <c r="IP30" t="str">
        <f t="shared" si="7"/>
        <v/>
      </c>
      <c r="IQ30" t="str">
        <f t="shared" si="7"/>
        <v/>
      </c>
      <c r="IR30" t="str">
        <f t="shared" si="7"/>
        <v/>
      </c>
      <c r="IS30" t="str">
        <f t="shared" si="7"/>
        <v/>
      </c>
      <c r="IT30" t="str">
        <f t="shared" si="7"/>
        <v/>
      </c>
      <c r="IU30" t="str">
        <f t="shared" si="7"/>
        <v/>
      </c>
      <c r="IV30" t="str">
        <f t="shared" si="7"/>
        <v/>
      </c>
      <c r="IW30" t="str">
        <f t="shared" si="7"/>
        <v/>
      </c>
      <c r="IX30" t="str">
        <f t="shared" si="7"/>
        <v/>
      </c>
      <c r="IY30" t="str">
        <f t="shared" si="7"/>
        <v/>
      </c>
      <c r="IZ30" t="str">
        <f t="shared" si="7"/>
        <v/>
      </c>
      <c r="JA30" t="str">
        <f t="shared" si="7"/>
        <v/>
      </c>
      <c r="JB30" t="str">
        <f t="shared" si="7"/>
        <v/>
      </c>
      <c r="JC30" t="str">
        <f t="shared" si="7"/>
        <v/>
      </c>
      <c r="JD30" t="str">
        <f t="shared" si="7"/>
        <v/>
      </c>
      <c r="JE30" t="str">
        <f t="shared" si="7"/>
        <v/>
      </c>
      <c r="JF30" t="str">
        <f t="shared" si="7"/>
        <v/>
      </c>
      <c r="JG30" t="str">
        <f t="shared" si="7"/>
        <v/>
      </c>
      <c r="JH30" t="str">
        <f t="shared" si="7"/>
        <v/>
      </c>
      <c r="JI30" t="str">
        <f t="shared" si="7"/>
        <v/>
      </c>
      <c r="JJ30" t="str">
        <f t="shared" si="7"/>
        <v/>
      </c>
      <c r="JK30" t="str">
        <f t="shared" si="7"/>
        <v/>
      </c>
      <c r="JL30" t="str">
        <f t="shared" ref="JL30:LW30" si="8">TRIM(JX11)</f>
        <v/>
      </c>
      <c r="JM30" t="str">
        <f t="shared" si="8"/>
        <v/>
      </c>
      <c r="JN30" t="str">
        <f t="shared" si="8"/>
        <v/>
      </c>
      <c r="JO30" t="str">
        <f t="shared" si="8"/>
        <v/>
      </c>
      <c r="JP30" t="str">
        <f t="shared" si="8"/>
        <v/>
      </c>
      <c r="JQ30" t="str">
        <f t="shared" si="8"/>
        <v/>
      </c>
      <c r="JR30" t="str">
        <f t="shared" si="8"/>
        <v/>
      </c>
      <c r="JS30" t="str">
        <f t="shared" si="8"/>
        <v/>
      </c>
      <c r="JT30" t="str">
        <f t="shared" si="8"/>
        <v/>
      </c>
      <c r="JU30" t="str">
        <f t="shared" si="8"/>
        <v/>
      </c>
      <c r="JV30" t="str">
        <f t="shared" si="8"/>
        <v/>
      </c>
      <c r="JW30" t="str">
        <f t="shared" si="8"/>
        <v/>
      </c>
      <c r="JX30" t="str">
        <f t="shared" si="8"/>
        <v/>
      </c>
      <c r="JY30" t="str">
        <f t="shared" si="8"/>
        <v/>
      </c>
      <c r="JZ30" t="str">
        <f t="shared" si="8"/>
        <v/>
      </c>
      <c r="KA30" t="str">
        <f t="shared" si="8"/>
        <v/>
      </c>
      <c r="KB30" t="str">
        <f t="shared" si="8"/>
        <v/>
      </c>
      <c r="KC30" t="str">
        <f t="shared" si="8"/>
        <v/>
      </c>
      <c r="KD30" t="str">
        <f t="shared" si="8"/>
        <v/>
      </c>
      <c r="KE30" t="str">
        <f t="shared" si="8"/>
        <v/>
      </c>
      <c r="KF30" t="str">
        <f t="shared" si="8"/>
        <v/>
      </c>
      <c r="KG30" t="str">
        <f t="shared" si="8"/>
        <v/>
      </c>
      <c r="KH30" t="str">
        <f t="shared" si="8"/>
        <v/>
      </c>
      <c r="KI30" t="str">
        <f t="shared" si="8"/>
        <v/>
      </c>
      <c r="KJ30" t="str">
        <f t="shared" si="8"/>
        <v/>
      </c>
      <c r="KK30" t="str">
        <f t="shared" si="8"/>
        <v/>
      </c>
      <c r="KL30" t="str">
        <f t="shared" si="8"/>
        <v/>
      </c>
      <c r="KM30" t="str">
        <f t="shared" si="8"/>
        <v/>
      </c>
      <c r="KN30" t="str">
        <f t="shared" si="8"/>
        <v/>
      </c>
      <c r="KO30" t="str">
        <f t="shared" si="8"/>
        <v/>
      </c>
      <c r="KP30" t="str">
        <f t="shared" si="8"/>
        <v/>
      </c>
      <c r="KQ30" t="str">
        <f t="shared" si="8"/>
        <v/>
      </c>
      <c r="KR30" t="str">
        <f t="shared" si="8"/>
        <v/>
      </c>
      <c r="KS30" t="str">
        <f t="shared" si="8"/>
        <v/>
      </c>
      <c r="KT30" t="str">
        <f t="shared" si="8"/>
        <v/>
      </c>
      <c r="KU30" t="str">
        <f t="shared" si="8"/>
        <v/>
      </c>
      <c r="KV30" t="str">
        <f t="shared" si="8"/>
        <v/>
      </c>
      <c r="KW30" t="str">
        <f t="shared" si="8"/>
        <v/>
      </c>
      <c r="KX30" t="str">
        <f t="shared" si="8"/>
        <v/>
      </c>
      <c r="KY30" t="str">
        <f t="shared" si="8"/>
        <v/>
      </c>
      <c r="KZ30" t="str">
        <f t="shared" si="8"/>
        <v/>
      </c>
      <c r="LA30" t="str">
        <f t="shared" si="8"/>
        <v/>
      </c>
      <c r="LB30" t="str">
        <f t="shared" si="8"/>
        <v/>
      </c>
      <c r="LC30" t="str">
        <f t="shared" si="8"/>
        <v/>
      </c>
      <c r="LD30" t="str">
        <f t="shared" si="8"/>
        <v/>
      </c>
      <c r="LE30" t="str">
        <f t="shared" si="8"/>
        <v/>
      </c>
      <c r="LF30" t="str">
        <f t="shared" si="8"/>
        <v/>
      </c>
      <c r="LG30" t="str">
        <f t="shared" si="8"/>
        <v/>
      </c>
      <c r="LH30" t="str">
        <f t="shared" si="8"/>
        <v/>
      </c>
      <c r="LI30" t="str">
        <f t="shared" si="8"/>
        <v/>
      </c>
      <c r="LJ30" t="str">
        <f t="shared" si="8"/>
        <v/>
      </c>
      <c r="LK30" t="str">
        <f t="shared" si="8"/>
        <v/>
      </c>
      <c r="LL30" t="str">
        <f t="shared" si="8"/>
        <v/>
      </c>
      <c r="LM30" t="str">
        <f t="shared" si="8"/>
        <v/>
      </c>
      <c r="LN30" t="str">
        <f t="shared" si="8"/>
        <v/>
      </c>
      <c r="LO30" t="str">
        <f t="shared" si="8"/>
        <v/>
      </c>
      <c r="LP30" t="str">
        <f t="shared" si="8"/>
        <v/>
      </c>
      <c r="LQ30" t="str">
        <f t="shared" si="8"/>
        <v/>
      </c>
      <c r="LR30" t="str">
        <f t="shared" si="8"/>
        <v/>
      </c>
      <c r="LS30" t="str">
        <f t="shared" si="8"/>
        <v/>
      </c>
      <c r="LT30" t="str">
        <f t="shared" si="8"/>
        <v/>
      </c>
      <c r="LU30" t="str">
        <f t="shared" si="8"/>
        <v/>
      </c>
      <c r="LV30" t="str">
        <f t="shared" si="8"/>
        <v/>
      </c>
      <c r="LW30" t="str">
        <f t="shared" si="8"/>
        <v/>
      </c>
      <c r="LX30" t="str">
        <f t="shared" ref="LX30:OI30" si="9">TRIM(MJ11)</f>
        <v/>
      </c>
      <c r="LY30" t="str">
        <f t="shared" si="9"/>
        <v/>
      </c>
      <c r="LZ30" t="str">
        <f t="shared" si="9"/>
        <v/>
      </c>
      <c r="MA30" t="str">
        <f t="shared" si="9"/>
        <v/>
      </c>
      <c r="MB30" t="str">
        <f t="shared" si="9"/>
        <v/>
      </c>
      <c r="MC30" t="str">
        <f t="shared" si="9"/>
        <v/>
      </c>
      <c r="MD30" t="str">
        <f t="shared" si="9"/>
        <v/>
      </c>
      <c r="ME30" t="str">
        <f t="shared" si="9"/>
        <v/>
      </c>
      <c r="MF30" t="str">
        <f t="shared" si="9"/>
        <v/>
      </c>
      <c r="MG30" t="str">
        <f t="shared" si="9"/>
        <v/>
      </c>
      <c r="MH30" t="str">
        <f t="shared" si="9"/>
        <v/>
      </c>
      <c r="MI30" t="str">
        <f t="shared" si="9"/>
        <v/>
      </c>
      <c r="MJ30" t="str">
        <f t="shared" si="9"/>
        <v/>
      </c>
      <c r="MK30" t="str">
        <f t="shared" si="9"/>
        <v/>
      </c>
      <c r="ML30" t="str">
        <f t="shared" si="9"/>
        <v/>
      </c>
      <c r="MM30" t="str">
        <f t="shared" si="9"/>
        <v/>
      </c>
      <c r="MN30" t="str">
        <f t="shared" si="9"/>
        <v/>
      </c>
      <c r="MO30" t="str">
        <f t="shared" si="9"/>
        <v/>
      </c>
      <c r="MP30" t="str">
        <f t="shared" si="9"/>
        <v/>
      </c>
      <c r="MQ30" t="str">
        <f t="shared" si="9"/>
        <v/>
      </c>
      <c r="MR30" t="str">
        <f t="shared" si="9"/>
        <v/>
      </c>
      <c r="MS30" t="str">
        <f t="shared" si="9"/>
        <v/>
      </c>
      <c r="MT30" t="str">
        <f t="shared" si="9"/>
        <v/>
      </c>
      <c r="MU30" t="str">
        <f t="shared" si="9"/>
        <v/>
      </c>
      <c r="MV30" t="str">
        <f t="shared" si="9"/>
        <v/>
      </c>
      <c r="MW30" t="str">
        <f t="shared" si="9"/>
        <v/>
      </c>
      <c r="MX30" t="str">
        <f t="shared" si="9"/>
        <v/>
      </c>
      <c r="MY30" t="str">
        <f t="shared" si="9"/>
        <v/>
      </c>
      <c r="MZ30" t="str">
        <f t="shared" si="9"/>
        <v/>
      </c>
      <c r="NA30" t="str">
        <f t="shared" si="9"/>
        <v/>
      </c>
      <c r="NB30" t="str">
        <f t="shared" si="9"/>
        <v/>
      </c>
      <c r="NC30" t="str">
        <f t="shared" si="9"/>
        <v/>
      </c>
      <c r="ND30" t="str">
        <f t="shared" si="9"/>
        <v/>
      </c>
      <c r="NE30" t="str">
        <f t="shared" si="9"/>
        <v/>
      </c>
      <c r="NF30" t="str">
        <f t="shared" si="9"/>
        <v/>
      </c>
      <c r="NG30" t="str">
        <f t="shared" si="9"/>
        <v/>
      </c>
      <c r="NH30" t="str">
        <f t="shared" si="9"/>
        <v/>
      </c>
      <c r="NI30" t="str">
        <f t="shared" si="9"/>
        <v/>
      </c>
      <c r="NJ30" t="str">
        <f t="shared" si="9"/>
        <v/>
      </c>
      <c r="NK30" t="str">
        <f t="shared" si="9"/>
        <v/>
      </c>
      <c r="NL30" t="str">
        <f t="shared" si="9"/>
        <v/>
      </c>
      <c r="NM30" t="str">
        <f t="shared" si="9"/>
        <v/>
      </c>
      <c r="NN30" t="str">
        <f t="shared" si="9"/>
        <v/>
      </c>
      <c r="NO30" t="str">
        <f t="shared" si="9"/>
        <v/>
      </c>
      <c r="NP30" t="str">
        <f t="shared" si="9"/>
        <v/>
      </c>
      <c r="NQ30" t="str">
        <f t="shared" si="9"/>
        <v/>
      </c>
      <c r="NR30" t="str">
        <f t="shared" si="9"/>
        <v/>
      </c>
      <c r="NS30" t="str">
        <f t="shared" si="9"/>
        <v/>
      </c>
      <c r="NT30" t="str">
        <f t="shared" si="9"/>
        <v/>
      </c>
      <c r="NU30" t="str">
        <f t="shared" si="9"/>
        <v/>
      </c>
      <c r="NV30" t="str">
        <f t="shared" si="9"/>
        <v/>
      </c>
      <c r="NW30" t="str">
        <f t="shared" si="9"/>
        <v/>
      </c>
      <c r="NX30" t="str">
        <f t="shared" si="9"/>
        <v/>
      </c>
      <c r="NY30" t="str">
        <f t="shared" si="9"/>
        <v/>
      </c>
      <c r="NZ30" t="str">
        <f t="shared" si="9"/>
        <v/>
      </c>
      <c r="OA30" t="str">
        <f t="shared" si="9"/>
        <v/>
      </c>
      <c r="OB30" t="str">
        <f t="shared" si="9"/>
        <v/>
      </c>
      <c r="OC30" t="str">
        <f t="shared" si="9"/>
        <v/>
      </c>
      <c r="OD30" t="str">
        <f t="shared" si="9"/>
        <v/>
      </c>
      <c r="OE30" t="str">
        <f t="shared" si="9"/>
        <v/>
      </c>
      <c r="OF30" t="str">
        <f t="shared" si="9"/>
        <v/>
      </c>
      <c r="OG30" t="str">
        <f t="shared" si="9"/>
        <v/>
      </c>
      <c r="OH30" t="str">
        <f t="shared" si="9"/>
        <v/>
      </c>
      <c r="OI30" t="str">
        <f t="shared" si="9"/>
        <v/>
      </c>
      <c r="OJ30" t="str">
        <f t="shared" ref="OJ30:QU30" si="10">TRIM(OV11)</f>
        <v/>
      </c>
      <c r="OK30" t="str">
        <f t="shared" si="10"/>
        <v/>
      </c>
      <c r="OL30" t="str">
        <f t="shared" si="10"/>
        <v/>
      </c>
      <c r="OM30" t="str">
        <f t="shared" si="10"/>
        <v/>
      </c>
      <c r="ON30" t="str">
        <f t="shared" si="10"/>
        <v/>
      </c>
      <c r="OO30" t="str">
        <f t="shared" si="10"/>
        <v/>
      </c>
      <c r="OP30" t="str">
        <f t="shared" si="10"/>
        <v/>
      </c>
      <c r="OQ30" t="str">
        <f t="shared" si="10"/>
        <v/>
      </c>
      <c r="OR30" t="str">
        <f t="shared" si="10"/>
        <v/>
      </c>
      <c r="OS30" t="str">
        <f t="shared" si="10"/>
        <v/>
      </c>
      <c r="OT30" t="str">
        <f t="shared" si="10"/>
        <v/>
      </c>
      <c r="OU30" t="str">
        <f t="shared" si="10"/>
        <v/>
      </c>
      <c r="OV30" t="str">
        <f t="shared" si="10"/>
        <v/>
      </c>
      <c r="OW30" t="str">
        <f t="shared" si="10"/>
        <v/>
      </c>
      <c r="OX30" t="str">
        <f t="shared" si="10"/>
        <v/>
      </c>
      <c r="OY30" t="str">
        <f t="shared" si="10"/>
        <v/>
      </c>
      <c r="OZ30" t="str">
        <f t="shared" si="10"/>
        <v/>
      </c>
      <c r="PA30" t="str">
        <f t="shared" si="10"/>
        <v/>
      </c>
      <c r="PB30" t="str">
        <f t="shared" si="10"/>
        <v/>
      </c>
      <c r="PC30" t="str">
        <f t="shared" si="10"/>
        <v/>
      </c>
      <c r="PD30" t="str">
        <f t="shared" si="10"/>
        <v/>
      </c>
      <c r="PE30" t="str">
        <f t="shared" si="10"/>
        <v/>
      </c>
      <c r="PF30" t="str">
        <f t="shared" si="10"/>
        <v/>
      </c>
      <c r="PG30" t="str">
        <f t="shared" si="10"/>
        <v/>
      </c>
      <c r="PH30" t="str">
        <f t="shared" si="10"/>
        <v/>
      </c>
      <c r="PI30" t="str">
        <f t="shared" si="10"/>
        <v/>
      </c>
      <c r="PJ30" t="str">
        <f t="shared" si="10"/>
        <v/>
      </c>
      <c r="PK30" t="str">
        <f t="shared" si="10"/>
        <v/>
      </c>
      <c r="PL30" t="str">
        <f t="shared" si="10"/>
        <v/>
      </c>
      <c r="PM30" t="str">
        <f t="shared" si="10"/>
        <v/>
      </c>
      <c r="PN30" t="str">
        <f t="shared" si="10"/>
        <v/>
      </c>
      <c r="PO30" t="str">
        <f t="shared" si="10"/>
        <v/>
      </c>
      <c r="PP30" t="str">
        <f t="shared" si="10"/>
        <v/>
      </c>
      <c r="PQ30" t="str">
        <f t="shared" si="10"/>
        <v/>
      </c>
      <c r="PR30" t="str">
        <f t="shared" si="10"/>
        <v/>
      </c>
      <c r="PS30" t="str">
        <f t="shared" si="10"/>
        <v/>
      </c>
      <c r="PT30" t="str">
        <f t="shared" si="10"/>
        <v/>
      </c>
      <c r="PU30" t="str">
        <f t="shared" si="10"/>
        <v/>
      </c>
      <c r="PV30" t="str">
        <f t="shared" si="10"/>
        <v/>
      </c>
      <c r="PW30" t="str">
        <f t="shared" si="10"/>
        <v/>
      </c>
      <c r="PX30" t="str">
        <f t="shared" si="10"/>
        <v/>
      </c>
      <c r="PY30" t="str">
        <f t="shared" si="10"/>
        <v/>
      </c>
      <c r="PZ30" t="str">
        <f t="shared" si="10"/>
        <v/>
      </c>
      <c r="QA30" t="str">
        <f t="shared" si="10"/>
        <v/>
      </c>
      <c r="QB30" t="str">
        <f t="shared" si="10"/>
        <v/>
      </c>
      <c r="QC30" t="str">
        <f t="shared" si="10"/>
        <v/>
      </c>
      <c r="QD30" t="str">
        <f t="shared" si="10"/>
        <v/>
      </c>
      <c r="QE30" t="str">
        <f t="shared" si="10"/>
        <v/>
      </c>
      <c r="QF30" t="str">
        <f t="shared" si="10"/>
        <v/>
      </c>
      <c r="QG30" t="str">
        <f t="shared" si="10"/>
        <v/>
      </c>
      <c r="QH30" t="str">
        <f t="shared" si="10"/>
        <v/>
      </c>
      <c r="QI30" t="str">
        <f t="shared" si="10"/>
        <v/>
      </c>
      <c r="QJ30" t="str">
        <f t="shared" si="10"/>
        <v/>
      </c>
      <c r="QK30" t="str">
        <f t="shared" si="10"/>
        <v/>
      </c>
      <c r="QL30" t="str">
        <f t="shared" si="10"/>
        <v/>
      </c>
      <c r="QM30" t="str">
        <f t="shared" si="10"/>
        <v/>
      </c>
      <c r="QN30" t="str">
        <f t="shared" si="10"/>
        <v/>
      </c>
      <c r="QO30" t="str">
        <f t="shared" si="10"/>
        <v/>
      </c>
      <c r="QP30" t="str">
        <f t="shared" si="10"/>
        <v/>
      </c>
      <c r="QQ30" t="str">
        <f t="shared" si="10"/>
        <v/>
      </c>
      <c r="QR30" t="str">
        <f t="shared" si="10"/>
        <v/>
      </c>
      <c r="QS30" t="str">
        <f t="shared" si="10"/>
        <v/>
      </c>
      <c r="QT30" t="str">
        <f t="shared" si="10"/>
        <v/>
      </c>
      <c r="QU30" t="str">
        <f t="shared" si="10"/>
        <v/>
      </c>
      <c r="QV30" t="str">
        <f t="shared" ref="QV30:TG30" si="11">TRIM(RH11)</f>
        <v/>
      </c>
      <c r="QW30" t="str">
        <f t="shared" si="11"/>
        <v/>
      </c>
      <c r="QX30" t="str">
        <f t="shared" si="11"/>
        <v/>
      </c>
      <c r="QY30" t="str">
        <f t="shared" si="11"/>
        <v/>
      </c>
      <c r="QZ30" t="str">
        <f t="shared" si="11"/>
        <v/>
      </c>
      <c r="RA30" t="str">
        <f t="shared" si="11"/>
        <v/>
      </c>
      <c r="RB30" t="str">
        <f t="shared" si="11"/>
        <v/>
      </c>
      <c r="RC30" t="str">
        <f t="shared" si="11"/>
        <v/>
      </c>
      <c r="RD30" t="str">
        <f t="shared" si="11"/>
        <v/>
      </c>
      <c r="RE30" t="str">
        <f t="shared" si="11"/>
        <v/>
      </c>
      <c r="RF30" t="str">
        <f t="shared" si="11"/>
        <v/>
      </c>
      <c r="RG30" t="str">
        <f t="shared" si="11"/>
        <v/>
      </c>
      <c r="RH30" t="str">
        <f t="shared" si="11"/>
        <v/>
      </c>
      <c r="RI30" t="str">
        <f t="shared" si="11"/>
        <v/>
      </c>
      <c r="RJ30" t="str">
        <f t="shared" si="11"/>
        <v/>
      </c>
      <c r="RK30" t="str">
        <f t="shared" si="11"/>
        <v/>
      </c>
      <c r="RL30" t="str">
        <f t="shared" si="11"/>
        <v/>
      </c>
      <c r="RM30" t="str">
        <f t="shared" si="11"/>
        <v/>
      </c>
      <c r="RN30" t="str">
        <f t="shared" si="11"/>
        <v/>
      </c>
      <c r="RO30" t="str">
        <f t="shared" si="11"/>
        <v/>
      </c>
      <c r="RP30" t="str">
        <f t="shared" si="11"/>
        <v/>
      </c>
      <c r="RQ30" t="str">
        <f t="shared" si="11"/>
        <v/>
      </c>
      <c r="RR30" t="str">
        <f t="shared" si="11"/>
        <v/>
      </c>
      <c r="RS30" t="str">
        <f t="shared" si="11"/>
        <v/>
      </c>
      <c r="RT30" t="str">
        <f t="shared" si="11"/>
        <v/>
      </c>
      <c r="RU30" t="str">
        <f t="shared" si="11"/>
        <v/>
      </c>
      <c r="RV30" t="str">
        <f t="shared" si="11"/>
        <v/>
      </c>
      <c r="RW30" t="str">
        <f t="shared" si="11"/>
        <v/>
      </c>
      <c r="RX30" t="str">
        <f t="shared" si="11"/>
        <v/>
      </c>
      <c r="RY30" t="str">
        <f t="shared" si="11"/>
        <v/>
      </c>
      <c r="RZ30" t="str">
        <f t="shared" si="11"/>
        <v/>
      </c>
      <c r="SA30" t="str">
        <f t="shared" si="11"/>
        <v/>
      </c>
      <c r="SB30" t="str">
        <f t="shared" si="11"/>
        <v/>
      </c>
      <c r="SC30" t="str">
        <f t="shared" si="11"/>
        <v/>
      </c>
      <c r="SD30" t="str">
        <f t="shared" si="11"/>
        <v/>
      </c>
      <c r="SE30" t="str">
        <f t="shared" si="11"/>
        <v/>
      </c>
      <c r="SF30" t="str">
        <f t="shared" si="11"/>
        <v/>
      </c>
      <c r="SG30" t="str">
        <f t="shared" si="11"/>
        <v/>
      </c>
      <c r="SH30" t="str">
        <f t="shared" si="11"/>
        <v/>
      </c>
      <c r="SI30" t="str">
        <f t="shared" si="11"/>
        <v/>
      </c>
      <c r="SJ30" t="str">
        <f t="shared" si="11"/>
        <v/>
      </c>
      <c r="SK30" t="str">
        <f t="shared" si="11"/>
        <v/>
      </c>
      <c r="SL30" t="str">
        <f t="shared" si="11"/>
        <v/>
      </c>
      <c r="SM30" t="str">
        <f t="shared" si="11"/>
        <v/>
      </c>
      <c r="SN30" t="str">
        <f t="shared" si="11"/>
        <v/>
      </c>
      <c r="SO30" t="str">
        <f t="shared" si="11"/>
        <v/>
      </c>
      <c r="SP30" t="str">
        <f t="shared" si="11"/>
        <v/>
      </c>
      <c r="SQ30" t="str">
        <f t="shared" si="11"/>
        <v/>
      </c>
      <c r="SR30" t="str">
        <f t="shared" si="11"/>
        <v/>
      </c>
      <c r="SS30" t="str">
        <f t="shared" si="11"/>
        <v/>
      </c>
      <c r="ST30" t="str">
        <f t="shared" si="11"/>
        <v/>
      </c>
      <c r="SU30" t="str">
        <f t="shared" si="11"/>
        <v/>
      </c>
      <c r="SV30" t="str">
        <f t="shared" si="11"/>
        <v/>
      </c>
      <c r="SW30" t="str">
        <f t="shared" si="11"/>
        <v/>
      </c>
      <c r="SX30" t="str">
        <f t="shared" si="11"/>
        <v/>
      </c>
      <c r="SY30" t="str">
        <f t="shared" si="11"/>
        <v/>
      </c>
      <c r="SZ30" t="str">
        <f t="shared" si="11"/>
        <v/>
      </c>
      <c r="TA30" t="str">
        <f t="shared" si="11"/>
        <v/>
      </c>
      <c r="TB30" t="str">
        <f t="shared" si="11"/>
        <v/>
      </c>
      <c r="TC30" t="str">
        <f t="shared" si="11"/>
        <v/>
      </c>
      <c r="TD30" t="str">
        <f t="shared" si="11"/>
        <v/>
      </c>
      <c r="TE30" t="str">
        <f t="shared" si="11"/>
        <v/>
      </c>
      <c r="TF30" t="str">
        <f t="shared" si="11"/>
        <v/>
      </c>
      <c r="TG30" t="str">
        <f t="shared" si="11"/>
        <v/>
      </c>
      <c r="TH30" t="str">
        <f t="shared" ref="TH30:VS30" si="12">TRIM(TT11)</f>
        <v/>
      </c>
      <c r="TI30" t="str">
        <f t="shared" si="12"/>
        <v/>
      </c>
      <c r="TJ30" t="str">
        <f t="shared" si="12"/>
        <v/>
      </c>
      <c r="TK30" t="str">
        <f t="shared" si="12"/>
        <v/>
      </c>
      <c r="TL30" t="str">
        <f t="shared" si="12"/>
        <v/>
      </c>
      <c r="TM30" t="str">
        <f t="shared" si="12"/>
        <v/>
      </c>
      <c r="TN30" t="str">
        <f t="shared" si="12"/>
        <v/>
      </c>
      <c r="TO30" t="str">
        <f t="shared" si="12"/>
        <v/>
      </c>
      <c r="TP30" t="str">
        <f t="shared" si="12"/>
        <v/>
      </c>
      <c r="TQ30" t="str">
        <f t="shared" si="12"/>
        <v/>
      </c>
      <c r="TR30" t="str">
        <f t="shared" si="12"/>
        <v/>
      </c>
      <c r="TS30" t="str">
        <f t="shared" si="12"/>
        <v/>
      </c>
      <c r="TT30" t="str">
        <f t="shared" si="12"/>
        <v/>
      </c>
      <c r="TU30" t="str">
        <f t="shared" si="12"/>
        <v/>
      </c>
      <c r="TV30" t="str">
        <f t="shared" si="12"/>
        <v/>
      </c>
      <c r="TW30" t="str">
        <f t="shared" si="12"/>
        <v/>
      </c>
      <c r="TX30" t="str">
        <f t="shared" si="12"/>
        <v/>
      </c>
      <c r="TY30" t="str">
        <f t="shared" si="12"/>
        <v/>
      </c>
      <c r="TZ30" t="str">
        <f t="shared" si="12"/>
        <v/>
      </c>
      <c r="UA30" t="str">
        <f t="shared" si="12"/>
        <v/>
      </c>
      <c r="UB30" t="str">
        <f t="shared" si="12"/>
        <v/>
      </c>
      <c r="UC30" t="str">
        <f t="shared" si="12"/>
        <v/>
      </c>
      <c r="UD30" t="str">
        <f t="shared" si="12"/>
        <v/>
      </c>
      <c r="UE30" t="str">
        <f t="shared" si="12"/>
        <v/>
      </c>
      <c r="UF30" t="str">
        <f t="shared" si="12"/>
        <v/>
      </c>
      <c r="UG30" t="str">
        <f t="shared" si="12"/>
        <v/>
      </c>
      <c r="UH30" t="str">
        <f t="shared" si="12"/>
        <v/>
      </c>
      <c r="UI30" t="str">
        <f t="shared" si="12"/>
        <v/>
      </c>
      <c r="UJ30" t="str">
        <f t="shared" si="12"/>
        <v/>
      </c>
      <c r="UK30" t="str">
        <f t="shared" si="12"/>
        <v/>
      </c>
      <c r="UL30" t="str">
        <f t="shared" si="12"/>
        <v/>
      </c>
      <c r="UM30" t="str">
        <f t="shared" si="12"/>
        <v/>
      </c>
      <c r="UN30" t="str">
        <f t="shared" si="12"/>
        <v/>
      </c>
      <c r="UO30" t="str">
        <f t="shared" si="12"/>
        <v/>
      </c>
      <c r="UP30" t="str">
        <f t="shared" si="12"/>
        <v/>
      </c>
      <c r="UQ30" t="str">
        <f t="shared" si="12"/>
        <v/>
      </c>
      <c r="UR30" t="str">
        <f t="shared" si="12"/>
        <v/>
      </c>
      <c r="US30" t="str">
        <f t="shared" si="12"/>
        <v/>
      </c>
      <c r="UT30" t="str">
        <f t="shared" si="12"/>
        <v/>
      </c>
      <c r="UU30" t="str">
        <f t="shared" si="12"/>
        <v/>
      </c>
      <c r="UV30" t="str">
        <f t="shared" si="12"/>
        <v/>
      </c>
      <c r="UW30" t="str">
        <f t="shared" si="12"/>
        <v/>
      </c>
      <c r="UX30" t="str">
        <f t="shared" si="12"/>
        <v/>
      </c>
      <c r="UY30" t="str">
        <f t="shared" si="12"/>
        <v/>
      </c>
      <c r="UZ30" t="str">
        <f t="shared" si="12"/>
        <v/>
      </c>
      <c r="VA30" t="str">
        <f t="shared" si="12"/>
        <v/>
      </c>
      <c r="VB30" t="str">
        <f t="shared" si="12"/>
        <v/>
      </c>
      <c r="VC30" t="str">
        <f t="shared" si="12"/>
        <v/>
      </c>
      <c r="VD30" t="str">
        <f t="shared" si="12"/>
        <v/>
      </c>
      <c r="VE30" t="str">
        <f t="shared" si="12"/>
        <v/>
      </c>
      <c r="VF30" t="str">
        <f t="shared" si="12"/>
        <v/>
      </c>
      <c r="VG30" t="str">
        <f t="shared" si="12"/>
        <v/>
      </c>
      <c r="VH30" t="str">
        <f t="shared" si="12"/>
        <v/>
      </c>
      <c r="VI30" t="str">
        <f t="shared" si="12"/>
        <v/>
      </c>
      <c r="VJ30" t="str">
        <f t="shared" si="12"/>
        <v/>
      </c>
      <c r="VK30" t="str">
        <f t="shared" si="12"/>
        <v/>
      </c>
      <c r="VL30" t="str">
        <f t="shared" si="12"/>
        <v/>
      </c>
      <c r="VM30" t="str">
        <f t="shared" si="12"/>
        <v/>
      </c>
      <c r="VN30" t="str">
        <f t="shared" si="12"/>
        <v/>
      </c>
      <c r="VO30" t="str">
        <f t="shared" si="12"/>
        <v/>
      </c>
      <c r="VP30" t="str">
        <f t="shared" si="12"/>
        <v/>
      </c>
      <c r="VQ30" t="str">
        <f t="shared" si="12"/>
        <v/>
      </c>
      <c r="VR30" t="str">
        <f t="shared" si="12"/>
        <v/>
      </c>
      <c r="VS30" t="str">
        <f t="shared" si="12"/>
        <v/>
      </c>
      <c r="VT30" t="str">
        <f t="shared" ref="VT30:YE30" si="13">TRIM(WF11)</f>
        <v/>
      </c>
      <c r="VU30" t="str">
        <f t="shared" si="13"/>
        <v/>
      </c>
      <c r="VV30" t="str">
        <f t="shared" si="13"/>
        <v/>
      </c>
      <c r="VW30" t="str">
        <f t="shared" si="13"/>
        <v/>
      </c>
      <c r="VX30" t="str">
        <f t="shared" si="13"/>
        <v/>
      </c>
      <c r="VY30" t="str">
        <f t="shared" si="13"/>
        <v/>
      </c>
      <c r="VZ30" t="str">
        <f t="shared" si="13"/>
        <v/>
      </c>
      <c r="WA30" t="str">
        <f t="shared" si="13"/>
        <v/>
      </c>
      <c r="WB30" t="str">
        <f t="shared" si="13"/>
        <v/>
      </c>
      <c r="WC30" t="str">
        <f t="shared" si="13"/>
        <v/>
      </c>
      <c r="WD30" t="str">
        <f t="shared" si="13"/>
        <v/>
      </c>
      <c r="WE30" t="str">
        <f t="shared" si="13"/>
        <v/>
      </c>
      <c r="WF30" t="str">
        <f t="shared" si="13"/>
        <v/>
      </c>
      <c r="WG30" t="str">
        <f t="shared" si="13"/>
        <v/>
      </c>
      <c r="WH30" t="str">
        <f t="shared" si="13"/>
        <v/>
      </c>
      <c r="WI30" t="str">
        <f t="shared" si="13"/>
        <v/>
      </c>
      <c r="WJ30" t="str">
        <f t="shared" si="13"/>
        <v/>
      </c>
      <c r="WK30" t="str">
        <f t="shared" si="13"/>
        <v/>
      </c>
      <c r="WL30" t="str">
        <f t="shared" si="13"/>
        <v/>
      </c>
      <c r="WM30" t="str">
        <f t="shared" si="13"/>
        <v/>
      </c>
      <c r="WN30" t="str">
        <f t="shared" si="13"/>
        <v/>
      </c>
      <c r="WO30" t="str">
        <f t="shared" si="13"/>
        <v/>
      </c>
      <c r="WP30" t="str">
        <f t="shared" si="13"/>
        <v/>
      </c>
      <c r="WQ30" t="str">
        <f t="shared" si="13"/>
        <v/>
      </c>
      <c r="WR30" t="str">
        <f t="shared" si="13"/>
        <v/>
      </c>
      <c r="WS30" t="str">
        <f t="shared" si="13"/>
        <v/>
      </c>
      <c r="WT30" t="str">
        <f t="shared" si="13"/>
        <v/>
      </c>
      <c r="WU30" t="str">
        <f t="shared" si="13"/>
        <v/>
      </c>
      <c r="WV30" t="str">
        <f t="shared" si="13"/>
        <v/>
      </c>
      <c r="WW30" t="str">
        <f t="shared" si="13"/>
        <v/>
      </c>
      <c r="WX30" t="str">
        <f t="shared" si="13"/>
        <v/>
      </c>
      <c r="WY30" t="str">
        <f t="shared" si="13"/>
        <v/>
      </c>
      <c r="WZ30" t="str">
        <f t="shared" si="13"/>
        <v/>
      </c>
      <c r="XA30" t="str">
        <f t="shared" si="13"/>
        <v/>
      </c>
      <c r="XB30" t="str">
        <f t="shared" si="13"/>
        <v/>
      </c>
      <c r="XC30" t="str">
        <f t="shared" si="13"/>
        <v/>
      </c>
      <c r="XD30" t="str">
        <f t="shared" si="13"/>
        <v/>
      </c>
      <c r="XE30" t="str">
        <f t="shared" si="13"/>
        <v/>
      </c>
      <c r="XF30" t="str">
        <f t="shared" si="13"/>
        <v/>
      </c>
      <c r="XG30" t="str">
        <f t="shared" si="13"/>
        <v/>
      </c>
      <c r="XH30" t="str">
        <f t="shared" si="13"/>
        <v/>
      </c>
      <c r="XI30" t="str">
        <f t="shared" si="13"/>
        <v/>
      </c>
      <c r="XJ30" t="str">
        <f t="shared" si="13"/>
        <v/>
      </c>
      <c r="XK30" t="str">
        <f t="shared" si="13"/>
        <v/>
      </c>
      <c r="XL30" t="str">
        <f t="shared" si="13"/>
        <v/>
      </c>
      <c r="XM30" t="str">
        <f t="shared" si="13"/>
        <v/>
      </c>
      <c r="XN30" t="str">
        <f t="shared" si="13"/>
        <v/>
      </c>
      <c r="XO30" t="str">
        <f t="shared" si="13"/>
        <v/>
      </c>
      <c r="XP30" t="str">
        <f t="shared" si="13"/>
        <v/>
      </c>
      <c r="XQ30" t="str">
        <f t="shared" si="13"/>
        <v/>
      </c>
      <c r="XR30" t="str">
        <f t="shared" si="13"/>
        <v/>
      </c>
      <c r="XS30" t="str">
        <f t="shared" si="13"/>
        <v/>
      </c>
      <c r="XT30" t="str">
        <f t="shared" si="13"/>
        <v/>
      </c>
      <c r="XU30" t="str">
        <f t="shared" si="13"/>
        <v/>
      </c>
      <c r="XV30" t="str">
        <f t="shared" si="13"/>
        <v/>
      </c>
      <c r="XW30" t="str">
        <f t="shared" si="13"/>
        <v/>
      </c>
      <c r="XX30" t="str">
        <f t="shared" si="13"/>
        <v/>
      </c>
      <c r="XY30" t="str">
        <f t="shared" si="13"/>
        <v/>
      </c>
      <c r="XZ30" t="str">
        <f t="shared" si="13"/>
        <v/>
      </c>
      <c r="YA30" t="str">
        <f t="shared" si="13"/>
        <v/>
      </c>
      <c r="YB30" t="str">
        <f t="shared" si="13"/>
        <v/>
      </c>
      <c r="YC30" t="str">
        <f t="shared" si="13"/>
        <v/>
      </c>
      <c r="YD30" t="str">
        <f t="shared" si="13"/>
        <v/>
      </c>
      <c r="YE30" t="str">
        <f t="shared" si="13"/>
        <v/>
      </c>
      <c r="YF30" t="str">
        <f t="shared" ref="YF30:AAQ30" si="14">TRIM(YR11)</f>
        <v/>
      </c>
      <c r="YG30" t="str">
        <f t="shared" si="14"/>
        <v/>
      </c>
      <c r="YH30" t="str">
        <f t="shared" si="14"/>
        <v/>
      </c>
      <c r="YI30" t="str">
        <f t="shared" si="14"/>
        <v/>
      </c>
      <c r="YJ30" t="str">
        <f t="shared" si="14"/>
        <v/>
      </c>
      <c r="YK30" t="str">
        <f t="shared" si="14"/>
        <v/>
      </c>
      <c r="YL30" t="str">
        <f t="shared" si="14"/>
        <v/>
      </c>
      <c r="YM30" t="str">
        <f t="shared" si="14"/>
        <v/>
      </c>
      <c r="YN30" t="str">
        <f t="shared" si="14"/>
        <v/>
      </c>
      <c r="YO30" t="str">
        <f t="shared" si="14"/>
        <v/>
      </c>
      <c r="YP30" t="str">
        <f t="shared" si="14"/>
        <v/>
      </c>
      <c r="YQ30" t="str">
        <f t="shared" si="14"/>
        <v/>
      </c>
      <c r="YR30" t="str">
        <f t="shared" si="14"/>
        <v/>
      </c>
      <c r="YS30" t="str">
        <f t="shared" si="14"/>
        <v/>
      </c>
      <c r="YT30" t="str">
        <f t="shared" si="14"/>
        <v/>
      </c>
      <c r="YU30" t="str">
        <f t="shared" si="14"/>
        <v/>
      </c>
      <c r="YV30" t="str">
        <f t="shared" si="14"/>
        <v/>
      </c>
      <c r="YW30" t="str">
        <f t="shared" si="14"/>
        <v/>
      </c>
      <c r="YX30" t="str">
        <f t="shared" si="14"/>
        <v/>
      </c>
      <c r="YY30" t="str">
        <f t="shared" si="14"/>
        <v/>
      </c>
      <c r="YZ30" t="str">
        <f t="shared" si="14"/>
        <v/>
      </c>
      <c r="ZA30" t="str">
        <f t="shared" si="14"/>
        <v/>
      </c>
      <c r="ZB30" t="str">
        <f t="shared" si="14"/>
        <v/>
      </c>
      <c r="ZC30" t="str">
        <f t="shared" si="14"/>
        <v/>
      </c>
      <c r="ZD30" t="str">
        <f t="shared" si="14"/>
        <v/>
      </c>
      <c r="ZE30" t="str">
        <f t="shared" si="14"/>
        <v/>
      </c>
      <c r="ZF30" t="str">
        <f t="shared" si="14"/>
        <v/>
      </c>
      <c r="ZG30" t="str">
        <f t="shared" si="14"/>
        <v/>
      </c>
      <c r="ZH30" t="str">
        <f t="shared" si="14"/>
        <v/>
      </c>
      <c r="ZI30" t="str">
        <f t="shared" si="14"/>
        <v/>
      </c>
      <c r="ZJ30" t="str">
        <f t="shared" si="14"/>
        <v/>
      </c>
      <c r="ZK30" t="str">
        <f t="shared" si="14"/>
        <v/>
      </c>
      <c r="ZL30" t="str">
        <f t="shared" si="14"/>
        <v/>
      </c>
      <c r="ZM30" t="str">
        <f t="shared" si="14"/>
        <v/>
      </c>
      <c r="ZN30" t="str">
        <f t="shared" si="14"/>
        <v/>
      </c>
      <c r="ZO30" t="str">
        <f t="shared" si="14"/>
        <v/>
      </c>
      <c r="ZP30" t="str">
        <f t="shared" si="14"/>
        <v/>
      </c>
      <c r="ZQ30" t="str">
        <f t="shared" si="14"/>
        <v/>
      </c>
      <c r="ZR30" t="str">
        <f t="shared" si="14"/>
        <v/>
      </c>
      <c r="ZS30" t="str">
        <f t="shared" si="14"/>
        <v/>
      </c>
      <c r="ZT30" t="str">
        <f t="shared" si="14"/>
        <v/>
      </c>
      <c r="ZU30" t="str">
        <f t="shared" si="14"/>
        <v/>
      </c>
      <c r="ZV30" t="str">
        <f t="shared" si="14"/>
        <v/>
      </c>
      <c r="ZW30" t="str">
        <f t="shared" si="14"/>
        <v/>
      </c>
      <c r="ZX30" t="str">
        <f t="shared" si="14"/>
        <v/>
      </c>
      <c r="ZY30" t="str">
        <f t="shared" si="14"/>
        <v/>
      </c>
      <c r="ZZ30" t="str">
        <f t="shared" si="14"/>
        <v/>
      </c>
      <c r="AAA30" t="str">
        <f t="shared" si="14"/>
        <v/>
      </c>
      <c r="AAB30" t="str">
        <f t="shared" si="14"/>
        <v/>
      </c>
      <c r="AAC30" t="str">
        <f t="shared" si="14"/>
        <v/>
      </c>
      <c r="AAD30" t="str">
        <f t="shared" si="14"/>
        <v/>
      </c>
      <c r="AAE30" t="str">
        <f t="shared" si="14"/>
        <v/>
      </c>
      <c r="AAF30" t="str">
        <f t="shared" si="14"/>
        <v/>
      </c>
      <c r="AAG30" t="str">
        <f t="shared" si="14"/>
        <v/>
      </c>
      <c r="AAH30" t="str">
        <f t="shared" si="14"/>
        <v/>
      </c>
      <c r="AAI30" t="str">
        <f t="shared" si="14"/>
        <v/>
      </c>
      <c r="AAJ30" t="str">
        <f t="shared" si="14"/>
        <v/>
      </c>
      <c r="AAK30" t="str">
        <f t="shared" si="14"/>
        <v/>
      </c>
      <c r="AAL30" t="str">
        <f t="shared" si="14"/>
        <v/>
      </c>
      <c r="AAM30" t="str">
        <f t="shared" si="14"/>
        <v/>
      </c>
      <c r="AAN30" t="str">
        <f t="shared" si="14"/>
        <v/>
      </c>
      <c r="AAO30" t="str">
        <f t="shared" si="14"/>
        <v/>
      </c>
      <c r="AAP30" t="str">
        <f t="shared" si="14"/>
        <v/>
      </c>
      <c r="AAQ30" t="str">
        <f t="shared" si="14"/>
        <v/>
      </c>
      <c r="AAR30" t="str">
        <f t="shared" ref="AAR30:ADC30" si="15">TRIM(ABD11)</f>
        <v/>
      </c>
      <c r="AAS30" t="str">
        <f t="shared" si="15"/>
        <v/>
      </c>
      <c r="AAT30" t="str">
        <f t="shared" si="15"/>
        <v/>
      </c>
      <c r="AAU30" t="str">
        <f t="shared" si="15"/>
        <v/>
      </c>
      <c r="AAV30" t="str">
        <f t="shared" si="15"/>
        <v/>
      </c>
      <c r="AAW30" t="str">
        <f t="shared" si="15"/>
        <v/>
      </c>
      <c r="AAX30" t="str">
        <f t="shared" si="15"/>
        <v/>
      </c>
      <c r="AAY30" t="str">
        <f t="shared" si="15"/>
        <v/>
      </c>
      <c r="AAZ30" t="str">
        <f t="shared" si="15"/>
        <v/>
      </c>
      <c r="ABA30" t="str">
        <f t="shared" si="15"/>
        <v/>
      </c>
      <c r="ABB30" t="str">
        <f t="shared" si="15"/>
        <v/>
      </c>
      <c r="ABC30" t="str">
        <f t="shared" si="15"/>
        <v/>
      </c>
      <c r="ABD30" t="str">
        <f t="shared" si="15"/>
        <v/>
      </c>
      <c r="ABE30" t="str">
        <f t="shared" si="15"/>
        <v/>
      </c>
      <c r="ABF30" t="str">
        <f t="shared" si="15"/>
        <v/>
      </c>
      <c r="ABG30" t="str">
        <f t="shared" si="15"/>
        <v/>
      </c>
      <c r="ABH30" t="str">
        <f t="shared" si="15"/>
        <v/>
      </c>
      <c r="ABI30" t="str">
        <f t="shared" si="15"/>
        <v/>
      </c>
      <c r="ABJ30" t="str">
        <f t="shared" si="15"/>
        <v/>
      </c>
      <c r="ABK30" t="str">
        <f t="shared" si="15"/>
        <v/>
      </c>
      <c r="ABL30" t="str">
        <f t="shared" si="15"/>
        <v/>
      </c>
      <c r="ABM30" t="str">
        <f t="shared" si="15"/>
        <v/>
      </c>
      <c r="ABN30" t="str">
        <f t="shared" si="15"/>
        <v/>
      </c>
      <c r="ABO30" t="str">
        <f t="shared" si="15"/>
        <v/>
      </c>
      <c r="ABP30" t="str">
        <f t="shared" si="15"/>
        <v/>
      </c>
      <c r="ABQ30" t="str">
        <f t="shared" si="15"/>
        <v/>
      </c>
      <c r="ABR30" t="str">
        <f t="shared" si="15"/>
        <v/>
      </c>
      <c r="ABS30" t="str">
        <f t="shared" si="15"/>
        <v/>
      </c>
      <c r="ABT30" t="str">
        <f t="shared" si="15"/>
        <v/>
      </c>
      <c r="ABU30" t="str">
        <f t="shared" si="15"/>
        <v/>
      </c>
      <c r="ABV30" t="str">
        <f t="shared" si="15"/>
        <v/>
      </c>
      <c r="ABW30" t="str">
        <f t="shared" si="15"/>
        <v/>
      </c>
      <c r="ABX30" t="str">
        <f t="shared" si="15"/>
        <v/>
      </c>
      <c r="ABY30" t="str">
        <f t="shared" si="15"/>
        <v/>
      </c>
      <c r="ABZ30" t="str">
        <f t="shared" si="15"/>
        <v/>
      </c>
      <c r="ACA30" t="str">
        <f t="shared" si="15"/>
        <v/>
      </c>
      <c r="ACB30" t="str">
        <f t="shared" si="15"/>
        <v/>
      </c>
      <c r="ACC30" t="str">
        <f t="shared" si="15"/>
        <v/>
      </c>
      <c r="ACD30" t="str">
        <f t="shared" si="15"/>
        <v/>
      </c>
      <c r="ACE30" t="str">
        <f t="shared" si="15"/>
        <v/>
      </c>
      <c r="ACF30" t="str">
        <f t="shared" si="15"/>
        <v/>
      </c>
      <c r="ACG30" t="str">
        <f t="shared" si="15"/>
        <v/>
      </c>
      <c r="ACH30" t="str">
        <f t="shared" si="15"/>
        <v/>
      </c>
      <c r="ACI30" t="str">
        <f t="shared" si="15"/>
        <v/>
      </c>
      <c r="ACJ30" t="str">
        <f t="shared" si="15"/>
        <v/>
      </c>
      <c r="ACK30" t="str">
        <f t="shared" si="15"/>
        <v/>
      </c>
      <c r="ACL30" t="str">
        <f t="shared" si="15"/>
        <v/>
      </c>
      <c r="ACM30" t="str">
        <f t="shared" si="15"/>
        <v/>
      </c>
      <c r="ACN30" t="str">
        <f t="shared" si="15"/>
        <v/>
      </c>
      <c r="ACO30" t="str">
        <f t="shared" si="15"/>
        <v/>
      </c>
      <c r="ACP30" t="str">
        <f t="shared" si="15"/>
        <v/>
      </c>
      <c r="ACQ30" t="str">
        <f t="shared" si="15"/>
        <v/>
      </c>
      <c r="ACR30" t="str">
        <f t="shared" si="15"/>
        <v/>
      </c>
      <c r="ACS30" t="str">
        <f t="shared" si="15"/>
        <v/>
      </c>
      <c r="ACT30" t="str">
        <f t="shared" si="15"/>
        <v/>
      </c>
      <c r="ACU30" t="str">
        <f t="shared" si="15"/>
        <v/>
      </c>
      <c r="ACV30" t="str">
        <f t="shared" si="15"/>
        <v/>
      </c>
      <c r="ACW30" t="str">
        <f t="shared" si="15"/>
        <v/>
      </c>
      <c r="ACX30" t="str">
        <f t="shared" si="15"/>
        <v/>
      </c>
      <c r="ACY30" t="str">
        <f t="shared" si="15"/>
        <v/>
      </c>
      <c r="ACZ30" t="str">
        <f t="shared" si="15"/>
        <v/>
      </c>
      <c r="ADA30" t="str">
        <f t="shared" si="15"/>
        <v/>
      </c>
      <c r="ADB30" t="str">
        <f t="shared" si="15"/>
        <v/>
      </c>
      <c r="ADC30" t="str">
        <f t="shared" si="15"/>
        <v/>
      </c>
      <c r="ADD30" t="str">
        <f t="shared" ref="ADD30:AFO30" si="16">TRIM(ADP11)</f>
        <v/>
      </c>
      <c r="ADE30" t="str">
        <f t="shared" si="16"/>
        <v/>
      </c>
      <c r="ADF30" t="str">
        <f t="shared" si="16"/>
        <v/>
      </c>
      <c r="ADG30" t="str">
        <f t="shared" si="16"/>
        <v/>
      </c>
      <c r="ADH30" t="str">
        <f t="shared" si="16"/>
        <v/>
      </c>
      <c r="ADI30" t="str">
        <f t="shared" si="16"/>
        <v/>
      </c>
      <c r="ADJ30" t="str">
        <f t="shared" si="16"/>
        <v/>
      </c>
      <c r="ADK30" t="str">
        <f t="shared" si="16"/>
        <v/>
      </c>
      <c r="ADL30" t="str">
        <f t="shared" si="16"/>
        <v/>
      </c>
      <c r="ADM30" t="str">
        <f t="shared" si="16"/>
        <v/>
      </c>
      <c r="ADN30" t="str">
        <f t="shared" si="16"/>
        <v/>
      </c>
      <c r="ADO30" t="str">
        <f t="shared" si="16"/>
        <v/>
      </c>
      <c r="ADP30" t="str">
        <f t="shared" si="16"/>
        <v/>
      </c>
      <c r="ADQ30" t="str">
        <f t="shared" si="16"/>
        <v/>
      </c>
      <c r="ADR30" t="str">
        <f t="shared" si="16"/>
        <v/>
      </c>
      <c r="ADS30" t="str">
        <f t="shared" si="16"/>
        <v/>
      </c>
      <c r="ADT30" t="str">
        <f t="shared" si="16"/>
        <v/>
      </c>
      <c r="ADU30" t="str">
        <f t="shared" si="16"/>
        <v/>
      </c>
      <c r="ADV30" t="str">
        <f t="shared" si="16"/>
        <v/>
      </c>
      <c r="ADW30" t="str">
        <f t="shared" si="16"/>
        <v/>
      </c>
      <c r="ADX30" t="str">
        <f t="shared" si="16"/>
        <v/>
      </c>
      <c r="ADY30" t="str">
        <f t="shared" si="16"/>
        <v/>
      </c>
      <c r="ADZ30" t="str">
        <f t="shared" si="16"/>
        <v/>
      </c>
      <c r="AEA30" t="str">
        <f t="shared" si="16"/>
        <v/>
      </c>
      <c r="AEB30" t="str">
        <f t="shared" si="16"/>
        <v/>
      </c>
      <c r="AEC30" t="str">
        <f t="shared" si="16"/>
        <v/>
      </c>
      <c r="AED30" t="str">
        <f t="shared" si="16"/>
        <v/>
      </c>
      <c r="AEE30" t="str">
        <f t="shared" si="16"/>
        <v/>
      </c>
      <c r="AEF30" t="str">
        <f t="shared" si="16"/>
        <v/>
      </c>
      <c r="AEG30" t="str">
        <f t="shared" si="16"/>
        <v/>
      </c>
      <c r="AEH30" t="str">
        <f t="shared" si="16"/>
        <v/>
      </c>
      <c r="AEI30" t="str">
        <f t="shared" si="16"/>
        <v/>
      </c>
      <c r="AEJ30" t="str">
        <f t="shared" si="16"/>
        <v/>
      </c>
      <c r="AEK30" t="str">
        <f t="shared" si="16"/>
        <v/>
      </c>
      <c r="AEL30" t="str">
        <f t="shared" si="16"/>
        <v/>
      </c>
      <c r="AEM30" t="str">
        <f t="shared" si="16"/>
        <v/>
      </c>
      <c r="AEN30" t="str">
        <f t="shared" si="16"/>
        <v/>
      </c>
      <c r="AEO30" t="str">
        <f t="shared" si="16"/>
        <v/>
      </c>
      <c r="AEP30" t="str">
        <f t="shared" si="16"/>
        <v/>
      </c>
      <c r="AEQ30" t="str">
        <f t="shared" si="16"/>
        <v/>
      </c>
      <c r="AER30" t="str">
        <f t="shared" si="16"/>
        <v/>
      </c>
      <c r="AES30" t="str">
        <f t="shared" si="16"/>
        <v/>
      </c>
      <c r="AET30" t="str">
        <f t="shared" si="16"/>
        <v/>
      </c>
      <c r="AEU30" t="str">
        <f t="shared" si="16"/>
        <v/>
      </c>
      <c r="AEV30" t="str">
        <f t="shared" si="16"/>
        <v/>
      </c>
      <c r="AEW30" t="str">
        <f t="shared" si="16"/>
        <v/>
      </c>
      <c r="AEX30" t="str">
        <f t="shared" si="16"/>
        <v/>
      </c>
      <c r="AEY30" t="str">
        <f t="shared" si="16"/>
        <v/>
      </c>
      <c r="AEZ30" t="str">
        <f t="shared" si="16"/>
        <v/>
      </c>
      <c r="AFA30" t="str">
        <f t="shared" si="16"/>
        <v/>
      </c>
      <c r="AFB30" t="str">
        <f t="shared" si="16"/>
        <v/>
      </c>
      <c r="AFC30" t="str">
        <f t="shared" si="16"/>
        <v/>
      </c>
      <c r="AFD30" t="str">
        <f t="shared" si="16"/>
        <v/>
      </c>
      <c r="AFE30" t="str">
        <f t="shared" si="16"/>
        <v/>
      </c>
      <c r="AFF30" t="str">
        <f t="shared" si="16"/>
        <v/>
      </c>
      <c r="AFG30" t="str">
        <f t="shared" si="16"/>
        <v/>
      </c>
      <c r="AFH30" t="str">
        <f t="shared" si="16"/>
        <v/>
      </c>
      <c r="AFI30" t="str">
        <f t="shared" si="16"/>
        <v/>
      </c>
      <c r="AFJ30" t="str">
        <f t="shared" si="16"/>
        <v/>
      </c>
      <c r="AFK30" t="str">
        <f t="shared" si="16"/>
        <v/>
      </c>
      <c r="AFL30" t="str">
        <f t="shared" si="16"/>
        <v/>
      </c>
      <c r="AFM30" t="str">
        <f t="shared" si="16"/>
        <v/>
      </c>
      <c r="AFN30" t="str">
        <f t="shared" si="16"/>
        <v/>
      </c>
      <c r="AFO30" t="str">
        <f t="shared" si="16"/>
        <v/>
      </c>
      <c r="AFP30" t="str">
        <f t="shared" ref="AFP30:AIA30" si="17">TRIM(AGB11)</f>
        <v/>
      </c>
      <c r="AFQ30" t="str">
        <f t="shared" si="17"/>
        <v/>
      </c>
      <c r="AFR30" t="str">
        <f t="shared" si="17"/>
        <v/>
      </c>
      <c r="AFS30" t="str">
        <f t="shared" si="17"/>
        <v/>
      </c>
      <c r="AFT30" t="str">
        <f t="shared" si="17"/>
        <v/>
      </c>
      <c r="AFU30" t="str">
        <f t="shared" si="17"/>
        <v/>
      </c>
      <c r="AFV30" t="str">
        <f t="shared" si="17"/>
        <v/>
      </c>
      <c r="AFW30" t="str">
        <f t="shared" si="17"/>
        <v/>
      </c>
      <c r="AFX30" t="str">
        <f t="shared" si="17"/>
        <v/>
      </c>
      <c r="AFY30" t="str">
        <f t="shared" si="17"/>
        <v/>
      </c>
      <c r="AFZ30" t="str">
        <f t="shared" si="17"/>
        <v/>
      </c>
      <c r="AGA30" t="str">
        <f t="shared" si="17"/>
        <v/>
      </c>
      <c r="AGB30" t="str">
        <f t="shared" si="17"/>
        <v/>
      </c>
      <c r="AGC30" t="str">
        <f t="shared" si="17"/>
        <v/>
      </c>
      <c r="AGD30" t="str">
        <f t="shared" si="17"/>
        <v/>
      </c>
      <c r="AGE30" t="str">
        <f t="shared" si="17"/>
        <v/>
      </c>
      <c r="AGF30" t="str">
        <f t="shared" si="17"/>
        <v/>
      </c>
      <c r="AGG30" t="str">
        <f t="shared" si="17"/>
        <v/>
      </c>
      <c r="AGH30" t="str">
        <f t="shared" si="17"/>
        <v/>
      </c>
      <c r="AGI30" t="str">
        <f t="shared" si="17"/>
        <v/>
      </c>
      <c r="AGJ30" t="str">
        <f t="shared" si="17"/>
        <v/>
      </c>
      <c r="AGK30" t="str">
        <f t="shared" si="17"/>
        <v/>
      </c>
      <c r="AGL30" t="str">
        <f t="shared" si="17"/>
        <v/>
      </c>
      <c r="AGM30" t="str">
        <f t="shared" si="17"/>
        <v/>
      </c>
      <c r="AGN30" t="str">
        <f t="shared" si="17"/>
        <v/>
      </c>
      <c r="AGO30" t="str">
        <f t="shared" si="17"/>
        <v/>
      </c>
      <c r="AGP30" t="str">
        <f t="shared" si="17"/>
        <v/>
      </c>
      <c r="AGQ30" t="str">
        <f t="shared" si="17"/>
        <v/>
      </c>
      <c r="AGR30" t="str">
        <f t="shared" si="17"/>
        <v/>
      </c>
      <c r="AGS30" t="str">
        <f t="shared" si="17"/>
        <v/>
      </c>
      <c r="AGT30" t="str">
        <f t="shared" si="17"/>
        <v/>
      </c>
      <c r="AGU30" t="str">
        <f t="shared" si="17"/>
        <v/>
      </c>
      <c r="AGV30" t="str">
        <f t="shared" si="17"/>
        <v/>
      </c>
      <c r="AGW30" t="str">
        <f t="shared" si="17"/>
        <v/>
      </c>
      <c r="AGX30" t="str">
        <f t="shared" si="17"/>
        <v/>
      </c>
      <c r="AGY30" t="str">
        <f t="shared" si="17"/>
        <v/>
      </c>
      <c r="AGZ30" t="str">
        <f t="shared" si="17"/>
        <v/>
      </c>
      <c r="AHA30" t="str">
        <f t="shared" si="17"/>
        <v/>
      </c>
      <c r="AHB30" t="str">
        <f t="shared" si="17"/>
        <v/>
      </c>
      <c r="AHC30" t="str">
        <f t="shared" si="17"/>
        <v/>
      </c>
      <c r="AHD30" t="str">
        <f t="shared" si="17"/>
        <v/>
      </c>
      <c r="AHE30" t="str">
        <f t="shared" si="17"/>
        <v/>
      </c>
      <c r="AHF30" t="str">
        <f t="shared" si="17"/>
        <v/>
      </c>
      <c r="AHG30" t="str">
        <f t="shared" si="17"/>
        <v/>
      </c>
      <c r="AHH30" t="str">
        <f t="shared" si="17"/>
        <v/>
      </c>
      <c r="AHI30" t="str">
        <f t="shared" si="17"/>
        <v/>
      </c>
      <c r="AHJ30" t="str">
        <f t="shared" si="17"/>
        <v/>
      </c>
      <c r="AHK30" t="str">
        <f t="shared" si="17"/>
        <v/>
      </c>
      <c r="AHL30" t="str">
        <f t="shared" si="17"/>
        <v/>
      </c>
      <c r="AHM30" t="str">
        <f t="shared" si="17"/>
        <v/>
      </c>
      <c r="AHN30" t="str">
        <f t="shared" si="17"/>
        <v/>
      </c>
      <c r="AHO30" t="str">
        <f t="shared" si="17"/>
        <v/>
      </c>
      <c r="AHP30" t="str">
        <f t="shared" si="17"/>
        <v/>
      </c>
      <c r="AHQ30" t="str">
        <f t="shared" si="17"/>
        <v/>
      </c>
      <c r="AHR30" t="str">
        <f t="shared" si="17"/>
        <v/>
      </c>
      <c r="AHS30" t="str">
        <f t="shared" si="17"/>
        <v/>
      </c>
      <c r="AHT30" t="str">
        <f t="shared" si="17"/>
        <v/>
      </c>
      <c r="AHU30" t="str">
        <f t="shared" si="17"/>
        <v/>
      </c>
      <c r="AHV30" t="str">
        <f t="shared" si="17"/>
        <v/>
      </c>
      <c r="AHW30" t="str">
        <f t="shared" si="17"/>
        <v/>
      </c>
      <c r="AHX30" t="str">
        <f t="shared" si="17"/>
        <v/>
      </c>
      <c r="AHY30" t="str">
        <f t="shared" si="17"/>
        <v/>
      </c>
      <c r="AHZ30" t="str">
        <f t="shared" si="17"/>
        <v/>
      </c>
      <c r="AIA30" t="str">
        <f t="shared" si="17"/>
        <v/>
      </c>
      <c r="AIB30" t="str">
        <f t="shared" ref="AIB30:AKM30" si="18">TRIM(AIN11)</f>
        <v/>
      </c>
      <c r="AIC30" t="str">
        <f t="shared" si="18"/>
        <v/>
      </c>
      <c r="AID30" t="str">
        <f t="shared" si="18"/>
        <v/>
      </c>
      <c r="AIE30" t="str">
        <f t="shared" si="18"/>
        <v/>
      </c>
      <c r="AIF30" t="str">
        <f t="shared" si="18"/>
        <v/>
      </c>
      <c r="AIG30" t="str">
        <f t="shared" si="18"/>
        <v/>
      </c>
      <c r="AIH30" t="str">
        <f t="shared" si="18"/>
        <v/>
      </c>
      <c r="AII30" t="str">
        <f t="shared" si="18"/>
        <v/>
      </c>
      <c r="AIJ30" t="str">
        <f t="shared" si="18"/>
        <v/>
      </c>
      <c r="AIK30" t="str">
        <f t="shared" si="18"/>
        <v/>
      </c>
      <c r="AIL30" t="str">
        <f t="shared" si="18"/>
        <v/>
      </c>
      <c r="AIM30" t="str">
        <f t="shared" si="18"/>
        <v/>
      </c>
      <c r="AIN30" t="str">
        <f t="shared" si="18"/>
        <v/>
      </c>
      <c r="AIO30" t="str">
        <f t="shared" si="18"/>
        <v/>
      </c>
      <c r="AIP30" t="str">
        <f t="shared" si="18"/>
        <v/>
      </c>
      <c r="AIQ30" t="str">
        <f t="shared" si="18"/>
        <v/>
      </c>
      <c r="AIR30" t="str">
        <f t="shared" si="18"/>
        <v/>
      </c>
      <c r="AIS30" t="str">
        <f t="shared" si="18"/>
        <v/>
      </c>
      <c r="AIT30" t="str">
        <f t="shared" si="18"/>
        <v/>
      </c>
      <c r="AIU30" t="str">
        <f t="shared" si="18"/>
        <v/>
      </c>
      <c r="AIV30" t="str">
        <f t="shared" si="18"/>
        <v/>
      </c>
      <c r="AIW30" t="str">
        <f t="shared" si="18"/>
        <v/>
      </c>
      <c r="AIX30" t="str">
        <f t="shared" si="18"/>
        <v/>
      </c>
      <c r="AIY30" t="str">
        <f t="shared" si="18"/>
        <v/>
      </c>
      <c r="AIZ30" t="str">
        <f t="shared" si="18"/>
        <v/>
      </c>
      <c r="AJA30" t="str">
        <f t="shared" si="18"/>
        <v/>
      </c>
      <c r="AJB30" t="str">
        <f t="shared" si="18"/>
        <v/>
      </c>
      <c r="AJC30" t="str">
        <f t="shared" si="18"/>
        <v/>
      </c>
      <c r="AJD30" t="str">
        <f t="shared" si="18"/>
        <v/>
      </c>
      <c r="AJE30" t="str">
        <f t="shared" si="18"/>
        <v/>
      </c>
      <c r="AJF30" t="str">
        <f t="shared" si="18"/>
        <v/>
      </c>
      <c r="AJG30" t="str">
        <f t="shared" si="18"/>
        <v/>
      </c>
      <c r="AJH30" t="str">
        <f t="shared" si="18"/>
        <v/>
      </c>
      <c r="AJI30" t="str">
        <f t="shared" si="18"/>
        <v/>
      </c>
      <c r="AJJ30" t="str">
        <f t="shared" si="18"/>
        <v/>
      </c>
      <c r="AJK30" t="str">
        <f t="shared" si="18"/>
        <v/>
      </c>
      <c r="AJL30" t="str">
        <f t="shared" si="18"/>
        <v/>
      </c>
      <c r="AJM30" t="str">
        <f t="shared" si="18"/>
        <v/>
      </c>
      <c r="AJN30" t="str">
        <f t="shared" si="18"/>
        <v/>
      </c>
      <c r="AJO30" t="str">
        <f t="shared" si="18"/>
        <v/>
      </c>
      <c r="AJP30" t="str">
        <f t="shared" si="18"/>
        <v/>
      </c>
      <c r="AJQ30" t="str">
        <f t="shared" si="18"/>
        <v/>
      </c>
      <c r="AJR30" t="str">
        <f t="shared" si="18"/>
        <v/>
      </c>
      <c r="AJS30" t="str">
        <f t="shared" si="18"/>
        <v/>
      </c>
      <c r="AJT30" t="str">
        <f t="shared" si="18"/>
        <v/>
      </c>
      <c r="AJU30" t="str">
        <f t="shared" si="18"/>
        <v/>
      </c>
      <c r="AJV30" t="str">
        <f t="shared" si="18"/>
        <v/>
      </c>
      <c r="AJW30" t="str">
        <f t="shared" si="18"/>
        <v/>
      </c>
      <c r="AJX30" t="str">
        <f t="shared" si="18"/>
        <v/>
      </c>
      <c r="AJY30" t="str">
        <f t="shared" si="18"/>
        <v/>
      </c>
      <c r="AJZ30" t="str">
        <f t="shared" si="18"/>
        <v/>
      </c>
      <c r="AKA30" t="str">
        <f t="shared" si="18"/>
        <v/>
      </c>
      <c r="AKB30" t="str">
        <f t="shared" si="18"/>
        <v/>
      </c>
      <c r="AKC30" t="str">
        <f t="shared" si="18"/>
        <v/>
      </c>
      <c r="AKD30" t="str">
        <f t="shared" si="18"/>
        <v/>
      </c>
      <c r="AKE30" t="str">
        <f t="shared" si="18"/>
        <v/>
      </c>
      <c r="AKF30" t="str">
        <f t="shared" si="18"/>
        <v/>
      </c>
      <c r="AKG30" t="str">
        <f t="shared" si="18"/>
        <v/>
      </c>
      <c r="AKH30" t="str">
        <f t="shared" si="18"/>
        <v/>
      </c>
      <c r="AKI30" t="str">
        <f t="shared" si="18"/>
        <v/>
      </c>
      <c r="AKJ30" t="str">
        <f t="shared" si="18"/>
        <v/>
      </c>
      <c r="AKK30" t="str">
        <f t="shared" si="18"/>
        <v/>
      </c>
      <c r="AKL30" t="str">
        <f t="shared" si="18"/>
        <v/>
      </c>
      <c r="AKM30" t="str">
        <f t="shared" si="18"/>
        <v/>
      </c>
      <c r="AKN30" t="str">
        <f t="shared" ref="AKN30:AMY30" si="19">TRIM(AKZ11)</f>
        <v/>
      </c>
      <c r="AKO30" t="str">
        <f t="shared" si="19"/>
        <v/>
      </c>
      <c r="AKP30" t="str">
        <f t="shared" si="19"/>
        <v/>
      </c>
      <c r="AKQ30" t="str">
        <f t="shared" si="19"/>
        <v/>
      </c>
      <c r="AKR30" t="str">
        <f t="shared" si="19"/>
        <v/>
      </c>
      <c r="AKS30" t="str">
        <f t="shared" si="19"/>
        <v/>
      </c>
      <c r="AKT30" t="str">
        <f t="shared" si="19"/>
        <v/>
      </c>
      <c r="AKU30" t="str">
        <f t="shared" si="19"/>
        <v/>
      </c>
      <c r="AKV30" t="str">
        <f t="shared" si="19"/>
        <v/>
      </c>
      <c r="AKW30" t="str">
        <f t="shared" si="19"/>
        <v/>
      </c>
      <c r="AKX30" t="str">
        <f t="shared" si="19"/>
        <v/>
      </c>
      <c r="AKY30" t="str">
        <f t="shared" si="19"/>
        <v/>
      </c>
      <c r="AKZ30" t="str">
        <f t="shared" si="19"/>
        <v/>
      </c>
      <c r="ALA30" t="str">
        <f t="shared" si="19"/>
        <v/>
      </c>
      <c r="ALB30" t="str">
        <f t="shared" si="19"/>
        <v/>
      </c>
      <c r="ALC30" t="str">
        <f t="shared" si="19"/>
        <v/>
      </c>
      <c r="ALD30" t="str">
        <f t="shared" si="19"/>
        <v/>
      </c>
      <c r="ALE30" t="str">
        <f t="shared" si="19"/>
        <v/>
      </c>
      <c r="ALF30" t="str">
        <f t="shared" si="19"/>
        <v/>
      </c>
      <c r="ALG30" t="str">
        <f t="shared" si="19"/>
        <v/>
      </c>
      <c r="ALH30" t="str">
        <f t="shared" si="19"/>
        <v/>
      </c>
      <c r="ALI30" t="str">
        <f t="shared" si="19"/>
        <v/>
      </c>
      <c r="ALJ30" t="str">
        <f t="shared" si="19"/>
        <v/>
      </c>
      <c r="ALK30" t="str">
        <f t="shared" si="19"/>
        <v/>
      </c>
      <c r="ALL30" t="str">
        <f t="shared" si="19"/>
        <v/>
      </c>
      <c r="ALM30" t="str">
        <f t="shared" si="19"/>
        <v/>
      </c>
      <c r="ALN30" t="str">
        <f t="shared" si="19"/>
        <v/>
      </c>
      <c r="ALO30" t="str">
        <f t="shared" si="19"/>
        <v/>
      </c>
      <c r="ALP30" t="str">
        <f t="shared" si="19"/>
        <v/>
      </c>
      <c r="ALQ30" t="str">
        <f t="shared" si="19"/>
        <v/>
      </c>
      <c r="ALR30" t="str">
        <f t="shared" si="19"/>
        <v/>
      </c>
      <c r="ALS30" t="str">
        <f t="shared" si="19"/>
        <v/>
      </c>
      <c r="ALT30" t="str">
        <f t="shared" si="19"/>
        <v/>
      </c>
      <c r="ALU30" t="str">
        <f t="shared" si="19"/>
        <v/>
      </c>
      <c r="ALV30" t="str">
        <f t="shared" si="19"/>
        <v/>
      </c>
      <c r="ALW30" t="str">
        <f t="shared" si="19"/>
        <v/>
      </c>
      <c r="ALX30" t="str">
        <f t="shared" si="19"/>
        <v/>
      </c>
      <c r="ALY30" t="str">
        <f t="shared" si="19"/>
        <v/>
      </c>
      <c r="ALZ30" t="str">
        <f t="shared" si="19"/>
        <v/>
      </c>
      <c r="AMA30" t="str">
        <f t="shared" si="19"/>
        <v/>
      </c>
      <c r="AMB30" t="str">
        <f t="shared" si="19"/>
        <v/>
      </c>
      <c r="AMC30" t="str">
        <f t="shared" si="19"/>
        <v/>
      </c>
      <c r="AMD30" t="str">
        <f t="shared" si="19"/>
        <v/>
      </c>
      <c r="AME30" t="str">
        <f t="shared" si="19"/>
        <v/>
      </c>
      <c r="AMF30" t="str">
        <f t="shared" si="19"/>
        <v/>
      </c>
      <c r="AMG30" t="str">
        <f t="shared" si="19"/>
        <v/>
      </c>
      <c r="AMH30" t="str">
        <f t="shared" si="19"/>
        <v/>
      </c>
      <c r="AMI30" t="str">
        <f t="shared" si="19"/>
        <v/>
      </c>
      <c r="AMJ30" t="str">
        <f t="shared" si="19"/>
        <v/>
      </c>
      <c r="AMK30" t="str">
        <f t="shared" si="19"/>
        <v/>
      </c>
      <c r="AML30" t="str">
        <f t="shared" si="19"/>
        <v/>
      </c>
      <c r="AMM30" t="str">
        <f t="shared" si="19"/>
        <v/>
      </c>
      <c r="AMN30" t="str">
        <f t="shared" si="19"/>
        <v/>
      </c>
      <c r="AMO30" t="str">
        <f t="shared" si="19"/>
        <v/>
      </c>
      <c r="AMP30" t="str">
        <f t="shared" si="19"/>
        <v/>
      </c>
      <c r="AMQ30" t="str">
        <f t="shared" si="19"/>
        <v/>
      </c>
      <c r="AMR30" t="str">
        <f t="shared" si="19"/>
        <v/>
      </c>
      <c r="AMS30" t="str">
        <f t="shared" si="19"/>
        <v/>
      </c>
      <c r="AMT30" t="str">
        <f t="shared" si="19"/>
        <v/>
      </c>
      <c r="AMU30" t="str">
        <f t="shared" si="19"/>
        <v/>
      </c>
      <c r="AMV30" t="str">
        <f t="shared" si="19"/>
        <v/>
      </c>
      <c r="AMW30" t="str">
        <f t="shared" si="19"/>
        <v/>
      </c>
      <c r="AMX30" t="str">
        <f t="shared" si="19"/>
        <v/>
      </c>
      <c r="AMY30" t="str">
        <f t="shared" si="19"/>
        <v/>
      </c>
      <c r="AMZ30" t="str">
        <f t="shared" ref="AMZ30:APK30" si="20">TRIM(ANL11)</f>
        <v/>
      </c>
      <c r="ANA30" t="str">
        <f t="shared" si="20"/>
        <v/>
      </c>
      <c r="ANB30" t="str">
        <f t="shared" si="20"/>
        <v/>
      </c>
      <c r="ANC30" t="str">
        <f t="shared" si="20"/>
        <v/>
      </c>
      <c r="AND30" t="str">
        <f t="shared" si="20"/>
        <v/>
      </c>
      <c r="ANE30" t="str">
        <f t="shared" si="20"/>
        <v/>
      </c>
      <c r="ANF30" t="str">
        <f t="shared" si="20"/>
        <v/>
      </c>
      <c r="ANG30" t="str">
        <f t="shared" si="20"/>
        <v/>
      </c>
      <c r="ANH30" t="str">
        <f t="shared" si="20"/>
        <v/>
      </c>
      <c r="ANI30" t="str">
        <f t="shared" si="20"/>
        <v/>
      </c>
      <c r="ANJ30" t="str">
        <f t="shared" si="20"/>
        <v/>
      </c>
      <c r="ANK30" t="str">
        <f t="shared" si="20"/>
        <v/>
      </c>
      <c r="ANL30" t="str">
        <f t="shared" si="20"/>
        <v/>
      </c>
      <c r="ANM30" t="str">
        <f t="shared" si="20"/>
        <v/>
      </c>
      <c r="ANN30" t="str">
        <f t="shared" si="20"/>
        <v/>
      </c>
      <c r="ANO30" t="str">
        <f t="shared" si="20"/>
        <v/>
      </c>
      <c r="ANP30" t="str">
        <f t="shared" si="20"/>
        <v/>
      </c>
      <c r="ANQ30" t="str">
        <f t="shared" si="20"/>
        <v/>
      </c>
      <c r="ANR30" t="str">
        <f t="shared" si="20"/>
        <v/>
      </c>
      <c r="ANS30" t="str">
        <f t="shared" si="20"/>
        <v/>
      </c>
      <c r="ANT30" t="str">
        <f t="shared" si="20"/>
        <v/>
      </c>
      <c r="ANU30" t="str">
        <f t="shared" si="20"/>
        <v/>
      </c>
      <c r="ANV30" t="str">
        <f t="shared" si="20"/>
        <v/>
      </c>
      <c r="ANW30" t="str">
        <f t="shared" si="20"/>
        <v/>
      </c>
      <c r="ANX30" t="str">
        <f t="shared" si="20"/>
        <v/>
      </c>
      <c r="ANY30" t="str">
        <f t="shared" si="20"/>
        <v/>
      </c>
      <c r="ANZ30" t="str">
        <f t="shared" si="20"/>
        <v/>
      </c>
      <c r="AOA30" t="str">
        <f t="shared" si="20"/>
        <v/>
      </c>
      <c r="AOB30" t="str">
        <f t="shared" si="20"/>
        <v/>
      </c>
      <c r="AOC30" t="str">
        <f t="shared" si="20"/>
        <v/>
      </c>
      <c r="AOD30" t="str">
        <f t="shared" si="20"/>
        <v/>
      </c>
      <c r="AOE30" t="str">
        <f t="shared" si="20"/>
        <v/>
      </c>
      <c r="AOF30" t="str">
        <f t="shared" si="20"/>
        <v/>
      </c>
      <c r="AOG30" t="str">
        <f t="shared" si="20"/>
        <v/>
      </c>
      <c r="AOH30" t="str">
        <f t="shared" si="20"/>
        <v/>
      </c>
      <c r="AOI30" t="str">
        <f t="shared" si="20"/>
        <v/>
      </c>
      <c r="AOJ30" t="str">
        <f t="shared" si="20"/>
        <v/>
      </c>
      <c r="AOK30" t="str">
        <f t="shared" si="20"/>
        <v/>
      </c>
      <c r="AOL30" t="str">
        <f t="shared" si="20"/>
        <v/>
      </c>
      <c r="AOM30" t="str">
        <f t="shared" si="20"/>
        <v/>
      </c>
      <c r="AON30" t="str">
        <f t="shared" si="20"/>
        <v/>
      </c>
      <c r="AOO30" t="str">
        <f t="shared" si="20"/>
        <v/>
      </c>
      <c r="AOP30" t="str">
        <f t="shared" si="20"/>
        <v/>
      </c>
      <c r="AOQ30" t="str">
        <f t="shared" si="20"/>
        <v/>
      </c>
      <c r="AOR30" t="str">
        <f t="shared" si="20"/>
        <v/>
      </c>
      <c r="AOS30" t="str">
        <f t="shared" si="20"/>
        <v/>
      </c>
      <c r="AOT30" t="str">
        <f t="shared" si="20"/>
        <v/>
      </c>
      <c r="AOU30" t="str">
        <f t="shared" si="20"/>
        <v/>
      </c>
      <c r="AOV30" t="str">
        <f t="shared" si="20"/>
        <v/>
      </c>
      <c r="AOW30" t="str">
        <f t="shared" si="20"/>
        <v/>
      </c>
      <c r="AOX30" t="str">
        <f t="shared" si="20"/>
        <v/>
      </c>
      <c r="AOY30" t="str">
        <f t="shared" si="20"/>
        <v/>
      </c>
      <c r="AOZ30" t="str">
        <f t="shared" si="20"/>
        <v/>
      </c>
      <c r="APA30" t="str">
        <f t="shared" si="20"/>
        <v/>
      </c>
      <c r="APB30" t="str">
        <f t="shared" si="20"/>
        <v/>
      </c>
      <c r="APC30" t="str">
        <f t="shared" si="20"/>
        <v/>
      </c>
      <c r="APD30" t="str">
        <f t="shared" si="20"/>
        <v/>
      </c>
      <c r="APE30" t="str">
        <f t="shared" si="20"/>
        <v/>
      </c>
      <c r="APF30" t="str">
        <f t="shared" si="20"/>
        <v/>
      </c>
      <c r="APG30" t="str">
        <f t="shared" si="20"/>
        <v/>
      </c>
      <c r="APH30" t="str">
        <f t="shared" si="20"/>
        <v/>
      </c>
      <c r="API30" t="str">
        <f t="shared" si="20"/>
        <v/>
      </c>
      <c r="APJ30" t="str">
        <f t="shared" si="20"/>
        <v/>
      </c>
      <c r="APK30" t="str">
        <f t="shared" si="20"/>
        <v/>
      </c>
      <c r="APL30" t="str">
        <f t="shared" ref="APL30:ARW30" si="21">TRIM(APX11)</f>
        <v/>
      </c>
      <c r="APM30" t="str">
        <f t="shared" si="21"/>
        <v/>
      </c>
      <c r="APN30" t="str">
        <f t="shared" si="21"/>
        <v/>
      </c>
      <c r="APO30" t="str">
        <f t="shared" si="21"/>
        <v/>
      </c>
      <c r="APP30" t="str">
        <f t="shared" si="21"/>
        <v/>
      </c>
      <c r="APQ30" t="str">
        <f t="shared" si="21"/>
        <v/>
      </c>
      <c r="APR30" t="str">
        <f t="shared" si="21"/>
        <v/>
      </c>
      <c r="APS30" t="str">
        <f t="shared" si="21"/>
        <v/>
      </c>
      <c r="APT30" t="str">
        <f t="shared" si="21"/>
        <v/>
      </c>
      <c r="APU30" t="str">
        <f t="shared" si="21"/>
        <v/>
      </c>
      <c r="APV30" t="str">
        <f t="shared" si="21"/>
        <v/>
      </c>
      <c r="APW30" t="str">
        <f t="shared" si="21"/>
        <v/>
      </c>
      <c r="APX30" t="str">
        <f t="shared" si="21"/>
        <v/>
      </c>
      <c r="APY30" t="str">
        <f t="shared" si="21"/>
        <v/>
      </c>
      <c r="APZ30" t="str">
        <f t="shared" si="21"/>
        <v/>
      </c>
      <c r="AQA30" t="str">
        <f t="shared" si="21"/>
        <v/>
      </c>
      <c r="AQB30" t="str">
        <f t="shared" si="21"/>
        <v/>
      </c>
      <c r="AQC30" t="str">
        <f t="shared" si="21"/>
        <v/>
      </c>
      <c r="AQD30" t="str">
        <f t="shared" si="21"/>
        <v/>
      </c>
      <c r="AQE30" t="str">
        <f t="shared" si="21"/>
        <v/>
      </c>
      <c r="AQF30" t="str">
        <f t="shared" si="21"/>
        <v/>
      </c>
      <c r="AQG30" t="str">
        <f t="shared" si="21"/>
        <v/>
      </c>
      <c r="AQH30" t="str">
        <f t="shared" si="21"/>
        <v/>
      </c>
      <c r="AQI30" t="str">
        <f t="shared" si="21"/>
        <v/>
      </c>
      <c r="AQJ30" t="str">
        <f t="shared" si="21"/>
        <v/>
      </c>
      <c r="AQK30" t="str">
        <f t="shared" si="21"/>
        <v/>
      </c>
      <c r="AQL30" t="str">
        <f t="shared" si="21"/>
        <v/>
      </c>
      <c r="AQM30" t="str">
        <f t="shared" si="21"/>
        <v/>
      </c>
      <c r="AQN30" t="str">
        <f t="shared" si="21"/>
        <v/>
      </c>
      <c r="AQO30" t="str">
        <f t="shared" si="21"/>
        <v/>
      </c>
      <c r="AQP30" t="str">
        <f t="shared" si="21"/>
        <v/>
      </c>
      <c r="AQQ30" t="str">
        <f t="shared" si="21"/>
        <v/>
      </c>
      <c r="AQR30" t="str">
        <f t="shared" si="21"/>
        <v/>
      </c>
      <c r="AQS30" t="str">
        <f t="shared" si="21"/>
        <v/>
      </c>
      <c r="AQT30" t="str">
        <f t="shared" si="21"/>
        <v/>
      </c>
      <c r="AQU30" t="str">
        <f t="shared" si="21"/>
        <v/>
      </c>
      <c r="AQV30" t="str">
        <f t="shared" si="21"/>
        <v/>
      </c>
      <c r="AQW30" t="str">
        <f t="shared" si="21"/>
        <v/>
      </c>
      <c r="AQX30" t="str">
        <f t="shared" si="21"/>
        <v/>
      </c>
      <c r="AQY30" t="str">
        <f t="shared" si="21"/>
        <v/>
      </c>
      <c r="AQZ30" t="str">
        <f t="shared" si="21"/>
        <v/>
      </c>
      <c r="ARA30" t="str">
        <f t="shared" si="21"/>
        <v/>
      </c>
      <c r="ARB30" t="str">
        <f t="shared" si="21"/>
        <v/>
      </c>
      <c r="ARC30" t="str">
        <f t="shared" si="21"/>
        <v/>
      </c>
      <c r="ARD30" t="str">
        <f t="shared" si="21"/>
        <v/>
      </c>
      <c r="ARE30" t="str">
        <f t="shared" si="21"/>
        <v/>
      </c>
      <c r="ARF30" t="str">
        <f t="shared" si="21"/>
        <v/>
      </c>
      <c r="ARG30" t="str">
        <f t="shared" si="21"/>
        <v/>
      </c>
      <c r="ARH30" t="str">
        <f t="shared" si="21"/>
        <v/>
      </c>
      <c r="ARI30" t="str">
        <f t="shared" si="21"/>
        <v/>
      </c>
      <c r="ARJ30" t="str">
        <f t="shared" si="21"/>
        <v/>
      </c>
      <c r="ARK30" t="str">
        <f t="shared" si="21"/>
        <v/>
      </c>
      <c r="ARL30" t="str">
        <f t="shared" si="21"/>
        <v/>
      </c>
      <c r="ARM30" t="str">
        <f t="shared" si="21"/>
        <v/>
      </c>
      <c r="ARN30" t="str">
        <f t="shared" si="21"/>
        <v/>
      </c>
      <c r="ARO30" t="str">
        <f t="shared" si="21"/>
        <v/>
      </c>
      <c r="ARP30" t="str">
        <f t="shared" si="21"/>
        <v/>
      </c>
      <c r="ARQ30" t="str">
        <f t="shared" si="21"/>
        <v/>
      </c>
      <c r="ARR30" t="str">
        <f t="shared" si="21"/>
        <v/>
      </c>
      <c r="ARS30" t="str">
        <f t="shared" si="21"/>
        <v/>
      </c>
      <c r="ART30" t="str">
        <f t="shared" si="21"/>
        <v/>
      </c>
      <c r="ARU30" t="str">
        <f t="shared" si="21"/>
        <v/>
      </c>
      <c r="ARV30" t="str">
        <f t="shared" si="21"/>
        <v/>
      </c>
      <c r="ARW30" t="str">
        <f t="shared" si="21"/>
        <v/>
      </c>
      <c r="ARX30" t="str">
        <f t="shared" ref="ARX30:AUI30" si="22">TRIM(ASJ11)</f>
        <v/>
      </c>
      <c r="ARY30" t="str">
        <f t="shared" si="22"/>
        <v/>
      </c>
      <c r="ARZ30" t="str">
        <f t="shared" si="22"/>
        <v/>
      </c>
      <c r="ASA30" t="str">
        <f t="shared" si="22"/>
        <v/>
      </c>
      <c r="ASB30" t="str">
        <f t="shared" si="22"/>
        <v/>
      </c>
      <c r="ASC30" t="str">
        <f t="shared" si="22"/>
        <v/>
      </c>
      <c r="ASD30" t="str">
        <f t="shared" si="22"/>
        <v/>
      </c>
      <c r="ASE30" t="str">
        <f t="shared" si="22"/>
        <v/>
      </c>
      <c r="ASF30" t="str">
        <f t="shared" si="22"/>
        <v/>
      </c>
      <c r="ASG30" t="str">
        <f t="shared" si="22"/>
        <v/>
      </c>
      <c r="ASH30" t="str">
        <f t="shared" si="22"/>
        <v/>
      </c>
      <c r="ASI30" t="str">
        <f t="shared" si="22"/>
        <v/>
      </c>
      <c r="ASJ30" t="str">
        <f t="shared" si="22"/>
        <v/>
      </c>
      <c r="ASK30" t="str">
        <f t="shared" si="22"/>
        <v/>
      </c>
      <c r="ASL30" t="str">
        <f t="shared" si="22"/>
        <v/>
      </c>
      <c r="ASM30" t="str">
        <f t="shared" si="22"/>
        <v/>
      </c>
      <c r="ASN30" t="str">
        <f t="shared" si="22"/>
        <v/>
      </c>
      <c r="ASO30" t="str">
        <f t="shared" si="22"/>
        <v/>
      </c>
      <c r="ASP30" t="str">
        <f t="shared" si="22"/>
        <v/>
      </c>
      <c r="ASQ30" t="str">
        <f t="shared" si="22"/>
        <v/>
      </c>
      <c r="ASR30" t="str">
        <f t="shared" si="22"/>
        <v/>
      </c>
      <c r="ASS30" t="str">
        <f t="shared" si="22"/>
        <v/>
      </c>
      <c r="AST30" t="str">
        <f t="shared" si="22"/>
        <v/>
      </c>
      <c r="ASU30" t="str">
        <f t="shared" si="22"/>
        <v/>
      </c>
      <c r="ASV30" t="str">
        <f t="shared" si="22"/>
        <v/>
      </c>
      <c r="ASW30" t="str">
        <f t="shared" si="22"/>
        <v/>
      </c>
      <c r="ASX30" t="str">
        <f t="shared" si="22"/>
        <v/>
      </c>
      <c r="ASY30" t="str">
        <f t="shared" si="22"/>
        <v/>
      </c>
      <c r="ASZ30" t="str">
        <f t="shared" si="22"/>
        <v/>
      </c>
      <c r="ATA30" t="str">
        <f t="shared" si="22"/>
        <v/>
      </c>
      <c r="ATB30" t="str">
        <f t="shared" si="22"/>
        <v/>
      </c>
      <c r="ATC30" t="str">
        <f t="shared" si="22"/>
        <v/>
      </c>
      <c r="ATD30" t="str">
        <f t="shared" si="22"/>
        <v/>
      </c>
      <c r="ATE30" t="str">
        <f t="shared" si="22"/>
        <v/>
      </c>
      <c r="ATF30" t="str">
        <f t="shared" si="22"/>
        <v/>
      </c>
      <c r="ATG30" t="str">
        <f t="shared" si="22"/>
        <v/>
      </c>
      <c r="ATH30" t="str">
        <f t="shared" si="22"/>
        <v/>
      </c>
      <c r="ATI30" t="str">
        <f t="shared" si="22"/>
        <v/>
      </c>
      <c r="ATJ30" t="str">
        <f t="shared" si="22"/>
        <v/>
      </c>
      <c r="ATK30" t="str">
        <f t="shared" si="22"/>
        <v/>
      </c>
      <c r="ATL30" t="str">
        <f t="shared" si="22"/>
        <v/>
      </c>
      <c r="ATM30" t="str">
        <f t="shared" si="22"/>
        <v/>
      </c>
      <c r="ATN30" t="str">
        <f t="shared" si="22"/>
        <v/>
      </c>
      <c r="ATO30" t="str">
        <f t="shared" si="22"/>
        <v/>
      </c>
      <c r="ATP30" t="str">
        <f t="shared" si="22"/>
        <v/>
      </c>
      <c r="ATQ30" t="str">
        <f t="shared" si="22"/>
        <v/>
      </c>
      <c r="ATR30" t="str">
        <f t="shared" si="22"/>
        <v/>
      </c>
      <c r="ATS30" t="str">
        <f t="shared" si="22"/>
        <v/>
      </c>
      <c r="ATT30" t="str">
        <f t="shared" si="22"/>
        <v/>
      </c>
      <c r="ATU30" t="str">
        <f t="shared" si="22"/>
        <v/>
      </c>
      <c r="ATV30" t="str">
        <f t="shared" si="22"/>
        <v/>
      </c>
      <c r="ATW30" t="str">
        <f t="shared" si="22"/>
        <v/>
      </c>
      <c r="ATX30" t="str">
        <f t="shared" si="22"/>
        <v/>
      </c>
      <c r="ATY30" t="str">
        <f t="shared" si="22"/>
        <v/>
      </c>
      <c r="ATZ30" t="str">
        <f t="shared" si="22"/>
        <v/>
      </c>
      <c r="AUA30" t="str">
        <f t="shared" si="22"/>
        <v/>
      </c>
      <c r="AUB30" t="str">
        <f t="shared" si="22"/>
        <v/>
      </c>
      <c r="AUC30" t="str">
        <f t="shared" si="22"/>
        <v/>
      </c>
      <c r="AUD30" t="str">
        <f t="shared" si="22"/>
        <v/>
      </c>
      <c r="AUE30" t="str">
        <f t="shared" si="22"/>
        <v/>
      </c>
      <c r="AUF30" t="str">
        <f t="shared" si="22"/>
        <v/>
      </c>
      <c r="AUG30" t="str">
        <f t="shared" si="22"/>
        <v/>
      </c>
      <c r="AUH30" t="str">
        <f t="shared" si="22"/>
        <v/>
      </c>
      <c r="AUI30" t="str">
        <f t="shared" si="22"/>
        <v/>
      </c>
      <c r="AUJ30" t="str">
        <f t="shared" ref="AUJ30:AWU30" si="23">TRIM(AUV11)</f>
        <v/>
      </c>
      <c r="AUK30" t="str">
        <f t="shared" si="23"/>
        <v/>
      </c>
      <c r="AUL30" t="str">
        <f t="shared" si="23"/>
        <v/>
      </c>
      <c r="AUM30" t="str">
        <f t="shared" si="23"/>
        <v/>
      </c>
      <c r="AUN30" t="str">
        <f t="shared" si="23"/>
        <v/>
      </c>
      <c r="AUO30" t="str">
        <f t="shared" si="23"/>
        <v/>
      </c>
      <c r="AUP30" t="str">
        <f t="shared" si="23"/>
        <v/>
      </c>
      <c r="AUQ30" t="str">
        <f t="shared" si="23"/>
        <v/>
      </c>
      <c r="AUR30" t="str">
        <f t="shared" si="23"/>
        <v/>
      </c>
      <c r="AUS30" t="str">
        <f t="shared" si="23"/>
        <v/>
      </c>
      <c r="AUT30" t="str">
        <f t="shared" si="23"/>
        <v/>
      </c>
      <c r="AUU30" t="str">
        <f t="shared" si="23"/>
        <v/>
      </c>
      <c r="AUV30" t="str">
        <f t="shared" si="23"/>
        <v/>
      </c>
      <c r="AUW30" t="str">
        <f t="shared" si="23"/>
        <v/>
      </c>
      <c r="AUX30" t="str">
        <f t="shared" si="23"/>
        <v/>
      </c>
      <c r="AUY30" t="str">
        <f t="shared" si="23"/>
        <v/>
      </c>
      <c r="AUZ30" t="str">
        <f t="shared" si="23"/>
        <v/>
      </c>
      <c r="AVA30" t="str">
        <f t="shared" si="23"/>
        <v/>
      </c>
      <c r="AVB30" t="str">
        <f t="shared" si="23"/>
        <v/>
      </c>
      <c r="AVC30" t="str">
        <f t="shared" si="23"/>
        <v/>
      </c>
      <c r="AVD30" t="str">
        <f t="shared" si="23"/>
        <v/>
      </c>
      <c r="AVE30" t="str">
        <f t="shared" si="23"/>
        <v/>
      </c>
      <c r="AVF30" t="str">
        <f t="shared" si="23"/>
        <v/>
      </c>
      <c r="AVG30" t="str">
        <f t="shared" si="23"/>
        <v/>
      </c>
      <c r="AVH30" t="str">
        <f t="shared" si="23"/>
        <v/>
      </c>
      <c r="AVI30" t="str">
        <f t="shared" si="23"/>
        <v/>
      </c>
      <c r="AVJ30" t="str">
        <f t="shared" si="23"/>
        <v/>
      </c>
      <c r="AVK30" t="str">
        <f t="shared" si="23"/>
        <v/>
      </c>
      <c r="AVL30" t="str">
        <f t="shared" si="23"/>
        <v/>
      </c>
      <c r="AVM30" t="str">
        <f t="shared" si="23"/>
        <v/>
      </c>
      <c r="AVN30" t="str">
        <f t="shared" si="23"/>
        <v/>
      </c>
      <c r="AVO30" t="str">
        <f t="shared" si="23"/>
        <v/>
      </c>
      <c r="AVP30" t="str">
        <f t="shared" si="23"/>
        <v/>
      </c>
      <c r="AVQ30" t="str">
        <f t="shared" si="23"/>
        <v/>
      </c>
      <c r="AVR30" t="str">
        <f t="shared" si="23"/>
        <v/>
      </c>
      <c r="AVS30" t="str">
        <f t="shared" si="23"/>
        <v/>
      </c>
      <c r="AVT30" t="str">
        <f t="shared" si="23"/>
        <v/>
      </c>
      <c r="AVU30" t="str">
        <f t="shared" si="23"/>
        <v/>
      </c>
      <c r="AVV30" t="str">
        <f t="shared" si="23"/>
        <v/>
      </c>
      <c r="AVW30" t="str">
        <f t="shared" si="23"/>
        <v/>
      </c>
      <c r="AVX30" t="str">
        <f t="shared" si="23"/>
        <v/>
      </c>
      <c r="AVY30" t="str">
        <f t="shared" si="23"/>
        <v/>
      </c>
      <c r="AVZ30" t="str">
        <f t="shared" si="23"/>
        <v/>
      </c>
      <c r="AWA30" t="str">
        <f t="shared" si="23"/>
        <v/>
      </c>
      <c r="AWB30" t="str">
        <f t="shared" si="23"/>
        <v/>
      </c>
      <c r="AWC30" t="str">
        <f t="shared" si="23"/>
        <v/>
      </c>
      <c r="AWD30" t="str">
        <f t="shared" si="23"/>
        <v/>
      </c>
      <c r="AWE30" t="str">
        <f t="shared" si="23"/>
        <v/>
      </c>
      <c r="AWF30" t="str">
        <f t="shared" si="23"/>
        <v/>
      </c>
      <c r="AWG30" t="str">
        <f t="shared" si="23"/>
        <v/>
      </c>
      <c r="AWH30" t="str">
        <f t="shared" si="23"/>
        <v/>
      </c>
      <c r="AWI30" t="str">
        <f t="shared" si="23"/>
        <v/>
      </c>
      <c r="AWJ30" t="str">
        <f t="shared" si="23"/>
        <v/>
      </c>
      <c r="AWK30" t="str">
        <f t="shared" si="23"/>
        <v/>
      </c>
      <c r="AWL30" t="str">
        <f t="shared" si="23"/>
        <v/>
      </c>
      <c r="AWM30" t="str">
        <f t="shared" si="23"/>
        <v/>
      </c>
      <c r="AWN30" t="str">
        <f t="shared" si="23"/>
        <v/>
      </c>
      <c r="AWO30" t="str">
        <f t="shared" si="23"/>
        <v/>
      </c>
      <c r="AWP30" t="str">
        <f t="shared" si="23"/>
        <v/>
      </c>
      <c r="AWQ30" t="str">
        <f t="shared" si="23"/>
        <v/>
      </c>
      <c r="AWR30" t="str">
        <f t="shared" si="23"/>
        <v/>
      </c>
      <c r="AWS30" t="str">
        <f t="shared" si="23"/>
        <v/>
      </c>
      <c r="AWT30" t="str">
        <f t="shared" si="23"/>
        <v/>
      </c>
      <c r="AWU30" t="str">
        <f t="shared" si="23"/>
        <v/>
      </c>
      <c r="AWV30" t="str">
        <f t="shared" ref="AWV30:AZG30" si="24">TRIM(AXH11)</f>
        <v/>
      </c>
      <c r="AWW30" t="str">
        <f t="shared" si="24"/>
        <v/>
      </c>
      <c r="AWX30" t="str">
        <f t="shared" si="24"/>
        <v/>
      </c>
      <c r="AWY30" t="str">
        <f t="shared" si="24"/>
        <v/>
      </c>
      <c r="AWZ30" t="str">
        <f t="shared" si="24"/>
        <v/>
      </c>
      <c r="AXA30" t="str">
        <f t="shared" si="24"/>
        <v/>
      </c>
      <c r="AXB30" t="str">
        <f t="shared" si="24"/>
        <v/>
      </c>
      <c r="AXC30" t="str">
        <f t="shared" si="24"/>
        <v/>
      </c>
      <c r="AXD30" t="str">
        <f t="shared" si="24"/>
        <v/>
      </c>
      <c r="AXE30" t="str">
        <f t="shared" si="24"/>
        <v/>
      </c>
      <c r="AXF30" t="str">
        <f t="shared" si="24"/>
        <v/>
      </c>
      <c r="AXG30" t="str">
        <f t="shared" si="24"/>
        <v/>
      </c>
      <c r="AXH30" t="str">
        <f t="shared" si="24"/>
        <v/>
      </c>
      <c r="AXI30" t="str">
        <f t="shared" si="24"/>
        <v/>
      </c>
      <c r="AXJ30" t="str">
        <f t="shared" si="24"/>
        <v/>
      </c>
      <c r="AXK30" t="str">
        <f t="shared" si="24"/>
        <v/>
      </c>
      <c r="AXL30" t="str">
        <f t="shared" si="24"/>
        <v/>
      </c>
      <c r="AXM30" t="str">
        <f t="shared" si="24"/>
        <v/>
      </c>
      <c r="AXN30" t="str">
        <f t="shared" si="24"/>
        <v/>
      </c>
      <c r="AXO30" t="str">
        <f t="shared" si="24"/>
        <v/>
      </c>
      <c r="AXP30" t="str">
        <f t="shared" si="24"/>
        <v/>
      </c>
      <c r="AXQ30" t="str">
        <f t="shared" si="24"/>
        <v/>
      </c>
      <c r="AXR30" t="str">
        <f t="shared" si="24"/>
        <v/>
      </c>
      <c r="AXS30" t="str">
        <f t="shared" si="24"/>
        <v/>
      </c>
      <c r="AXT30" t="str">
        <f t="shared" si="24"/>
        <v/>
      </c>
      <c r="AXU30" t="str">
        <f t="shared" si="24"/>
        <v/>
      </c>
      <c r="AXV30" t="str">
        <f t="shared" si="24"/>
        <v/>
      </c>
      <c r="AXW30" t="str">
        <f t="shared" si="24"/>
        <v/>
      </c>
      <c r="AXX30" t="str">
        <f t="shared" si="24"/>
        <v/>
      </c>
      <c r="AXY30" t="str">
        <f t="shared" si="24"/>
        <v/>
      </c>
      <c r="AXZ30" t="str">
        <f t="shared" si="24"/>
        <v/>
      </c>
      <c r="AYA30" t="str">
        <f t="shared" si="24"/>
        <v/>
      </c>
      <c r="AYB30" t="str">
        <f t="shared" si="24"/>
        <v/>
      </c>
      <c r="AYC30" t="str">
        <f t="shared" si="24"/>
        <v/>
      </c>
      <c r="AYD30" t="str">
        <f t="shared" si="24"/>
        <v/>
      </c>
      <c r="AYE30" t="str">
        <f t="shared" si="24"/>
        <v/>
      </c>
      <c r="AYF30" t="str">
        <f t="shared" si="24"/>
        <v/>
      </c>
      <c r="AYG30" t="str">
        <f t="shared" si="24"/>
        <v/>
      </c>
      <c r="AYH30" t="str">
        <f t="shared" si="24"/>
        <v/>
      </c>
      <c r="AYI30" t="str">
        <f t="shared" si="24"/>
        <v/>
      </c>
      <c r="AYJ30" t="str">
        <f t="shared" si="24"/>
        <v/>
      </c>
      <c r="AYK30" t="str">
        <f t="shared" si="24"/>
        <v/>
      </c>
      <c r="AYL30" t="str">
        <f t="shared" si="24"/>
        <v/>
      </c>
      <c r="AYM30" t="str">
        <f t="shared" si="24"/>
        <v/>
      </c>
      <c r="AYN30" t="str">
        <f t="shared" si="24"/>
        <v/>
      </c>
      <c r="AYO30" t="str">
        <f t="shared" si="24"/>
        <v/>
      </c>
      <c r="AYP30" t="str">
        <f t="shared" si="24"/>
        <v/>
      </c>
      <c r="AYQ30" t="str">
        <f t="shared" si="24"/>
        <v/>
      </c>
      <c r="AYR30" t="str">
        <f t="shared" si="24"/>
        <v/>
      </c>
      <c r="AYS30" t="str">
        <f t="shared" si="24"/>
        <v/>
      </c>
      <c r="AYT30" t="str">
        <f t="shared" si="24"/>
        <v/>
      </c>
      <c r="AYU30" t="str">
        <f t="shared" si="24"/>
        <v/>
      </c>
      <c r="AYV30" t="str">
        <f t="shared" si="24"/>
        <v/>
      </c>
      <c r="AYW30" t="str">
        <f t="shared" si="24"/>
        <v/>
      </c>
      <c r="AYX30" t="str">
        <f t="shared" si="24"/>
        <v/>
      </c>
      <c r="AYY30" t="str">
        <f t="shared" si="24"/>
        <v/>
      </c>
      <c r="AYZ30" t="str">
        <f t="shared" si="24"/>
        <v/>
      </c>
      <c r="AZA30" t="str">
        <f t="shared" si="24"/>
        <v/>
      </c>
      <c r="AZB30" t="str">
        <f t="shared" si="24"/>
        <v/>
      </c>
      <c r="AZC30" t="str">
        <f t="shared" si="24"/>
        <v/>
      </c>
      <c r="AZD30" t="str">
        <f t="shared" si="24"/>
        <v/>
      </c>
      <c r="AZE30" t="str">
        <f t="shared" si="24"/>
        <v/>
      </c>
      <c r="AZF30" t="str">
        <f t="shared" si="24"/>
        <v/>
      </c>
      <c r="AZG30" t="str">
        <f t="shared" si="24"/>
        <v/>
      </c>
      <c r="AZH30" t="str">
        <f t="shared" ref="AZH30:BBS30" si="25">TRIM(AZT11)</f>
        <v/>
      </c>
      <c r="AZI30" t="str">
        <f t="shared" si="25"/>
        <v/>
      </c>
      <c r="AZJ30" t="str">
        <f t="shared" si="25"/>
        <v/>
      </c>
      <c r="AZK30" t="str">
        <f t="shared" si="25"/>
        <v/>
      </c>
      <c r="AZL30" t="str">
        <f t="shared" si="25"/>
        <v/>
      </c>
      <c r="AZM30" t="str">
        <f t="shared" si="25"/>
        <v/>
      </c>
      <c r="AZN30" t="str">
        <f t="shared" si="25"/>
        <v/>
      </c>
      <c r="AZO30" t="str">
        <f t="shared" si="25"/>
        <v/>
      </c>
      <c r="AZP30" t="str">
        <f t="shared" si="25"/>
        <v/>
      </c>
      <c r="AZQ30" t="str">
        <f t="shared" si="25"/>
        <v/>
      </c>
      <c r="AZR30" t="str">
        <f t="shared" si="25"/>
        <v/>
      </c>
      <c r="AZS30" t="str">
        <f t="shared" si="25"/>
        <v/>
      </c>
      <c r="AZT30" t="str">
        <f t="shared" si="25"/>
        <v/>
      </c>
      <c r="AZU30" t="str">
        <f t="shared" si="25"/>
        <v/>
      </c>
      <c r="AZV30" t="str">
        <f t="shared" si="25"/>
        <v/>
      </c>
      <c r="AZW30" t="str">
        <f t="shared" si="25"/>
        <v/>
      </c>
      <c r="AZX30" t="str">
        <f t="shared" si="25"/>
        <v/>
      </c>
      <c r="AZY30" t="str">
        <f t="shared" si="25"/>
        <v/>
      </c>
      <c r="AZZ30" t="str">
        <f t="shared" si="25"/>
        <v/>
      </c>
      <c r="BAA30" t="str">
        <f t="shared" si="25"/>
        <v/>
      </c>
      <c r="BAB30" t="str">
        <f t="shared" si="25"/>
        <v/>
      </c>
      <c r="BAC30" t="str">
        <f t="shared" si="25"/>
        <v/>
      </c>
      <c r="BAD30" t="str">
        <f t="shared" si="25"/>
        <v/>
      </c>
      <c r="BAE30" t="str">
        <f t="shared" si="25"/>
        <v/>
      </c>
      <c r="BAF30" t="str">
        <f t="shared" si="25"/>
        <v/>
      </c>
      <c r="BAG30" t="str">
        <f t="shared" si="25"/>
        <v/>
      </c>
      <c r="BAH30" t="str">
        <f t="shared" si="25"/>
        <v/>
      </c>
      <c r="BAI30" t="str">
        <f t="shared" si="25"/>
        <v/>
      </c>
      <c r="BAJ30" t="str">
        <f t="shared" si="25"/>
        <v/>
      </c>
      <c r="BAK30" t="str">
        <f t="shared" si="25"/>
        <v/>
      </c>
      <c r="BAL30" t="str">
        <f t="shared" si="25"/>
        <v/>
      </c>
      <c r="BAM30" t="str">
        <f t="shared" si="25"/>
        <v/>
      </c>
      <c r="BAN30" t="str">
        <f t="shared" si="25"/>
        <v/>
      </c>
      <c r="BAO30" t="str">
        <f t="shared" si="25"/>
        <v/>
      </c>
      <c r="BAP30" t="str">
        <f t="shared" si="25"/>
        <v/>
      </c>
      <c r="BAQ30" t="str">
        <f t="shared" si="25"/>
        <v/>
      </c>
      <c r="BAR30" t="str">
        <f t="shared" si="25"/>
        <v/>
      </c>
      <c r="BAS30" t="str">
        <f t="shared" si="25"/>
        <v/>
      </c>
      <c r="BAT30" t="str">
        <f t="shared" si="25"/>
        <v/>
      </c>
      <c r="BAU30" t="str">
        <f t="shared" si="25"/>
        <v/>
      </c>
      <c r="BAV30" t="str">
        <f t="shared" si="25"/>
        <v/>
      </c>
      <c r="BAW30" t="str">
        <f t="shared" si="25"/>
        <v/>
      </c>
      <c r="BAX30" t="str">
        <f t="shared" si="25"/>
        <v/>
      </c>
      <c r="BAY30" t="str">
        <f t="shared" si="25"/>
        <v/>
      </c>
      <c r="BAZ30" t="str">
        <f t="shared" si="25"/>
        <v/>
      </c>
      <c r="BBA30" t="str">
        <f t="shared" si="25"/>
        <v/>
      </c>
      <c r="BBB30" t="str">
        <f t="shared" si="25"/>
        <v/>
      </c>
      <c r="BBC30" t="str">
        <f t="shared" si="25"/>
        <v/>
      </c>
      <c r="BBD30" t="str">
        <f t="shared" si="25"/>
        <v/>
      </c>
      <c r="BBE30" t="str">
        <f t="shared" si="25"/>
        <v/>
      </c>
      <c r="BBF30" t="str">
        <f t="shared" si="25"/>
        <v/>
      </c>
      <c r="BBG30" t="str">
        <f t="shared" si="25"/>
        <v/>
      </c>
      <c r="BBH30" t="str">
        <f t="shared" si="25"/>
        <v/>
      </c>
      <c r="BBI30" t="str">
        <f t="shared" si="25"/>
        <v/>
      </c>
      <c r="BBJ30" t="str">
        <f t="shared" si="25"/>
        <v/>
      </c>
      <c r="BBK30" t="str">
        <f t="shared" si="25"/>
        <v/>
      </c>
      <c r="BBL30" t="str">
        <f t="shared" si="25"/>
        <v/>
      </c>
      <c r="BBM30" t="str">
        <f t="shared" si="25"/>
        <v/>
      </c>
      <c r="BBN30" t="str">
        <f t="shared" si="25"/>
        <v/>
      </c>
      <c r="BBO30" t="str">
        <f t="shared" si="25"/>
        <v/>
      </c>
      <c r="BBP30" t="str">
        <f t="shared" si="25"/>
        <v/>
      </c>
      <c r="BBQ30" t="str">
        <f t="shared" si="25"/>
        <v/>
      </c>
      <c r="BBR30" t="str">
        <f t="shared" si="25"/>
        <v/>
      </c>
      <c r="BBS30" t="str">
        <f t="shared" si="25"/>
        <v/>
      </c>
      <c r="BBT30" t="str">
        <f t="shared" ref="BBT30:BEE30" si="26">TRIM(BCF11)</f>
        <v/>
      </c>
      <c r="BBU30" t="str">
        <f t="shared" si="26"/>
        <v/>
      </c>
      <c r="BBV30" t="str">
        <f t="shared" si="26"/>
        <v/>
      </c>
      <c r="BBW30" t="str">
        <f t="shared" si="26"/>
        <v/>
      </c>
      <c r="BBX30" t="str">
        <f t="shared" si="26"/>
        <v/>
      </c>
      <c r="BBY30" t="str">
        <f t="shared" si="26"/>
        <v/>
      </c>
      <c r="BBZ30" t="str">
        <f t="shared" si="26"/>
        <v/>
      </c>
      <c r="BCA30" t="str">
        <f t="shared" si="26"/>
        <v/>
      </c>
      <c r="BCB30" t="str">
        <f t="shared" si="26"/>
        <v/>
      </c>
      <c r="BCC30" t="str">
        <f t="shared" si="26"/>
        <v/>
      </c>
      <c r="BCD30" t="str">
        <f t="shared" si="26"/>
        <v/>
      </c>
      <c r="BCE30" t="str">
        <f t="shared" si="26"/>
        <v/>
      </c>
      <c r="BCF30" t="str">
        <f t="shared" si="26"/>
        <v/>
      </c>
      <c r="BCG30" t="str">
        <f t="shared" si="26"/>
        <v/>
      </c>
      <c r="BCH30" t="str">
        <f t="shared" si="26"/>
        <v/>
      </c>
      <c r="BCI30" t="str">
        <f t="shared" si="26"/>
        <v/>
      </c>
      <c r="BCJ30" t="str">
        <f t="shared" si="26"/>
        <v/>
      </c>
      <c r="BCK30" t="str">
        <f t="shared" si="26"/>
        <v/>
      </c>
      <c r="BCL30" t="str">
        <f t="shared" si="26"/>
        <v/>
      </c>
      <c r="BCM30" t="str">
        <f t="shared" si="26"/>
        <v/>
      </c>
      <c r="BCN30" t="str">
        <f t="shared" si="26"/>
        <v/>
      </c>
      <c r="BCO30" t="str">
        <f t="shared" si="26"/>
        <v/>
      </c>
      <c r="BCP30" t="str">
        <f t="shared" si="26"/>
        <v/>
      </c>
      <c r="BCQ30" t="str">
        <f t="shared" si="26"/>
        <v/>
      </c>
      <c r="BCR30" t="str">
        <f t="shared" si="26"/>
        <v/>
      </c>
      <c r="BCS30" t="str">
        <f t="shared" si="26"/>
        <v/>
      </c>
      <c r="BCT30" t="str">
        <f t="shared" si="26"/>
        <v/>
      </c>
      <c r="BCU30" t="str">
        <f t="shared" si="26"/>
        <v/>
      </c>
      <c r="BCV30" t="str">
        <f t="shared" si="26"/>
        <v/>
      </c>
      <c r="BCW30" t="str">
        <f t="shared" si="26"/>
        <v/>
      </c>
      <c r="BCX30" t="str">
        <f t="shared" si="26"/>
        <v/>
      </c>
      <c r="BCY30" t="str">
        <f t="shared" si="26"/>
        <v/>
      </c>
      <c r="BCZ30" t="str">
        <f t="shared" si="26"/>
        <v/>
      </c>
      <c r="BDA30" t="str">
        <f t="shared" si="26"/>
        <v/>
      </c>
      <c r="BDB30" t="str">
        <f t="shared" si="26"/>
        <v/>
      </c>
      <c r="BDC30" t="str">
        <f t="shared" si="26"/>
        <v/>
      </c>
      <c r="BDD30" t="str">
        <f t="shared" si="26"/>
        <v/>
      </c>
      <c r="BDE30" t="str">
        <f t="shared" si="26"/>
        <v/>
      </c>
      <c r="BDF30" t="str">
        <f t="shared" si="26"/>
        <v/>
      </c>
      <c r="BDG30" t="str">
        <f t="shared" si="26"/>
        <v/>
      </c>
      <c r="BDH30" t="str">
        <f t="shared" si="26"/>
        <v/>
      </c>
      <c r="BDI30" t="str">
        <f t="shared" si="26"/>
        <v/>
      </c>
      <c r="BDJ30" t="str">
        <f t="shared" si="26"/>
        <v/>
      </c>
      <c r="BDK30" t="str">
        <f t="shared" si="26"/>
        <v/>
      </c>
      <c r="BDL30" t="str">
        <f t="shared" si="26"/>
        <v/>
      </c>
      <c r="BDM30" t="str">
        <f t="shared" si="26"/>
        <v/>
      </c>
      <c r="BDN30" t="str">
        <f t="shared" si="26"/>
        <v/>
      </c>
      <c r="BDO30" t="str">
        <f t="shared" si="26"/>
        <v/>
      </c>
      <c r="BDP30" t="str">
        <f t="shared" si="26"/>
        <v/>
      </c>
      <c r="BDQ30" t="str">
        <f t="shared" si="26"/>
        <v/>
      </c>
      <c r="BDR30" t="str">
        <f t="shared" si="26"/>
        <v/>
      </c>
      <c r="BDS30" t="str">
        <f t="shared" si="26"/>
        <v/>
      </c>
      <c r="BDT30" t="str">
        <f t="shared" si="26"/>
        <v/>
      </c>
      <c r="BDU30" t="str">
        <f t="shared" si="26"/>
        <v/>
      </c>
      <c r="BDV30" t="str">
        <f t="shared" si="26"/>
        <v/>
      </c>
      <c r="BDW30" t="str">
        <f t="shared" si="26"/>
        <v/>
      </c>
      <c r="BDX30" t="str">
        <f t="shared" si="26"/>
        <v/>
      </c>
      <c r="BDY30" t="str">
        <f t="shared" si="26"/>
        <v/>
      </c>
      <c r="BDZ30" t="str">
        <f t="shared" si="26"/>
        <v/>
      </c>
      <c r="BEA30" t="str">
        <f t="shared" si="26"/>
        <v/>
      </c>
      <c r="BEB30" t="str">
        <f t="shared" si="26"/>
        <v/>
      </c>
      <c r="BEC30" t="str">
        <f t="shared" si="26"/>
        <v/>
      </c>
      <c r="BED30" t="str">
        <f t="shared" si="26"/>
        <v/>
      </c>
      <c r="BEE30" t="str">
        <f t="shared" si="26"/>
        <v/>
      </c>
      <c r="BEF30" t="str">
        <f t="shared" ref="BEF30:BGQ30" si="27">TRIM(BER11)</f>
        <v/>
      </c>
      <c r="BEG30" t="str">
        <f t="shared" si="27"/>
        <v/>
      </c>
      <c r="BEH30" t="str">
        <f t="shared" si="27"/>
        <v/>
      </c>
      <c r="BEI30" t="str">
        <f t="shared" si="27"/>
        <v/>
      </c>
      <c r="BEJ30" t="str">
        <f t="shared" si="27"/>
        <v/>
      </c>
      <c r="BEK30" t="str">
        <f t="shared" si="27"/>
        <v/>
      </c>
      <c r="BEL30" t="str">
        <f t="shared" si="27"/>
        <v/>
      </c>
      <c r="BEM30" t="str">
        <f t="shared" si="27"/>
        <v/>
      </c>
      <c r="BEN30" t="str">
        <f t="shared" si="27"/>
        <v/>
      </c>
      <c r="BEO30" t="str">
        <f t="shared" si="27"/>
        <v/>
      </c>
      <c r="BEP30" t="str">
        <f t="shared" si="27"/>
        <v/>
      </c>
      <c r="BEQ30" t="str">
        <f t="shared" si="27"/>
        <v/>
      </c>
      <c r="BER30" t="str">
        <f t="shared" si="27"/>
        <v/>
      </c>
      <c r="BES30" t="str">
        <f t="shared" si="27"/>
        <v/>
      </c>
      <c r="BET30" t="str">
        <f t="shared" si="27"/>
        <v/>
      </c>
      <c r="BEU30" t="str">
        <f t="shared" si="27"/>
        <v/>
      </c>
      <c r="BEV30" t="str">
        <f t="shared" si="27"/>
        <v/>
      </c>
      <c r="BEW30" t="str">
        <f t="shared" si="27"/>
        <v/>
      </c>
      <c r="BEX30" t="str">
        <f t="shared" si="27"/>
        <v/>
      </c>
      <c r="BEY30" t="str">
        <f t="shared" si="27"/>
        <v/>
      </c>
      <c r="BEZ30" t="str">
        <f t="shared" si="27"/>
        <v/>
      </c>
      <c r="BFA30" t="str">
        <f t="shared" si="27"/>
        <v/>
      </c>
      <c r="BFB30" t="str">
        <f t="shared" si="27"/>
        <v/>
      </c>
      <c r="BFC30" t="str">
        <f t="shared" si="27"/>
        <v/>
      </c>
      <c r="BFD30" t="str">
        <f t="shared" si="27"/>
        <v/>
      </c>
      <c r="BFE30" t="str">
        <f t="shared" si="27"/>
        <v/>
      </c>
      <c r="BFF30" t="str">
        <f t="shared" si="27"/>
        <v/>
      </c>
      <c r="BFG30" t="str">
        <f t="shared" si="27"/>
        <v/>
      </c>
      <c r="BFH30" t="str">
        <f t="shared" si="27"/>
        <v/>
      </c>
      <c r="BFI30" t="str">
        <f t="shared" si="27"/>
        <v/>
      </c>
      <c r="BFJ30" t="str">
        <f t="shared" si="27"/>
        <v/>
      </c>
      <c r="BFK30" t="str">
        <f t="shared" si="27"/>
        <v/>
      </c>
      <c r="BFL30" t="str">
        <f t="shared" si="27"/>
        <v/>
      </c>
      <c r="BFM30" t="str">
        <f t="shared" si="27"/>
        <v/>
      </c>
      <c r="BFN30" t="str">
        <f t="shared" si="27"/>
        <v/>
      </c>
      <c r="BFO30" t="str">
        <f t="shared" si="27"/>
        <v/>
      </c>
      <c r="BFP30" t="str">
        <f t="shared" si="27"/>
        <v/>
      </c>
      <c r="BFQ30" t="str">
        <f t="shared" si="27"/>
        <v/>
      </c>
      <c r="BFR30" t="str">
        <f t="shared" si="27"/>
        <v/>
      </c>
      <c r="BFS30" t="str">
        <f t="shared" si="27"/>
        <v/>
      </c>
      <c r="BFT30" t="str">
        <f t="shared" si="27"/>
        <v/>
      </c>
      <c r="BFU30" t="str">
        <f t="shared" si="27"/>
        <v/>
      </c>
      <c r="BFV30" t="str">
        <f t="shared" si="27"/>
        <v/>
      </c>
      <c r="BFW30" t="str">
        <f t="shared" si="27"/>
        <v/>
      </c>
      <c r="BFX30" t="str">
        <f t="shared" si="27"/>
        <v/>
      </c>
      <c r="BFY30" t="str">
        <f t="shared" si="27"/>
        <v/>
      </c>
      <c r="BFZ30" t="str">
        <f t="shared" si="27"/>
        <v/>
      </c>
      <c r="BGA30" t="str">
        <f t="shared" si="27"/>
        <v/>
      </c>
      <c r="BGB30" t="str">
        <f t="shared" si="27"/>
        <v/>
      </c>
      <c r="BGC30" t="str">
        <f t="shared" si="27"/>
        <v/>
      </c>
      <c r="BGD30" t="str">
        <f t="shared" si="27"/>
        <v/>
      </c>
      <c r="BGE30" t="str">
        <f t="shared" si="27"/>
        <v/>
      </c>
      <c r="BGF30" t="str">
        <f t="shared" si="27"/>
        <v/>
      </c>
      <c r="BGG30" t="str">
        <f t="shared" si="27"/>
        <v/>
      </c>
      <c r="BGH30" t="str">
        <f t="shared" si="27"/>
        <v/>
      </c>
      <c r="BGI30" t="str">
        <f t="shared" si="27"/>
        <v/>
      </c>
      <c r="BGJ30" t="str">
        <f t="shared" si="27"/>
        <v/>
      </c>
      <c r="BGK30" t="str">
        <f t="shared" si="27"/>
        <v/>
      </c>
      <c r="BGL30" t="str">
        <f t="shared" si="27"/>
        <v/>
      </c>
      <c r="BGM30" t="str">
        <f t="shared" si="27"/>
        <v/>
      </c>
      <c r="BGN30" t="str">
        <f t="shared" si="27"/>
        <v/>
      </c>
      <c r="BGO30" t="str">
        <f t="shared" si="27"/>
        <v/>
      </c>
      <c r="BGP30" t="str">
        <f t="shared" si="27"/>
        <v/>
      </c>
      <c r="BGQ30" t="str">
        <f t="shared" si="27"/>
        <v/>
      </c>
      <c r="BGR30" t="str">
        <f t="shared" ref="BGR30:BJC30" si="28">TRIM(BHD11)</f>
        <v/>
      </c>
      <c r="BGS30" t="str">
        <f t="shared" si="28"/>
        <v/>
      </c>
      <c r="BGT30" t="str">
        <f t="shared" si="28"/>
        <v/>
      </c>
      <c r="BGU30" t="str">
        <f t="shared" si="28"/>
        <v/>
      </c>
      <c r="BGV30" t="str">
        <f t="shared" si="28"/>
        <v/>
      </c>
      <c r="BGW30" t="str">
        <f t="shared" si="28"/>
        <v/>
      </c>
      <c r="BGX30" t="str">
        <f t="shared" si="28"/>
        <v/>
      </c>
      <c r="BGY30" t="str">
        <f t="shared" si="28"/>
        <v/>
      </c>
      <c r="BGZ30" t="str">
        <f t="shared" si="28"/>
        <v/>
      </c>
      <c r="BHA30" t="str">
        <f t="shared" si="28"/>
        <v/>
      </c>
      <c r="BHB30" t="str">
        <f t="shared" si="28"/>
        <v/>
      </c>
      <c r="BHC30" t="str">
        <f t="shared" si="28"/>
        <v/>
      </c>
      <c r="BHD30" t="str">
        <f t="shared" si="28"/>
        <v/>
      </c>
      <c r="BHE30" t="str">
        <f t="shared" si="28"/>
        <v/>
      </c>
      <c r="BHF30" t="str">
        <f t="shared" si="28"/>
        <v/>
      </c>
      <c r="BHG30" t="str">
        <f t="shared" si="28"/>
        <v/>
      </c>
      <c r="BHH30" t="str">
        <f t="shared" si="28"/>
        <v/>
      </c>
      <c r="BHI30" t="str">
        <f t="shared" si="28"/>
        <v/>
      </c>
      <c r="BHJ30" t="str">
        <f t="shared" si="28"/>
        <v/>
      </c>
      <c r="BHK30" t="str">
        <f t="shared" si="28"/>
        <v/>
      </c>
      <c r="BHL30" t="str">
        <f t="shared" si="28"/>
        <v/>
      </c>
      <c r="BHM30" t="str">
        <f t="shared" si="28"/>
        <v/>
      </c>
      <c r="BHN30" t="str">
        <f t="shared" si="28"/>
        <v/>
      </c>
      <c r="BHO30" t="str">
        <f t="shared" si="28"/>
        <v/>
      </c>
      <c r="BHP30" t="str">
        <f t="shared" si="28"/>
        <v/>
      </c>
      <c r="BHQ30" t="str">
        <f t="shared" si="28"/>
        <v/>
      </c>
      <c r="BHR30" t="str">
        <f t="shared" si="28"/>
        <v/>
      </c>
      <c r="BHS30" t="str">
        <f t="shared" si="28"/>
        <v/>
      </c>
      <c r="BHT30" t="str">
        <f t="shared" si="28"/>
        <v/>
      </c>
      <c r="BHU30" t="str">
        <f t="shared" si="28"/>
        <v/>
      </c>
      <c r="BHV30" t="str">
        <f t="shared" si="28"/>
        <v/>
      </c>
      <c r="BHW30" t="str">
        <f t="shared" si="28"/>
        <v/>
      </c>
      <c r="BHX30" t="str">
        <f t="shared" si="28"/>
        <v/>
      </c>
      <c r="BHY30" t="str">
        <f t="shared" si="28"/>
        <v/>
      </c>
      <c r="BHZ30" t="str">
        <f t="shared" si="28"/>
        <v/>
      </c>
      <c r="BIA30" t="str">
        <f t="shared" si="28"/>
        <v/>
      </c>
      <c r="BIB30" t="str">
        <f t="shared" si="28"/>
        <v/>
      </c>
      <c r="BIC30" t="str">
        <f t="shared" si="28"/>
        <v/>
      </c>
      <c r="BID30" t="str">
        <f t="shared" si="28"/>
        <v/>
      </c>
      <c r="BIE30" t="str">
        <f t="shared" si="28"/>
        <v/>
      </c>
      <c r="BIF30" t="str">
        <f t="shared" si="28"/>
        <v/>
      </c>
      <c r="BIG30" t="str">
        <f t="shared" si="28"/>
        <v/>
      </c>
      <c r="BIH30" t="str">
        <f t="shared" si="28"/>
        <v/>
      </c>
      <c r="BII30" t="str">
        <f t="shared" si="28"/>
        <v/>
      </c>
      <c r="BIJ30" t="str">
        <f t="shared" si="28"/>
        <v/>
      </c>
      <c r="BIK30" t="str">
        <f t="shared" si="28"/>
        <v/>
      </c>
      <c r="BIL30" t="str">
        <f t="shared" si="28"/>
        <v/>
      </c>
      <c r="BIM30" t="str">
        <f t="shared" si="28"/>
        <v/>
      </c>
      <c r="BIN30" t="str">
        <f t="shared" si="28"/>
        <v/>
      </c>
      <c r="BIO30" t="str">
        <f t="shared" si="28"/>
        <v/>
      </c>
      <c r="BIP30" t="str">
        <f t="shared" si="28"/>
        <v/>
      </c>
      <c r="BIQ30" t="str">
        <f t="shared" si="28"/>
        <v/>
      </c>
      <c r="BIR30" t="str">
        <f t="shared" si="28"/>
        <v/>
      </c>
      <c r="BIS30" t="str">
        <f t="shared" si="28"/>
        <v/>
      </c>
      <c r="BIT30" t="str">
        <f t="shared" si="28"/>
        <v/>
      </c>
      <c r="BIU30" t="str">
        <f t="shared" si="28"/>
        <v/>
      </c>
      <c r="BIV30" t="str">
        <f t="shared" si="28"/>
        <v/>
      </c>
      <c r="BIW30" t="str">
        <f t="shared" si="28"/>
        <v/>
      </c>
      <c r="BIX30" t="str">
        <f t="shared" si="28"/>
        <v/>
      </c>
      <c r="BIY30" t="str">
        <f t="shared" si="28"/>
        <v/>
      </c>
      <c r="BIZ30" t="str">
        <f t="shared" si="28"/>
        <v/>
      </c>
      <c r="BJA30" t="str">
        <f t="shared" si="28"/>
        <v/>
      </c>
      <c r="BJB30" t="str">
        <f t="shared" si="28"/>
        <v/>
      </c>
      <c r="BJC30" t="str">
        <f t="shared" si="28"/>
        <v/>
      </c>
      <c r="BJD30" t="str">
        <f t="shared" ref="BJD30:BLO30" si="29">TRIM(BJP11)</f>
        <v/>
      </c>
      <c r="BJE30" t="str">
        <f t="shared" si="29"/>
        <v/>
      </c>
      <c r="BJF30" t="str">
        <f t="shared" si="29"/>
        <v/>
      </c>
      <c r="BJG30" t="str">
        <f t="shared" si="29"/>
        <v/>
      </c>
      <c r="BJH30" t="str">
        <f t="shared" si="29"/>
        <v/>
      </c>
      <c r="BJI30" t="str">
        <f t="shared" si="29"/>
        <v/>
      </c>
      <c r="BJJ30" t="str">
        <f t="shared" si="29"/>
        <v/>
      </c>
      <c r="BJK30" t="str">
        <f t="shared" si="29"/>
        <v/>
      </c>
      <c r="BJL30" t="str">
        <f t="shared" si="29"/>
        <v/>
      </c>
      <c r="BJM30" t="str">
        <f t="shared" si="29"/>
        <v/>
      </c>
      <c r="BJN30" t="str">
        <f t="shared" si="29"/>
        <v/>
      </c>
      <c r="BJO30" t="str">
        <f t="shared" si="29"/>
        <v/>
      </c>
      <c r="BJP30" t="str">
        <f t="shared" si="29"/>
        <v/>
      </c>
      <c r="BJQ30" t="str">
        <f t="shared" si="29"/>
        <v/>
      </c>
      <c r="BJR30" t="str">
        <f t="shared" si="29"/>
        <v/>
      </c>
      <c r="BJS30" t="str">
        <f t="shared" si="29"/>
        <v/>
      </c>
      <c r="BJT30" t="str">
        <f t="shared" si="29"/>
        <v/>
      </c>
      <c r="BJU30" t="str">
        <f t="shared" si="29"/>
        <v/>
      </c>
      <c r="BJV30" t="str">
        <f t="shared" si="29"/>
        <v/>
      </c>
      <c r="BJW30" t="str">
        <f t="shared" si="29"/>
        <v/>
      </c>
      <c r="BJX30" t="str">
        <f t="shared" si="29"/>
        <v/>
      </c>
      <c r="BJY30" t="str">
        <f t="shared" si="29"/>
        <v/>
      </c>
      <c r="BJZ30" t="str">
        <f t="shared" si="29"/>
        <v/>
      </c>
      <c r="BKA30" t="str">
        <f t="shared" si="29"/>
        <v/>
      </c>
      <c r="BKB30" t="str">
        <f t="shared" si="29"/>
        <v/>
      </c>
      <c r="BKC30" t="str">
        <f t="shared" si="29"/>
        <v/>
      </c>
      <c r="BKD30" t="str">
        <f t="shared" si="29"/>
        <v/>
      </c>
      <c r="BKE30" t="str">
        <f t="shared" si="29"/>
        <v/>
      </c>
      <c r="BKF30" t="str">
        <f t="shared" si="29"/>
        <v/>
      </c>
      <c r="BKG30" t="str">
        <f t="shared" si="29"/>
        <v/>
      </c>
      <c r="BKH30" t="str">
        <f t="shared" si="29"/>
        <v/>
      </c>
      <c r="BKI30" t="str">
        <f t="shared" si="29"/>
        <v/>
      </c>
      <c r="BKJ30" t="str">
        <f t="shared" si="29"/>
        <v/>
      </c>
      <c r="BKK30" t="str">
        <f t="shared" si="29"/>
        <v/>
      </c>
      <c r="BKL30" t="str">
        <f t="shared" si="29"/>
        <v/>
      </c>
      <c r="BKM30" t="str">
        <f t="shared" si="29"/>
        <v/>
      </c>
      <c r="BKN30" t="str">
        <f t="shared" si="29"/>
        <v/>
      </c>
      <c r="BKO30" t="str">
        <f t="shared" si="29"/>
        <v/>
      </c>
      <c r="BKP30" t="str">
        <f t="shared" si="29"/>
        <v/>
      </c>
      <c r="BKQ30" t="str">
        <f t="shared" si="29"/>
        <v/>
      </c>
      <c r="BKR30" t="str">
        <f t="shared" si="29"/>
        <v/>
      </c>
      <c r="BKS30" t="str">
        <f t="shared" si="29"/>
        <v/>
      </c>
      <c r="BKT30" t="str">
        <f t="shared" si="29"/>
        <v/>
      </c>
      <c r="BKU30" t="str">
        <f t="shared" si="29"/>
        <v/>
      </c>
      <c r="BKV30" t="str">
        <f t="shared" si="29"/>
        <v/>
      </c>
      <c r="BKW30" t="str">
        <f t="shared" si="29"/>
        <v/>
      </c>
      <c r="BKX30" t="str">
        <f t="shared" si="29"/>
        <v/>
      </c>
      <c r="BKY30" t="str">
        <f t="shared" si="29"/>
        <v/>
      </c>
      <c r="BKZ30" t="str">
        <f t="shared" si="29"/>
        <v/>
      </c>
      <c r="BLA30" t="str">
        <f t="shared" si="29"/>
        <v/>
      </c>
      <c r="BLB30" t="str">
        <f t="shared" si="29"/>
        <v/>
      </c>
      <c r="BLC30" t="str">
        <f t="shared" si="29"/>
        <v/>
      </c>
      <c r="BLD30" t="str">
        <f t="shared" si="29"/>
        <v/>
      </c>
      <c r="BLE30" t="str">
        <f t="shared" si="29"/>
        <v/>
      </c>
      <c r="BLF30" t="str">
        <f t="shared" si="29"/>
        <v/>
      </c>
      <c r="BLG30" t="str">
        <f t="shared" si="29"/>
        <v/>
      </c>
      <c r="BLH30" t="str">
        <f t="shared" si="29"/>
        <v/>
      </c>
      <c r="BLI30" t="str">
        <f t="shared" si="29"/>
        <v/>
      </c>
      <c r="BLJ30" t="str">
        <f t="shared" si="29"/>
        <v/>
      </c>
      <c r="BLK30" t="str">
        <f t="shared" si="29"/>
        <v/>
      </c>
      <c r="BLL30" t="str">
        <f t="shared" si="29"/>
        <v/>
      </c>
      <c r="BLM30" t="str">
        <f t="shared" si="29"/>
        <v/>
      </c>
      <c r="BLN30" t="str">
        <f t="shared" si="29"/>
        <v/>
      </c>
      <c r="BLO30" t="str">
        <f t="shared" si="29"/>
        <v/>
      </c>
      <c r="BLP30" t="str">
        <f t="shared" ref="BLP30:BOA30" si="30">TRIM(BMB11)</f>
        <v/>
      </c>
      <c r="BLQ30" t="str">
        <f t="shared" si="30"/>
        <v/>
      </c>
      <c r="BLR30" t="str">
        <f t="shared" si="30"/>
        <v/>
      </c>
      <c r="BLS30" t="str">
        <f t="shared" si="30"/>
        <v/>
      </c>
      <c r="BLT30" t="str">
        <f t="shared" si="30"/>
        <v/>
      </c>
      <c r="BLU30" t="str">
        <f t="shared" si="30"/>
        <v/>
      </c>
      <c r="BLV30" t="str">
        <f t="shared" si="30"/>
        <v/>
      </c>
      <c r="BLW30" t="str">
        <f t="shared" si="30"/>
        <v/>
      </c>
      <c r="BLX30" t="str">
        <f t="shared" si="30"/>
        <v/>
      </c>
      <c r="BLY30" t="str">
        <f t="shared" si="30"/>
        <v/>
      </c>
      <c r="BLZ30" t="str">
        <f t="shared" si="30"/>
        <v/>
      </c>
      <c r="BMA30" t="str">
        <f t="shared" si="30"/>
        <v/>
      </c>
      <c r="BMB30" t="str">
        <f t="shared" si="30"/>
        <v/>
      </c>
      <c r="BMC30" t="str">
        <f t="shared" si="30"/>
        <v/>
      </c>
      <c r="BMD30" t="str">
        <f t="shared" si="30"/>
        <v/>
      </c>
      <c r="BME30" t="str">
        <f t="shared" si="30"/>
        <v/>
      </c>
      <c r="BMF30" t="str">
        <f t="shared" si="30"/>
        <v/>
      </c>
      <c r="BMG30" t="str">
        <f t="shared" si="30"/>
        <v/>
      </c>
      <c r="BMH30" t="str">
        <f t="shared" si="30"/>
        <v/>
      </c>
      <c r="BMI30" t="str">
        <f t="shared" si="30"/>
        <v/>
      </c>
      <c r="BMJ30" t="str">
        <f t="shared" si="30"/>
        <v/>
      </c>
      <c r="BMK30" t="str">
        <f t="shared" si="30"/>
        <v/>
      </c>
      <c r="BML30" t="str">
        <f t="shared" si="30"/>
        <v/>
      </c>
      <c r="BMM30" t="str">
        <f t="shared" si="30"/>
        <v/>
      </c>
      <c r="BMN30" t="str">
        <f t="shared" si="30"/>
        <v/>
      </c>
      <c r="BMO30" t="str">
        <f t="shared" si="30"/>
        <v/>
      </c>
      <c r="BMP30" t="str">
        <f t="shared" si="30"/>
        <v/>
      </c>
      <c r="BMQ30" t="str">
        <f t="shared" si="30"/>
        <v/>
      </c>
      <c r="BMR30" t="str">
        <f t="shared" si="30"/>
        <v/>
      </c>
      <c r="BMS30" t="str">
        <f t="shared" si="30"/>
        <v/>
      </c>
      <c r="BMT30" t="str">
        <f t="shared" si="30"/>
        <v/>
      </c>
      <c r="BMU30" t="str">
        <f t="shared" si="30"/>
        <v/>
      </c>
      <c r="BMV30" t="str">
        <f t="shared" si="30"/>
        <v/>
      </c>
      <c r="BMW30" t="str">
        <f t="shared" si="30"/>
        <v/>
      </c>
      <c r="BMX30" t="str">
        <f t="shared" si="30"/>
        <v/>
      </c>
      <c r="BMY30" t="str">
        <f t="shared" si="30"/>
        <v/>
      </c>
      <c r="BMZ30" t="str">
        <f t="shared" si="30"/>
        <v/>
      </c>
      <c r="BNA30" t="str">
        <f t="shared" si="30"/>
        <v/>
      </c>
      <c r="BNB30" t="str">
        <f t="shared" si="30"/>
        <v/>
      </c>
      <c r="BNC30" t="str">
        <f t="shared" si="30"/>
        <v/>
      </c>
      <c r="BND30" t="str">
        <f t="shared" si="30"/>
        <v/>
      </c>
      <c r="BNE30" t="str">
        <f t="shared" si="30"/>
        <v/>
      </c>
      <c r="BNF30" t="str">
        <f t="shared" si="30"/>
        <v/>
      </c>
      <c r="BNG30" t="str">
        <f t="shared" si="30"/>
        <v/>
      </c>
      <c r="BNH30" t="str">
        <f t="shared" si="30"/>
        <v/>
      </c>
      <c r="BNI30" t="str">
        <f t="shared" si="30"/>
        <v/>
      </c>
      <c r="BNJ30" t="str">
        <f t="shared" si="30"/>
        <v/>
      </c>
      <c r="BNK30" t="str">
        <f t="shared" si="30"/>
        <v/>
      </c>
      <c r="BNL30" t="str">
        <f t="shared" si="30"/>
        <v/>
      </c>
      <c r="BNM30" t="str">
        <f t="shared" si="30"/>
        <v/>
      </c>
      <c r="BNN30" t="str">
        <f t="shared" si="30"/>
        <v/>
      </c>
      <c r="BNO30" t="str">
        <f t="shared" si="30"/>
        <v/>
      </c>
      <c r="BNP30" t="str">
        <f t="shared" si="30"/>
        <v/>
      </c>
      <c r="BNQ30" t="str">
        <f t="shared" si="30"/>
        <v/>
      </c>
      <c r="BNR30" t="str">
        <f t="shared" si="30"/>
        <v/>
      </c>
      <c r="BNS30" t="str">
        <f t="shared" si="30"/>
        <v/>
      </c>
      <c r="BNT30" t="str">
        <f t="shared" si="30"/>
        <v/>
      </c>
      <c r="BNU30" t="str">
        <f t="shared" si="30"/>
        <v/>
      </c>
      <c r="BNV30" t="str">
        <f t="shared" si="30"/>
        <v/>
      </c>
      <c r="BNW30" t="str">
        <f t="shared" si="30"/>
        <v/>
      </c>
      <c r="BNX30" t="str">
        <f t="shared" si="30"/>
        <v/>
      </c>
      <c r="BNY30" t="str">
        <f t="shared" si="30"/>
        <v/>
      </c>
      <c r="BNZ30" t="str">
        <f t="shared" si="30"/>
        <v/>
      </c>
      <c r="BOA30" t="str">
        <f t="shared" si="30"/>
        <v/>
      </c>
      <c r="BOB30" t="str">
        <f t="shared" ref="BOB30:BQM30" si="31">TRIM(BON11)</f>
        <v/>
      </c>
      <c r="BOC30" t="str">
        <f t="shared" si="31"/>
        <v/>
      </c>
      <c r="BOD30" t="str">
        <f t="shared" si="31"/>
        <v/>
      </c>
      <c r="BOE30" t="str">
        <f t="shared" si="31"/>
        <v/>
      </c>
      <c r="BOF30" t="str">
        <f t="shared" si="31"/>
        <v/>
      </c>
      <c r="BOG30" t="str">
        <f t="shared" si="31"/>
        <v/>
      </c>
      <c r="BOH30" t="str">
        <f t="shared" si="31"/>
        <v/>
      </c>
      <c r="BOI30" t="str">
        <f t="shared" si="31"/>
        <v/>
      </c>
      <c r="BOJ30" t="str">
        <f t="shared" si="31"/>
        <v/>
      </c>
      <c r="BOK30" t="str">
        <f t="shared" si="31"/>
        <v/>
      </c>
      <c r="BOL30" t="str">
        <f t="shared" si="31"/>
        <v/>
      </c>
      <c r="BOM30" t="str">
        <f t="shared" si="31"/>
        <v/>
      </c>
      <c r="BON30" t="str">
        <f t="shared" si="31"/>
        <v/>
      </c>
      <c r="BOO30" t="str">
        <f t="shared" si="31"/>
        <v/>
      </c>
      <c r="BOP30" t="str">
        <f t="shared" si="31"/>
        <v/>
      </c>
      <c r="BOQ30" t="str">
        <f t="shared" si="31"/>
        <v/>
      </c>
      <c r="BOR30" t="str">
        <f t="shared" si="31"/>
        <v/>
      </c>
      <c r="BOS30" t="str">
        <f t="shared" si="31"/>
        <v/>
      </c>
      <c r="BOT30" t="str">
        <f t="shared" si="31"/>
        <v/>
      </c>
      <c r="BOU30" t="str">
        <f t="shared" si="31"/>
        <v/>
      </c>
      <c r="BOV30" t="str">
        <f t="shared" si="31"/>
        <v/>
      </c>
      <c r="BOW30" t="str">
        <f t="shared" si="31"/>
        <v/>
      </c>
      <c r="BOX30" t="str">
        <f t="shared" si="31"/>
        <v/>
      </c>
      <c r="BOY30" t="str">
        <f t="shared" si="31"/>
        <v/>
      </c>
      <c r="BOZ30" t="str">
        <f t="shared" si="31"/>
        <v/>
      </c>
      <c r="BPA30" t="str">
        <f t="shared" si="31"/>
        <v/>
      </c>
      <c r="BPB30" t="str">
        <f t="shared" si="31"/>
        <v/>
      </c>
      <c r="BPC30" t="str">
        <f t="shared" si="31"/>
        <v/>
      </c>
      <c r="BPD30" t="str">
        <f t="shared" si="31"/>
        <v/>
      </c>
      <c r="BPE30" t="str">
        <f t="shared" si="31"/>
        <v/>
      </c>
      <c r="BPF30" t="str">
        <f t="shared" si="31"/>
        <v/>
      </c>
      <c r="BPG30" t="str">
        <f t="shared" si="31"/>
        <v/>
      </c>
      <c r="BPH30" t="str">
        <f t="shared" si="31"/>
        <v/>
      </c>
      <c r="BPI30" t="str">
        <f t="shared" si="31"/>
        <v/>
      </c>
      <c r="BPJ30" t="str">
        <f t="shared" si="31"/>
        <v/>
      </c>
      <c r="BPK30" t="str">
        <f t="shared" si="31"/>
        <v/>
      </c>
      <c r="BPL30" t="str">
        <f t="shared" si="31"/>
        <v/>
      </c>
      <c r="BPM30" t="str">
        <f t="shared" si="31"/>
        <v/>
      </c>
      <c r="BPN30" t="str">
        <f t="shared" si="31"/>
        <v/>
      </c>
      <c r="BPO30" t="str">
        <f t="shared" si="31"/>
        <v/>
      </c>
      <c r="BPP30" t="str">
        <f t="shared" si="31"/>
        <v/>
      </c>
      <c r="BPQ30" t="str">
        <f t="shared" si="31"/>
        <v/>
      </c>
      <c r="BPR30" t="str">
        <f t="shared" si="31"/>
        <v/>
      </c>
      <c r="BPS30" t="str">
        <f t="shared" si="31"/>
        <v/>
      </c>
      <c r="BPT30" t="str">
        <f t="shared" si="31"/>
        <v/>
      </c>
      <c r="BPU30" t="str">
        <f t="shared" si="31"/>
        <v/>
      </c>
      <c r="BPV30" t="str">
        <f t="shared" si="31"/>
        <v/>
      </c>
      <c r="BPW30" t="str">
        <f t="shared" si="31"/>
        <v/>
      </c>
      <c r="BPX30" t="str">
        <f t="shared" si="31"/>
        <v/>
      </c>
      <c r="BPY30" t="str">
        <f t="shared" si="31"/>
        <v/>
      </c>
      <c r="BPZ30" t="str">
        <f t="shared" si="31"/>
        <v/>
      </c>
      <c r="BQA30" t="str">
        <f t="shared" si="31"/>
        <v/>
      </c>
      <c r="BQB30" t="str">
        <f t="shared" si="31"/>
        <v/>
      </c>
      <c r="BQC30" t="str">
        <f t="shared" si="31"/>
        <v/>
      </c>
      <c r="BQD30" t="str">
        <f t="shared" si="31"/>
        <v/>
      </c>
      <c r="BQE30" t="str">
        <f t="shared" si="31"/>
        <v/>
      </c>
      <c r="BQF30" t="str">
        <f t="shared" si="31"/>
        <v/>
      </c>
      <c r="BQG30" t="str">
        <f t="shared" si="31"/>
        <v/>
      </c>
      <c r="BQH30" t="str">
        <f t="shared" si="31"/>
        <v/>
      </c>
      <c r="BQI30" t="str">
        <f t="shared" si="31"/>
        <v/>
      </c>
      <c r="BQJ30" t="str">
        <f t="shared" si="31"/>
        <v/>
      </c>
      <c r="BQK30" t="str">
        <f t="shared" si="31"/>
        <v/>
      </c>
      <c r="BQL30" t="str">
        <f t="shared" si="31"/>
        <v/>
      </c>
      <c r="BQM30" t="str">
        <f t="shared" si="31"/>
        <v/>
      </c>
      <c r="BQN30" t="str">
        <f t="shared" ref="BQN30:BSY30" si="32">TRIM(BQZ11)</f>
        <v/>
      </c>
      <c r="BQO30" t="str">
        <f t="shared" si="32"/>
        <v/>
      </c>
      <c r="BQP30" t="str">
        <f t="shared" si="32"/>
        <v/>
      </c>
      <c r="BQQ30" t="str">
        <f t="shared" si="32"/>
        <v/>
      </c>
      <c r="BQR30" t="str">
        <f t="shared" si="32"/>
        <v/>
      </c>
      <c r="BQS30" t="str">
        <f t="shared" si="32"/>
        <v/>
      </c>
      <c r="BQT30" t="str">
        <f t="shared" si="32"/>
        <v/>
      </c>
      <c r="BQU30" t="str">
        <f t="shared" si="32"/>
        <v/>
      </c>
      <c r="BQV30" t="str">
        <f t="shared" si="32"/>
        <v/>
      </c>
      <c r="BQW30" t="str">
        <f t="shared" si="32"/>
        <v/>
      </c>
      <c r="BQX30" t="str">
        <f t="shared" si="32"/>
        <v/>
      </c>
      <c r="BQY30" t="str">
        <f t="shared" si="32"/>
        <v/>
      </c>
      <c r="BQZ30" t="str">
        <f t="shared" si="32"/>
        <v/>
      </c>
      <c r="BRA30" t="str">
        <f t="shared" si="32"/>
        <v/>
      </c>
      <c r="BRB30" t="str">
        <f t="shared" si="32"/>
        <v/>
      </c>
      <c r="BRC30" t="str">
        <f t="shared" si="32"/>
        <v/>
      </c>
      <c r="BRD30" t="str">
        <f t="shared" si="32"/>
        <v/>
      </c>
      <c r="BRE30" t="str">
        <f t="shared" si="32"/>
        <v/>
      </c>
      <c r="BRF30" t="str">
        <f t="shared" si="32"/>
        <v/>
      </c>
      <c r="BRG30" t="str">
        <f t="shared" si="32"/>
        <v/>
      </c>
      <c r="BRH30" t="str">
        <f t="shared" si="32"/>
        <v/>
      </c>
      <c r="BRI30" t="str">
        <f t="shared" si="32"/>
        <v/>
      </c>
      <c r="BRJ30" t="str">
        <f t="shared" si="32"/>
        <v/>
      </c>
      <c r="BRK30" t="str">
        <f t="shared" si="32"/>
        <v/>
      </c>
      <c r="BRL30" t="str">
        <f t="shared" si="32"/>
        <v/>
      </c>
      <c r="BRM30" t="str">
        <f t="shared" si="32"/>
        <v/>
      </c>
      <c r="BRN30" t="str">
        <f t="shared" si="32"/>
        <v/>
      </c>
      <c r="BRO30" t="str">
        <f t="shared" si="32"/>
        <v/>
      </c>
      <c r="BRP30" t="str">
        <f t="shared" si="32"/>
        <v/>
      </c>
      <c r="BRQ30" t="str">
        <f t="shared" si="32"/>
        <v/>
      </c>
      <c r="BRR30" t="str">
        <f t="shared" si="32"/>
        <v/>
      </c>
      <c r="BRS30" t="str">
        <f t="shared" si="32"/>
        <v/>
      </c>
      <c r="BRT30" t="str">
        <f t="shared" si="32"/>
        <v/>
      </c>
      <c r="BRU30" t="str">
        <f t="shared" si="32"/>
        <v/>
      </c>
      <c r="BRV30" t="str">
        <f t="shared" si="32"/>
        <v/>
      </c>
      <c r="BRW30" t="str">
        <f t="shared" si="32"/>
        <v/>
      </c>
      <c r="BRX30" t="str">
        <f t="shared" si="32"/>
        <v/>
      </c>
      <c r="BRY30" t="str">
        <f t="shared" si="32"/>
        <v/>
      </c>
      <c r="BRZ30" t="str">
        <f t="shared" si="32"/>
        <v/>
      </c>
      <c r="BSA30" t="str">
        <f t="shared" si="32"/>
        <v/>
      </c>
      <c r="BSB30" t="str">
        <f t="shared" si="32"/>
        <v/>
      </c>
      <c r="BSC30" t="str">
        <f t="shared" si="32"/>
        <v/>
      </c>
      <c r="BSD30" t="str">
        <f t="shared" si="32"/>
        <v/>
      </c>
      <c r="BSE30" t="str">
        <f t="shared" si="32"/>
        <v/>
      </c>
      <c r="BSF30" t="str">
        <f t="shared" si="32"/>
        <v/>
      </c>
      <c r="BSG30" t="str">
        <f t="shared" si="32"/>
        <v/>
      </c>
      <c r="BSH30" t="str">
        <f t="shared" si="32"/>
        <v/>
      </c>
      <c r="BSI30" t="str">
        <f t="shared" si="32"/>
        <v/>
      </c>
      <c r="BSJ30" t="str">
        <f t="shared" si="32"/>
        <v/>
      </c>
      <c r="BSK30" t="str">
        <f t="shared" si="32"/>
        <v/>
      </c>
      <c r="BSL30" t="str">
        <f t="shared" si="32"/>
        <v/>
      </c>
      <c r="BSM30" t="str">
        <f t="shared" si="32"/>
        <v/>
      </c>
      <c r="BSN30" t="str">
        <f t="shared" si="32"/>
        <v/>
      </c>
      <c r="BSO30" t="str">
        <f t="shared" si="32"/>
        <v/>
      </c>
      <c r="BSP30" t="str">
        <f t="shared" si="32"/>
        <v/>
      </c>
      <c r="BSQ30" t="str">
        <f t="shared" si="32"/>
        <v/>
      </c>
      <c r="BSR30" t="str">
        <f t="shared" si="32"/>
        <v/>
      </c>
      <c r="BSS30" t="str">
        <f t="shared" si="32"/>
        <v/>
      </c>
      <c r="BST30" t="str">
        <f t="shared" si="32"/>
        <v/>
      </c>
      <c r="BSU30" t="str">
        <f t="shared" si="32"/>
        <v/>
      </c>
      <c r="BSV30" t="str">
        <f t="shared" si="32"/>
        <v/>
      </c>
      <c r="BSW30" t="str">
        <f t="shared" si="32"/>
        <v/>
      </c>
      <c r="BSX30" t="str">
        <f t="shared" si="32"/>
        <v/>
      </c>
      <c r="BSY30" t="str">
        <f t="shared" si="32"/>
        <v/>
      </c>
      <c r="BSZ30" t="str">
        <f t="shared" ref="BSZ30:BVK30" si="33">TRIM(BTL11)</f>
        <v/>
      </c>
      <c r="BTA30" t="str">
        <f t="shared" si="33"/>
        <v/>
      </c>
      <c r="BTB30" t="str">
        <f t="shared" si="33"/>
        <v/>
      </c>
      <c r="BTC30" t="str">
        <f t="shared" si="33"/>
        <v/>
      </c>
      <c r="BTD30" t="str">
        <f t="shared" si="33"/>
        <v/>
      </c>
      <c r="BTE30" t="str">
        <f t="shared" si="33"/>
        <v/>
      </c>
      <c r="BTF30" t="str">
        <f t="shared" si="33"/>
        <v/>
      </c>
      <c r="BTG30" t="str">
        <f t="shared" si="33"/>
        <v/>
      </c>
      <c r="BTH30" t="str">
        <f t="shared" si="33"/>
        <v/>
      </c>
      <c r="BTI30" t="str">
        <f t="shared" si="33"/>
        <v/>
      </c>
      <c r="BTJ30" t="str">
        <f t="shared" si="33"/>
        <v/>
      </c>
      <c r="BTK30" t="str">
        <f t="shared" si="33"/>
        <v/>
      </c>
      <c r="BTL30" t="str">
        <f t="shared" si="33"/>
        <v/>
      </c>
      <c r="BTM30" t="str">
        <f t="shared" si="33"/>
        <v/>
      </c>
      <c r="BTN30" t="str">
        <f t="shared" si="33"/>
        <v/>
      </c>
      <c r="BTO30" t="str">
        <f t="shared" si="33"/>
        <v/>
      </c>
      <c r="BTP30" t="str">
        <f t="shared" si="33"/>
        <v/>
      </c>
      <c r="BTQ30" t="str">
        <f t="shared" si="33"/>
        <v/>
      </c>
      <c r="BTR30" t="str">
        <f t="shared" si="33"/>
        <v/>
      </c>
      <c r="BTS30" t="str">
        <f t="shared" si="33"/>
        <v/>
      </c>
      <c r="BTT30" t="str">
        <f t="shared" si="33"/>
        <v/>
      </c>
      <c r="BTU30" t="str">
        <f t="shared" si="33"/>
        <v/>
      </c>
      <c r="BTV30" t="str">
        <f t="shared" si="33"/>
        <v/>
      </c>
      <c r="BTW30" t="str">
        <f t="shared" si="33"/>
        <v/>
      </c>
      <c r="BTX30" t="str">
        <f t="shared" si="33"/>
        <v/>
      </c>
      <c r="BTY30" t="str">
        <f t="shared" si="33"/>
        <v/>
      </c>
      <c r="BTZ30" t="str">
        <f t="shared" si="33"/>
        <v/>
      </c>
      <c r="BUA30" t="str">
        <f t="shared" si="33"/>
        <v/>
      </c>
      <c r="BUB30" t="str">
        <f t="shared" si="33"/>
        <v/>
      </c>
      <c r="BUC30" t="str">
        <f t="shared" si="33"/>
        <v/>
      </c>
      <c r="BUD30" t="str">
        <f t="shared" si="33"/>
        <v/>
      </c>
      <c r="BUE30" t="str">
        <f t="shared" si="33"/>
        <v/>
      </c>
      <c r="BUF30" t="str">
        <f t="shared" si="33"/>
        <v/>
      </c>
      <c r="BUG30" t="str">
        <f t="shared" si="33"/>
        <v/>
      </c>
      <c r="BUH30" t="str">
        <f t="shared" si="33"/>
        <v/>
      </c>
      <c r="BUI30" t="str">
        <f t="shared" si="33"/>
        <v/>
      </c>
      <c r="BUJ30" t="str">
        <f t="shared" si="33"/>
        <v/>
      </c>
      <c r="BUK30" t="str">
        <f t="shared" si="33"/>
        <v/>
      </c>
      <c r="BUL30" t="str">
        <f t="shared" si="33"/>
        <v/>
      </c>
      <c r="BUM30" t="str">
        <f t="shared" si="33"/>
        <v/>
      </c>
      <c r="BUN30" t="str">
        <f t="shared" si="33"/>
        <v/>
      </c>
      <c r="BUO30" t="str">
        <f t="shared" si="33"/>
        <v/>
      </c>
      <c r="BUP30" t="str">
        <f t="shared" si="33"/>
        <v/>
      </c>
      <c r="BUQ30" t="str">
        <f t="shared" si="33"/>
        <v/>
      </c>
      <c r="BUR30" t="str">
        <f t="shared" si="33"/>
        <v/>
      </c>
      <c r="BUS30" t="str">
        <f t="shared" si="33"/>
        <v/>
      </c>
      <c r="BUT30" t="str">
        <f t="shared" si="33"/>
        <v/>
      </c>
      <c r="BUU30" t="str">
        <f t="shared" si="33"/>
        <v/>
      </c>
      <c r="BUV30" t="str">
        <f t="shared" si="33"/>
        <v/>
      </c>
      <c r="BUW30" t="str">
        <f t="shared" si="33"/>
        <v/>
      </c>
      <c r="BUX30" t="str">
        <f t="shared" si="33"/>
        <v/>
      </c>
      <c r="BUY30" t="str">
        <f t="shared" si="33"/>
        <v/>
      </c>
      <c r="BUZ30" t="str">
        <f t="shared" si="33"/>
        <v/>
      </c>
      <c r="BVA30" t="str">
        <f t="shared" si="33"/>
        <v/>
      </c>
      <c r="BVB30" t="str">
        <f t="shared" si="33"/>
        <v/>
      </c>
      <c r="BVC30" t="str">
        <f t="shared" si="33"/>
        <v/>
      </c>
      <c r="BVD30" t="str">
        <f t="shared" si="33"/>
        <v/>
      </c>
      <c r="BVE30" t="str">
        <f t="shared" si="33"/>
        <v/>
      </c>
      <c r="BVF30" t="str">
        <f t="shared" si="33"/>
        <v/>
      </c>
      <c r="BVG30" t="str">
        <f t="shared" si="33"/>
        <v/>
      </c>
      <c r="BVH30" t="str">
        <f t="shared" si="33"/>
        <v/>
      </c>
      <c r="BVI30" t="str">
        <f t="shared" si="33"/>
        <v/>
      </c>
      <c r="BVJ30" t="str">
        <f t="shared" si="33"/>
        <v/>
      </c>
      <c r="BVK30" t="str">
        <f t="shared" si="33"/>
        <v/>
      </c>
      <c r="BVL30" t="str">
        <f t="shared" ref="BVL30:BXW30" si="34">TRIM(BVX11)</f>
        <v/>
      </c>
      <c r="BVM30" t="str">
        <f t="shared" si="34"/>
        <v/>
      </c>
      <c r="BVN30" t="str">
        <f t="shared" si="34"/>
        <v/>
      </c>
      <c r="BVO30" t="str">
        <f t="shared" si="34"/>
        <v/>
      </c>
      <c r="BVP30" t="str">
        <f t="shared" si="34"/>
        <v/>
      </c>
      <c r="BVQ30" t="str">
        <f t="shared" si="34"/>
        <v/>
      </c>
      <c r="BVR30" t="str">
        <f t="shared" si="34"/>
        <v/>
      </c>
      <c r="BVS30" t="str">
        <f t="shared" si="34"/>
        <v/>
      </c>
      <c r="BVT30" t="str">
        <f t="shared" si="34"/>
        <v/>
      </c>
      <c r="BVU30" t="str">
        <f t="shared" si="34"/>
        <v/>
      </c>
      <c r="BVV30" t="str">
        <f t="shared" si="34"/>
        <v/>
      </c>
      <c r="BVW30" t="str">
        <f t="shared" si="34"/>
        <v/>
      </c>
      <c r="BVX30" t="str">
        <f t="shared" si="34"/>
        <v/>
      </c>
      <c r="BVY30" t="str">
        <f t="shared" si="34"/>
        <v/>
      </c>
      <c r="BVZ30" t="str">
        <f t="shared" si="34"/>
        <v/>
      </c>
      <c r="BWA30" t="str">
        <f t="shared" si="34"/>
        <v/>
      </c>
      <c r="BWB30" t="str">
        <f t="shared" si="34"/>
        <v/>
      </c>
      <c r="BWC30" t="str">
        <f t="shared" si="34"/>
        <v/>
      </c>
      <c r="BWD30" t="str">
        <f t="shared" si="34"/>
        <v/>
      </c>
      <c r="BWE30" t="str">
        <f t="shared" si="34"/>
        <v/>
      </c>
      <c r="BWF30" t="str">
        <f t="shared" si="34"/>
        <v/>
      </c>
      <c r="BWG30" t="str">
        <f t="shared" si="34"/>
        <v/>
      </c>
      <c r="BWH30" t="str">
        <f t="shared" si="34"/>
        <v/>
      </c>
      <c r="BWI30" t="str">
        <f t="shared" si="34"/>
        <v/>
      </c>
      <c r="BWJ30" t="str">
        <f t="shared" si="34"/>
        <v/>
      </c>
      <c r="BWK30" t="str">
        <f t="shared" si="34"/>
        <v/>
      </c>
      <c r="BWL30" t="str">
        <f t="shared" si="34"/>
        <v/>
      </c>
      <c r="BWM30" t="str">
        <f t="shared" si="34"/>
        <v/>
      </c>
      <c r="BWN30" t="str">
        <f t="shared" si="34"/>
        <v/>
      </c>
      <c r="BWO30" t="str">
        <f t="shared" si="34"/>
        <v/>
      </c>
      <c r="BWP30" t="str">
        <f t="shared" si="34"/>
        <v/>
      </c>
      <c r="BWQ30" t="str">
        <f t="shared" si="34"/>
        <v/>
      </c>
      <c r="BWR30" t="str">
        <f t="shared" si="34"/>
        <v/>
      </c>
      <c r="BWS30" t="str">
        <f t="shared" si="34"/>
        <v/>
      </c>
      <c r="BWT30" t="str">
        <f t="shared" si="34"/>
        <v/>
      </c>
      <c r="BWU30" t="str">
        <f t="shared" si="34"/>
        <v/>
      </c>
      <c r="BWV30" t="str">
        <f t="shared" si="34"/>
        <v/>
      </c>
      <c r="BWW30" t="str">
        <f t="shared" si="34"/>
        <v/>
      </c>
      <c r="BWX30" t="str">
        <f t="shared" si="34"/>
        <v/>
      </c>
      <c r="BWY30" t="str">
        <f t="shared" si="34"/>
        <v/>
      </c>
      <c r="BWZ30" t="str">
        <f t="shared" si="34"/>
        <v/>
      </c>
      <c r="BXA30" t="str">
        <f t="shared" si="34"/>
        <v/>
      </c>
      <c r="BXB30" t="str">
        <f t="shared" si="34"/>
        <v/>
      </c>
      <c r="BXC30" t="str">
        <f t="shared" si="34"/>
        <v/>
      </c>
      <c r="BXD30" t="str">
        <f t="shared" si="34"/>
        <v/>
      </c>
      <c r="BXE30" t="str">
        <f t="shared" si="34"/>
        <v/>
      </c>
      <c r="BXF30" t="str">
        <f t="shared" si="34"/>
        <v/>
      </c>
      <c r="BXG30" t="str">
        <f t="shared" si="34"/>
        <v/>
      </c>
      <c r="BXH30" t="str">
        <f t="shared" si="34"/>
        <v/>
      </c>
      <c r="BXI30" t="str">
        <f t="shared" si="34"/>
        <v/>
      </c>
      <c r="BXJ30" t="str">
        <f t="shared" si="34"/>
        <v/>
      </c>
      <c r="BXK30" t="str">
        <f t="shared" si="34"/>
        <v/>
      </c>
      <c r="BXL30" t="str">
        <f t="shared" si="34"/>
        <v/>
      </c>
      <c r="BXM30" t="str">
        <f t="shared" si="34"/>
        <v/>
      </c>
      <c r="BXN30" t="str">
        <f t="shared" si="34"/>
        <v/>
      </c>
      <c r="BXO30" t="str">
        <f t="shared" si="34"/>
        <v/>
      </c>
      <c r="BXP30" t="str">
        <f t="shared" si="34"/>
        <v/>
      </c>
      <c r="BXQ30" t="str">
        <f t="shared" si="34"/>
        <v/>
      </c>
      <c r="BXR30" t="str">
        <f t="shared" si="34"/>
        <v/>
      </c>
      <c r="BXS30" t="str">
        <f t="shared" si="34"/>
        <v/>
      </c>
      <c r="BXT30" t="str">
        <f t="shared" si="34"/>
        <v/>
      </c>
      <c r="BXU30" t="str">
        <f t="shared" si="34"/>
        <v/>
      </c>
      <c r="BXV30" t="str">
        <f t="shared" si="34"/>
        <v/>
      </c>
      <c r="BXW30" t="str">
        <f t="shared" si="34"/>
        <v/>
      </c>
      <c r="BXX30" t="str">
        <f t="shared" ref="BXX30:CAI30" si="35">TRIM(BYJ11)</f>
        <v/>
      </c>
      <c r="BXY30" t="str">
        <f t="shared" si="35"/>
        <v/>
      </c>
      <c r="BXZ30" t="str">
        <f t="shared" si="35"/>
        <v/>
      </c>
      <c r="BYA30" t="str">
        <f t="shared" si="35"/>
        <v/>
      </c>
      <c r="BYB30" t="str">
        <f t="shared" si="35"/>
        <v/>
      </c>
      <c r="BYC30" t="str">
        <f t="shared" si="35"/>
        <v/>
      </c>
      <c r="BYD30" t="str">
        <f t="shared" si="35"/>
        <v/>
      </c>
      <c r="BYE30" t="str">
        <f t="shared" si="35"/>
        <v/>
      </c>
      <c r="BYF30" t="str">
        <f t="shared" si="35"/>
        <v/>
      </c>
      <c r="BYG30" t="str">
        <f t="shared" si="35"/>
        <v/>
      </c>
      <c r="BYH30" t="str">
        <f t="shared" si="35"/>
        <v/>
      </c>
      <c r="BYI30" t="str">
        <f t="shared" si="35"/>
        <v/>
      </c>
      <c r="BYJ30" t="str">
        <f t="shared" si="35"/>
        <v/>
      </c>
      <c r="BYK30" t="str">
        <f t="shared" si="35"/>
        <v/>
      </c>
      <c r="BYL30" t="str">
        <f t="shared" si="35"/>
        <v/>
      </c>
      <c r="BYM30" t="str">
        <f t="shared" si="35"/>
        <v/>
      </c>
      <c r="BYN30" t="str">
        <f t="shared" si="35"/>
        <v/>
      </c>
      <c r="BYO30" t="str">
        <f t="shared" si="35"/>
        <v/>
      </c>
      <c r="BYP30" t="str">
        <f t="shared" si="35"/>
        <v/>
      </c>
      <c r="BYQ30" t="str">
        <f t="shared" si="35"/>
        <v/>
      </c>
      <c r="BYR30" t="str">
        <f t="shared" si="35"/>
        <v/>
      </c>
      <c r="BYS30" t="str">
        <f t="shared" si="35"/>
        <v/>
      </c>
      <c r="BYT30" t="str">
        <f t="shared" si="35"/>
        <v/>
      </c>
      <c r="BYU30" t="str">
        <f t="shared" si="35"/>
        <v/>
      </c>
      <c r="BYV30" t="str">
        <f t="shared" si="35"/>
        <v/>
      </c>
      <c r="BYW30" t="str">
        <f t="shared" si="35"/>
        <v/>
      </c>
      <c r="BYX30" t="str">
        <f t="shared" si="35"/>
        <v/>
      </c>
      <c r="BYY30" t="str">
        <f t="shared" si="35"/>
        <v/>
      </c>
      <c r="BYZ30" t="str">
        <f t="shared" si="35"/>
        <v/>
      </c>
      <c r="BZA30" t="str">
        <f t="shared" si="35"/>
        <v/>
      </c>
      <c r="BZB30" t="str">
        <f t="shared" si="35"/>
        <v/>
      </c>
      <c r="BZC30" t="str">
        <f t="shared" si="35"/>
        <v/>
      </c>
      <c r="BZD30" t="str">
        <f t="shared" si="35"/>
        <v/>
      </c>
      <c r="BZE30" t="str">
        <f t="shared" si="35"/>
        <v/>
      </c>
      <c r="BZF30" t="str">
        <f t="shared" si="35"/>
        <v/>
      </c>
      <c r="BZG30" t="str">
        <f t="shared" si="35"/>
        <v/>
      </c>
      <c r="BZH30" t="str">
        <f t="shared" si="35"/>
        <v/>
      </c>
      <c r="BZI30" t="str">
        <f t="shared" si="35"/>
        <v/>
      </c>
      <c r="BZJ30" t="str">
        <f t="shared" si="35"/>
        <v/>
      </c>
      <c r="BZK30" t="str">
        <f t="shared" si="35"/>
        <v/>
      </c>
      <c r="BZL30" t="str">
        <f t="shared" si="35"/>
        <v/>
      </c>
      <c r="BZM30" t="str">
        <f t="shared" si="35"/>
        <v/>
      </c>
      <c r="BZN30" t="str">
        <f t="shared" si="35"/>
        <v/>
      </c>
      <c r="BZO30" t="str">
        <f t="shared" si="35"/>
        <v/>
      </c>
      <c r="BZP30" t="str">
        <f t="shared" si="35"/>
        <v/>
      </c>
      <c r="BZQ30" t="str">
        <f t="shared" si="35"/>
        <v/>
      </c>
      <c r="BZR30" t="str">
        <f t="shared" si="35"/>
        <v/>
      </c>
      <c r="BZS30" t="str">
        <f t="shared" si="35"/>
        <v/>
      </c>
      <c r="BZT30" t="str">
        <f t="shared" si="35"/>
        <v/>
      </c>
      <c r="BZU30" t="str">
        <f t="shared" si="35"/>
        <v/>
      </c>
      <c r="BZV30" t="str">
        <f t="shared" si="35"/>
        <v/>
      </c>
      <c r="BZW30" t="str">
        <f t="shared" si="35"/>
        <v/>
      </c>
      <c r="BZX30" t="str">
        <f t="shared" si="35"/>
        <v/>
      </c>
      <c r="BZY30" t="str">
        <f t="shared" si="35"/>
        <v/>
      </c>
      <c r="BZZ30" t="str">
        <f t="shared" si="35"/>
        <v/>
      </c>
      <c r="CAA30" t="str">
        <f t="shared" si="35"/>
        <v/>
      </c>
      <c r="CAB30" t="str">
        <f t="shared" si="35"/>
        <v/>
      </c>
      <c r="CAC30" t="str">
        <f t="shared" si="35"/>
        <v/>
      </c>
      <c r="CAD30" t="str">
        <f t="shared" si="35"/>
        <v/>
      </c>
      <c r="CAE30" t="str">
        <f t="shared" si="35"/>
        <v/>
      </c>
      <c r="CAF30" t="str">
        <f t="shared" si="35"/>
        <v/>
      </c>
      <c r="CAG30" t="str">
        <f t="shared" si="35"/>
        <v/>
      </c>
      <c r="CAH30" t="str">
        <f t="shared" si="35"/>
        <v/>
      </c>
      <c r="CAI30" t="str">
        <f t="shared" si="35"/>
        <v/>
      </c>
      <c r="CAJ30" t="str">
        <f t="shared" ref="CAJ30:CCU30" si="36">TRIM(CAV11)</f>
        <v/>
      </c>
      <c r="CAK30" t="str">
        <f t="shared" si="36"/>
        <v/>
      </c>
      <c r="CAL30" t="str">
        <f t="shared" si="36"/>
        <v/>
      </c>
      <c r="CAM30" t="str">
        <f t="shared" si="36"/>
        <v/>
      </c>
      <c r="CAN30" t="str">
        <f t="shared" si="36"/>
        <v/>
      </c>
      <c r="CAO30" t="str">
        <f t="shared" si="36"/>
        <v/>
      </c>
      <c r="CAP30" t="str">
        <f t="shared" si="36"/>
        <v/>
      </c>
      <c r="CAQ30" t="str">
        <f t="shared" si="36"/>
        <v/>
      </c>
      <c r="CAR30" t="str">
        <f t="shared" si="36"/>
        <v/>
      </c>
      <c r="CAS30" t="str">
        <f t="shared" si="36"/>
        <v/>
      </c>
      <c r="CAT30" t="str">
        <f t="shared" si="36"/>
        <v/>
      </c>
      <c r="CAU30" t="str">
        <f t="shared" si="36"/>
        <v/>
      </c>
      <c r="CAV30" t="str">
        <f t="shared" si="36"/>
        <v/>
      </c>
      <c r="CAW30" t="str">
        <f t="shared" si="36"/>
        <v/>
      </c>
      <c r="CAX30" t="str">
        <f t="shared" si="36"/>
        <v/>
      </c>
      <c r="CAY30" t="str">
        <f t="shared" si="36"/>
        <v/>
      </c>
      <c r="CAZ30" t="str">
        <f t="shared" si="36"/>
        <v/>
      </c>
      <c r="CBA30" t="str">
        <f t="shared" si="36"/>
        <v/>
      </c>
      <c r="CBB30" t="str">
        <f t="shared" si="36"/>
        <v/>
      </c>
      <c r="CBC30" t="str">
        <f t="shared" si="36"/>
        <v/>
      </c>
      <c r="CBD30" t="str">
        <f t="shared" si="36"/>
        <v/>
      </c>
      <c r="CBE30" t="str">
        <f t="shared" si="36"/>
        <v/>
      </c>
      <c r="CBF30" t="str">
        <f t="shared" si="36"/>
        <v/>
      </c>
      <c r="CBG30" t="str">
        <f t="shared" si="36"/>
        <v/>
      </c>
      <c r="CBH30" t="str">
        <f t="shared" si="36"/>
        <v/>
      </c>
      <c r="CBI30" t="str">
        <f t="shared" si="36"/>
        <v/>
      </c>
      <c r="CBJ30" t="str">
        <f t="shared" si="36"/>
        <v/>
      </c>
      <c r="CBK30" t="str">
        <f t="shared" si="36"/>
        <v/>
      </c>
      <c r="CBL30" t="str">
        <f t="shared" si="36"/>
        <v/>
      </c>
      <c r="CBM30" t="str">
        <f t="shared" si="36"/>
        <v/>
      </c>
      <c r="CBN30" t="str">
        <f t="shared" si="36"/>
        <v/>
      </c>
      <c r="CBO30" t="str">
        <f t="shared" si="36"/>
        <v/>
      </c>
      <c r="CBP30" t="str">
        <f t="shared" si="36"/>
        <v/>
      </c>
      <c r="CBQ30" t="str">
        <f t="shared" si="36"/>
        <v/>
      </c>
      <c r="CBR30" t="str">
        <f t="shared" si="36"/>
        <v/>
      </c>
      <c r="CBS30" t="str">
        <f t="shared" si="36"/>
        <v/>
      </c>
      <c r="CBT30" t="str">
        <f t="shared" si="36"/>
        <v/>
      </c>
      <c r="CBU30" t="str">
        <f t="shared" si="36"/>
        <v/>
      </c>
      <c r="CBV30" t="str">
        <f t="shared" si="36"/>
        <v/>
      </c>
      <c r="CBW30" t="str">
        <f t="shared" si="36"/>
        <v/>
      </c>
      <c r="CBX30" t="str">
        <f t="shared" si="36"/>
        <v/>
      </c>
      <c r="CBY30" t="str">
        <f t="shared" si="36"/>
        <v/>
      </c>
      <c r="CBZ30" t="str">
        <f t="shared" si="36"/>
        <v/>
      </c>
      <c r="CCA30" t="str">
        <f t="shared" si="36"/>
        <v/>
      </c>
      <c r="CCB30" t="str">
        <f t="shared" si="36"/>
        <v/>
      </c>
      <c r="CCC30" t="str">
        <f t="shared" si="36"/>
        <v/>
      </c>
      <c r="CCD30" t="str">
        <f t="shared" si="36"/>
        <v/>
      </c>
      <c r="CCE30" t="str">
        <f t="shared" si="36"/>
        <v/>
      </c>
      <c r="CCF30" t="str">
        <f t="shared" si="36"/>
        <v/>
      </c>
      <c r="CCG30" t="str">
        <f t="shared" si="36"/>
        <v/>
      </c>
      <c r="CCH30" t="str">
        <f t="shared" si="36"/>
        <v/>
      </c>
      <c r="CCI30" t="str">
        <f t="shared" si="36"/>
        <v/>
      </c>
      <c r="CCJ30" t="str">
        <f t="shared" si="36"/>
        <v/>
      </c>
      <c r="CCK30" t="str">
        <f t="shared" si="36"/>
        <v/>
      </c>
      <c r="CCL30" t="str">
        <f t="shared" si="36"/>
        <v/>
      </c>
      <c r="CCM30" t="str">
        <f t="shared" si="36"/>
        <v/>
      </c>
      <c r="CCN30" t="str">
        <f t="shared" si="36"/>
        <v/>
      </c>
      <c r="CCO30" t="str">
        <f t="shared" si="36"/>
        <v/>
      </c>
      <c r="CCP30" t="str">
        <f t="shared" si="36"/>
        <v/>
      </c>
      <c r="CCQ30" t="str">
        <f t="shared" si="36"/>
        <v/>
      </c>
      <c r="CCR30" t="str">
        <f t="shared" si="36"/>
        <v/>
      </c>
      <c r="CCS30" t="str">
        <f t="shared" si="36"/>
        <v/>
      </c>
      <c r="CCT30" t="str">
        <f t="shared" si="36"/>
        <v/>
      </c>
      <c r="CCU30" t="str">
        <f t="shared" si="36"/>
        <v/>
      </c>
      <c r="CCV30" t="str">
        <f t="shared" ref="CCV30:CFG30" si="37">TRIM(CDH11)</f>
        <v/>
      </c>
      <c r="CCW30" t="str">
        <f t="shared" si="37"/>
        <v/>
      </c>
      <c r="CCX30" t="str">
        <f t="shared" si="37"/>
        <v/>
      </c>
      <c r="CCY30" t="str">
        <f t="shared" si="37"/>
        <v/>
      </c>
      <c r="CCZ30" t="str">
        <f t="shared" si="37"/>
        <v/>
      </c>
      <c r="CDA30" t="str">
        <f t="shared" si="37"/>
        <v/>
      </c>
      <c r="CDB30" t="str">
        <f t="shared" si="37"/>
        <v/>
      </c>
      <c r="CDC30" t="str">
        <f t="shared" si="37"/>
        <v/>
      </c>
      <c r="CDD30" t="str">
        <f t="shared" si="37"/>
        <v/>
      </c>
      <c r="CDE30" t="str">
        <f t="shared" si="37"/>
        <v/>
      </c>
      <c r="CDF30" t="str">
        <f t="shared" si="37"/>
        <v/>
      </c>
      <c r="CDG30" t="str">
        <f t="shared" si="37"/>
        <v/>
      </c>
      <c r="CDH30" t="str">
        <f t="shared" si="37"/>
        <v/>
      </c>
      <c r="CDI30" t="str">
        <f t="shared" si="37"/>
        <v/>
      </c>
      <c r="CDJ30" t="str">
        <f t="shared" si="37"/>
        <v/>
      </c>
      <c r="CDK30" t="str">
        <f t="shared" si="37"/>
        <v/>
      </c>
      <c r="CDL30" t="str">
        <f t="shared" si="37"/>
        <v/>
      </c>
      <c r="CDM30" t="str">
        <f t="shared" si="37"/>
        <v/>
      </c>
      <c r="CDN30" t="str">
        <f t="shared" si="37"/>
        <v/>
      </c>
      <c r="CDO30" t="str">
        <f t="shared" si="37"/>
        <v/>
      </c>
      <c r="CDP30" t="str">
        <f t="shared" si="37"/>
        <v/>
      </c>
      <c r="CDQ30" t="str">
        <f t="shared" si="37"/>
        <v/>
      </c>
      <c r="CDR30" t="str">
        <f t="shared" si="37"/>
        <v/>
      </c>
      <c r="CDS30" t="str">
        <f t="shared" si="37"/>
        <v/>
      </c>
      <c r="CDT30" t="str">
        <f t="shared" si="37"/>
        <v/>
      </c>
      <c r="CDU30" t="str">
        <f t="shared" si="37"/>
        <v/>
      </c>
      <c r="CDV30" t="str">
        <f t="shared" si="37"/>
        <v/>
      </c>
      <c r="CDW30" t="str">
        <f t="shared" si="37"/>
        <v/>
      </c>
      <c r="CDX30" t="str">
        <f t="shared" si="37"/>
        <v/>
      </c>
      <c r="CDY30" t="str">
        <f t="shared" si="37"/>
        <v/>
      </c>
      <c r="CDZ30" t="str">
        <f t="shared" si="37"/>
        <v/>
      </c>
      <c r="CEA30" t="str">
        <f t="shared" si="37"/>
        <v/>
      </c>
      <c r="CEB30" t="str">
        <f t="shared" si="37"/>
        <v/>
      </c>
      <c r="CEC30" t="str">
        <f t="shared" si="37"/>
        <v/>
      </c>
      <c r="CED30" t="str">
        <f t="shared" si="37"/>
        <v/>
      </c>
      <c r="CEE30" t="str">
        <f t="shared" si="37"/>
        <v/>
      </c>
      <c r="CEF30" t="str">
        <f t="shared" si="37"/>
        <v/>
      </c>
      <c r="CEG30" t="str">
        <f t="shared" si="37"/>
        <v/>
      </c>
      <c r="CEH30" t="str">
        <f t="shared" si="37"/>
        <v/>
      </c>
      <c r="CEI30" t="str">
        <f t="shared" si="37"/>
        <v/>
      </c>
      <c r="CEJ30" t="str">
        <f t="shared" si="37"/>
        <v/>
      </c>
      <c r="CEK30" t="str">
        <f t="shared" si="37"/>
        <v/>
      </c>
      <c r="CEL30" t="str">
        <f t="shared" si="37"/>
        <v/>
      </c>
      <c r="CEM30" t="str">
        <f t="shared" si="37"/>
        <v/>
      </c>
      <c r="CEN30" t="str">
        <f t="shared" si="37"/>
        <v/>
      </c>
      <c r="CEO30" t="str">
        <f t="shared" si="37"/>
        <v/>
      </c>
      <c r="CEP30" t="str">
        <f t="shared" si="37"/>
        <v/>
      </c>
      <c r="CEQ30" t="str">
        <f t="shared" si="37"/>
        <v/>
      </c>
      <c r="CER30" t="str">
        <f t="shared" si="37"/>
        <v/>
      </c>
      <c r="CES30" t="str">
        <f t="shared" si="37"/>
        <v/>
      </c>
      <c r="CET30" t="str">
        <f t="shared" si="37"/>
        <v/>
      </c>
      <c r="CEU30" t="str">
        <f t="shared" si="37"/>
        <v/>
      </c>
      <c r="CEV30" t="str">
        <f t="shared" si="37"/>
        <v/>
      </c>
      <c r="CEW30" t="str">
        <f t="shared" si="37"/>
        <v/>
      </c>
      <c r="CEX30" t="str">
        <f t="shared" si="37"/>
        <v/>
      </c>
      <c r="CEY30" t="str">
        <f t="shared" si="37"/>
        <v/>
      </c>
      <c r="CEZ30" t="str">
        <f t="shared" si="37"/>
        <v/>
      </c>
      <c r="CFA30" t="str">
        <f t="shared" si="37"/>
        <v/>
      </c>
      <c r="CFB30" t="str">
        <f t="shared" si="37"/>
        <v/>
      </c>
      <c r="CFC30" t="str">
        <f t="shared" si="37"/>
        <v/>
      </c>
      <c r="CFD30" t="str">
        <f t="shared" si="37"/>
        <v/>
      </c>
      <c r="CFE30" t="str">
        <f t="shared" si="37"/>
        <v/>
      </c>
      <c r="CFF30" t="str">
        <f t="shared" si="37"/>
        <v/>
      </c>
      <c r="CFG30" t="str">
        <f t="shared" si="37"/>
        <v/>
      </c>
      <c r="CFH30" t="str">
        <f t="shared" ref="CFH30:CHS30" si="38">TRIM(CFT11)</f>
        <v/>
      </c>
      <c r="CFI30" t="str">
        <f t="shared" si="38"/>
        <v/>
      </c>
      <c r="CFJ30" t="str">
        <f t="shared" si="38"/>
        <v/>
      </c>
      <c r="CFK30" t="str">
        <f t="shared" si="38"/>
        <v/>
      </c>
      <c r="CFL30" t="str">
        <f t="shared" si="38"/>
        <v/>
      </c>
      <c r="CFM30" t="str">
        <f t="shared" si="38"/>
        <v/>
      </c>
      <c r="CFN30" t="str">
        <f t="shared" si="38"/>
        <v/>
      </c>
      <c r="CFO30" t="str">
        <f t="shared" si="38"/>
        <v/>
      </c>
      <c r="CFP30" t="str">
        <f t="shared" si="38"/>
        <v/>
      </c>
      <c r="CFQ30" t="str">
        <f t="shared" si="38"/>
        <v/>
      </c>
      <c r="CFR30" t="str">
        <f t="shared" si="38"/>
        <v/>
      </c>
      <c r="CFS30" t="str">
        <f t="shared" si="38"/>
        <v/>
      </c>
      <c r="CFT30" t="str">
        <f t="shared" si="38"/>
        <v/>
      </c>
      <c r="CFU30" t="str">
        <f t="shared" si="38"/>
        <v/>
      </c>
      <c r="CFV30" t="str">
        <f t="shared" si="38"/>
        <v/>
      </c>
      <c r="CFW30" t="str">
        <f t="shared" si="38"/>
        <v/>
      </c>
      <c r="CFX30" t="str">
        <f t="shared" si="38"/>
        <v/>
      </c>
      <c r="CFY30" t="str">
        <f t="shared" si="38"/>
        <v/>
      </c>
      <c r="CFZ30" t="str">
        <f t="shared" si="38"/>
        <v/>
      </c>
      <c r="CGA30" t="str">
        <f t="shared" si="38"/>
        <v/>
      </c>
      <c r="CGB30" t="str">
        <f t="shared" si="38"/>
        <v/>
      </c>
      <c r="CGC30" t="str">
        <f t="shared" si="38"/>
        <v/>
      </c>
      <c r="CGD30" t="str">
        <f t="shared" si="38"/>
        <v/>
      </c>
      <c r="CGE30" t="str">
        <f t="shared" si="38"/>
        <v/>
      </c>
      <c r="CGF30" t="str">
        <f t="shared" si="38"/>
        <v/>
      </c>
      <c r="CGG30" t="str">
        <f t="shared" si="38"/>
        <v/>
      </c>
      <c r="CGH30" t="str">
        <f t="shared" si="38"/>
        <v/>
      </c>
      <c r="CGI30" t="str">
        <f t="shared" si="38"/>
        <v/>
      </c>
      <c r="CGJ30" t="str">
        <f t="shared" si="38"/>
        <v/>
      </c>
      <c r="CGK30" t="str">
        <f t="shared" si="38"/>
        <v/>
      </c>
      <c r="CGL30" t="str">
        <f t="shared" si="38"/>
        <v/>
      </c>
      <c r="CGM30" t="str">
        <f t="shared" si="38"/>
        <v/>
      </c>
      <c r="CGN30" t="str">
        <f t="shared" si="38"/>
        <v/>
      </c>
      <c r="CGO30" t="str">
        <f t="shared" si="38"/>
        <v/>
      </c>
      <c r="CGP30" t="str">
        <f t="shared" si="38"/>
        <v/>
      </c>
      <c r="CGQ30" t="str">
        <f t="shared" si="38"/>
        <v/>
      </c>
      <c r="CGR30" t="str">
        <f t="shared" si="38"/>
        <v/>
      </c>
      <c r="CGS30" t="str">
        <f t="shared" si="38"/>
        <v/>
      </c>
      <c r="CGT30" t="str">
        <f t="shared" si="38"/>
        <v/>
      </c>
      <c r="CGU30" t="str">
        <f t="shared" si="38"/>
        <v/>
      </c>
      <c r="CGV30" t="str">
        <f t="shared" si="38"/>
        <v/>
      </c>
      <c r="CGW30" t="str">
        <f t="shared" si="38"/>
        <v/>
      </c>
      <c r="CGX30" t="str">
        <f t="shared" si="38"/>
        <v/>
      </c>
      <c r="CGY30" t="str">
        <f t="shared" si="38"/>
        <v/>
      </c>
      <c r="CGZ30" t="str">
        <f t="shared" si="38"/>
        <v/>
      </c>
      <c r="CHA30" t="str">
        <f t="shared" si="38"/>
        <v/>
      </c>
      <c r="CHB30" t="str">
        <f t="shared" si="38"/>
        <v/>
      </c>
      <c r="CHC30" t="str">
        <f t="shared" si="38"/>
        <v/>
      </c>
      <c r="CHD30" t="str">
        <f t="shared" si="38"/>
        <v/>
      </c>
      <c r="CHE30" t="str">
        <f t="shared" si="38"/>
        <v/>
      </c>
      <c r="CHF30" t="str">
        <f t="shared" si="38"/>
        <v/>
      </c>
      <c r="CHG30" t="str">
        <f t="shared" si="38"/>
        <v/>
      </c>
      <c r="CHH30" t="str">
        <f t="shared" si="38"/>
        <v/>
      </c>
      <c r="CHI30" t="str">
        <f t="shared" si="38"/>
        <v/>
      </c>
      <c r="CHJ30" t="str">
        <f t="shared" si="38"/>
        <v/>
      </c>
      <c r="CHK30" t="str">
        <f t="shared" si="38"/>
        <v/>
      </c>
      <c r="CHL30" t="str">
        <f t="shared" si="38"/>
        <v/>
      </c>
      <c r="CHM30" t="str">
        <f t="shared" si="38"/>
        <v/>
      </c>
      <c r="CHN30" t="str">
        <f t="shared" si="38"/>
        <v/>
      </c>
      <c r="CHO30" t="str">
        <f t="shared" si="38"/>
        <v/>
      </c>
      <c r="CHP30" t="str">
        <f t="shared" si="38"/>
        <v/>
      </c>
      <c r="CHQ30" t="str">
        <f t="shared" si="38"/>
        <v/>
      </c>
      <c r="CHR30" t="str">
        <f t="shared" si="38"/>
        <v/>
      </c>
      <c r="CHS30" t="str">
        <f t="shared" si="38"/>
        <v/>
      </c>
      <c r="CHT30" t="str">
        <f t="shared" ref="CHT30:CKE30" si="39">TRIM(CIF11)</f>
        <v/>
      </c>
      <c r="CHU30" t="str">
        <f t="shared" si="39"/>
        <v/>
      </c>
      <c r="CHV30" t="str">
        <f t="shared" si="39"/>
        <v/>
      </c>
      <c r="CHW30" t="str">
        <f t="shared" si="39"/>
        <v/>
      </c>
      <c r="CHX30" t="str">
        <f t="shared" si="39"/>
        <v/>
      </c>
      <c r="CHY30" t="str">
        <f t="shared" si="39"/>
        <v/>
      </c>
      <c r="CHZ30" t="str">
        <f t="shared" si="39"/>
        <v/>
      </c>
      <c r="CIA30" t="str">
        <f t="shared" si="39"/>
        <v/>
      </c>
      <c r="CIB30" t="str">
        <f t="shared" si="39"/>
        <v/>
      </c>
      <c r="CIC30" t="str">
        <f t="shared" si="39"/>
        <v/>
      </c>
      <c r="CID30" t="str">
        <f t="shared" si="39"/>
        <v/>
      </c>
      <c r="CIE30" t="str">
        <f t="shared" si="39"/>
        <v/>
      </c>
      <c r="CIF30" t="str">
        <f t="shared" si="39"/>
        <v/>
      </c>
      <c r="CIG30" t="str">
        <f t="shared" si="39"/>
        <v/>
      </c>
      <c r="CIH30" t="str">
        <f t="shared" si="39"/>
        <v/>
      </c>
      <c r="CII30" t="str">
        <f t="shared" si="39"/>
        <v/>
      </c>
      <c r="CIJ30" t="str">
        <f t="shared" si="39"/>
        <v/>
      </c>
      <c r="CIK30" t="str">
        <f t="shared" si="39"/>
        <v/>
      </c>
      <c r="CIL30" t="str">
        <f t="shared" si="39"/>
        <v/>
      </c>
      <c r="CIM30" t="str">
        <f t="shared" si="39"/>
        <v/>
      </c>
      <c r="CIN30" t="str">
        <f t="shared" si="39"/>
        <v/>
      </c>
      <c r="CIO30" t="str">
        <f t="shared" si="39"/>
        <v/>
      </c>
      <c r="CIP30" t="str">
        <f t="shared" si="39"/>
        <v/>
      </c>
      <c r="CIQ30" t="str">
        <f t="shared" si="39"/>
        <v/>
      </c>
      <c r="CIR30" t="str">
        <f t="shared" si="39"/>
        <v/>
      </c>
      <c r="CIS30" t="str">
        <f t="shared" si="39"/>
        <v/>
      </c>
      <c r="CIT30" t="str">
        <f t="shared" si="39"/>
        <v/>
      </c>
      <c r="CIU30" t="str">
        <f t="shared" si="39"/>
        <v/>
      </c>
      <c r="CIV30" t="str">
        <f t="shared" si="39"/>
        <v/>
      </c>
      <c r="CIW30" t="str">
        <f t="shared" si="39"/>
        <v/>
      </c>
      <c r="CIX30" t="str">
        <f t="shared" si="39"/>
        <v/>
      </c>
      <c r="CIY30" t="str">
        <f t="shared" si="39"/>
        <v/>
      </c>
      <c r="CIZ30" t="str">
        <f t="shared" si="39"/>
        <v/>
      </c>
      <c r="CJA30" t="str">
        <f t="shared" si="39"/>
        <v/>
      </c>
      <c r="CJB30" t="str">
        <f t="shared" si="39"/>
        <v/>
      </c>
      <c r="CJC30" t="str">
        <f t="shared" si="39"/>
        <v/>
      </c>
      <c r="CJD30" t="str">
        <f t="shared" si="39"/>
        <v/>
      </c>
      <c r="CJE30" t="str">
        <f t="shared" si="39"/>
        <v/>
      </c>
      <c r="CJF30" t="str">
        <f t="shared" si="39"/>
        <v/>
      </c>
      <c r="CJG30" t="str">
        <f t="shared" si="39"/>
        <v/>
      </c>
      <c r="CJH30" t="str">
        <f t="shared" si="39"/>
        <v/>
      </c>
      <c r="CJI30" t="str">
        <f t="shared" si="39"/>
        <v/>
      </c>
      <c r="CJJ30" t="str">
        <f t="shared" si="39"/>
        <v/>
      </c>
      <c r="CJK30" t="str">
        <f t="shared" si="39"/>
        <v/>
      </c>
      <c r="CJL30" t="str">
        <f t="shared" si="39"/>
        <v/>
      </c>
      <c r="CJM30" t="str">
        <f t="shared" si="39"/>
        <v/>
      </c>
      <c r="CJN30" t="str">
        <f t="shared" si="39"/>
        <v/>
      </c>
      <c r="CJO30" t="str">
        <f t="shared" si="39"/>
        <v/>
      </c>
      <c r="CJP30" t="str">
        <f t="shared" si="39"/>
        <v/>
      </c>
      <c r="CJQ30" t="str">
        <f t="shared" si="39"/>
        <v/>
      </c>
      <c r="CJR30" t="str">
        <f t="shared" si="39"/>
        <v/>
      </c>
      <c r="CJS30" t="str">
        <f t="shared" si="39"/>
        <v/>
      </c>
      <c r="CJT30" t="str">
        <f t="shared" si="39"/>
        <v/>
      </c>
      <c r="CJU30" t="str">
        <f t="shared" si="39"/>
        <v/>
      </c>
      <c r="CJV30" t="str">
        <f t="shared" si="39"/>
        <v/>
      </c>
      <c r="CJW30" t="str">
        <f t="shared" si="39"/>
        <v/>
      </c>
      <c r="CJX30" t="str">
        <f t="shared" si="39"/>
        <v/>
      </c>
      <c r="CJY30" t="str">
        <f t="shared" si="39"/>
        <v/>
      </c>
      <c r="CJZ30" t="str">
        <f t="shared" si="39"/>
        <v/>
      </c>
      <c r="CKA30" t="str">
        <f t="shared" si="39"/>
        <v/>
      </c>
      <c r="CKB30" t="str">
        <f t="shared" si="39"/>
        <v/>
      </c>
      <c r="CKC30" t="str">
        <f t="shared" si="39"/>
        <v/>
      </c>
      <c r="CKD30" t="str">
        <f t="shared" si="39"/>
        <v/>
      </c>
      <c r="CKE30" t="str">
        <f t="shared" si="39"/>
        <v/>
      </c>
      <c r="CKF30" t="str">
        <f t="shared" ref="CKF30:CMQ30" si="40">TRIM(CKR11)</f>
        <v/>
      </c>
      <c r="CKG30" t="str">
        <f t="shared" si="40"/>
        <v/>
      </c>
      <c r="CKH30" t="str">
        <f t="shared" si="40"/>
        <v/>
      </c>
      <c r="CKI30" t="str">
        <f t="shared" si="40"/>
        <v/>
      </c>
      <c r="CKJ30" t="str">
        <f t="shared" si="40"/>
        <v/>
      </c>
      <c r="CKK30" t="str">
        <f t="shared" si="40"/>
        <v/>
      </c>
      <c r="CKL30" t="str">
        <f t="shared" si="40"/>
        <v/>
      </c>
      <c r="CKM30" t="str">
        <f t="shared" si="40"/>
        <v/>
      </c>
      <c r="CKN30" t="str">
        <f t="shared" si="40"/>
        <v/>
      </c>
      <c r="CKO30" t="str">
        <f t="shared" si="40"/>
        <v/>
      </c>
      <c r="CKP30" t="str">
        <f t="shared" si="40"/>
        <v/>
      </c>
      <c r="CKQ30" t="str">
        <f t="shared" si="40"/>
        <v/>
      </c>
      <c r="CKR30" t="str">
        <f t="shared" si="40"/>
        <v/>
      </c>
      <c r="CKS30" t="str">
        <f t="shared" si="40"/>
        <v/>
      </c>
      <c r="CKT30" t="str">
        <f t="shared" si="40"/>
        <v/>
      </c>
      <c r="CKU30" t="str">
        <f t="shared" si="40"/>
        <v/>
      </c>
      <c r="CKV30" t="str">
        <f t="shared" si="40"/>
        <v/>
      </c>
      <c r="CKW30" t="str">
        <f t="shared" si="40"/>
        <v/>
      </c>
      <c r="CKX30" t="str">
        <f t="shared" si="40"/>
        <v/>
      </c>
      <c r="CKY30" t="str">
        <f t="shared" si="40"/>
        <v/>
      </c>
      <c r="CKZ30" t="str">
        <f t="shared" si="40"/>
        <v/>
      </c>
      <c r="CLA30" t="str">
        <f t="shared" si="40"/>
        <v/>
      </c>
      <c r="CLB30" t="str">
        <f t="shared" si="40"/>
        <v/>
      </c>
      <c r="CLC30" t="str">
        <f t="shared" si="40"/>
        <v/>
      </c>
      <c r="CLD30" t="str">
        <f t="shared" si="40"/>
        <v/>
      </c>
      <c r="CLE30" t="str">
        <f t="shared" si="40"/>
        <v/>
      </c>
      <c r="CLF30" t="str">
        <f t="shared" si="40"/>
        <v/>
      </c>
      <c r="CLG30" t="str">
        <f t="shared" si="40"/>
        <v/>
      </c>
      <c r="CLH30" t="str">
        <f t="shared" si="40"/>
        <v/>
      </c>
      <c r="CLI30" t="str">
        <f t="shared" si="40"/>
        <v/>
      </c>
      <c r="CLJ30" t="str">
        <f t="shared" si="40"/>
        <v/>
      </c>
      <c r="CLK30" t="str">
        <f t="shared" si="40"/>
        <v/>
      </c>
      <c r="CLL30" t="str">
        <f t="shared" si="40"/>
        <v/>
      </c>
      <c r="CLM30" t="str">
        <f t="shared" si="40"/>
        <v/>
      </c>
      <c r="CLN30" t="str">
        <f t="shared" si="40"/>
        <v/>
      </c>
      <c r="CLO30" t="str">
        <f t="shared" si="40"/>
        <v/>
      </c>
      <c r="CLP30" t="str">
        <f t="shared" si="40"/>
        <v/>
      </c>
      <c r="CLQ30" t="str">
        <f t="shared" si="40"/>
        <v/>
      </c>
      <c r="CLR30" t="str">
        <f t="shared" si="40"/>
        <v/>
      </c>
      <c r="CLS30" t="str">
        <f t="shared" si="40"/>
        <v/>
      </c>
      <c r="CLT30" t="str">
        <f t="shared" si="40"/>
        <v/>
      </c>
      <c r="CLU30" t="str">
        <f t="shared" si="40"/>
        <v/>
      </c>
      <c r="CLV30" t="str">
        <f t="shared" si="40"/>
        <v/>
      </c>
      <c r="CLW30" t="str">
        <f t="shared" si="40"/>
        <v/>
      </c>
      <c r="CLX30" t="str">
        <f t="shared" si="40"/>
        <v/>
      </c>
      <c r="CLY30" t="str">
        <f t="shared" si="40"/>
        <v/>
      </c>
      <c r="CLZ30" t="str">
        <f t="shared" si="40"/>
        <v/>
      </c>
      <c r="CMA30" t="str">
        <f t="shared" si="40"/>
        <v/>
      </c>
      <c r="CMB30" t="str">
        <f t="shared" si="40"/>
        <v/>
      </c>
      <c r="CMC30" t="str">
        <f t="shared" si="40"/>
        <v/>
      </c>
      <c r="CMD30" t="str">
        <f t="shared" si="40"/>
        <v/>
      </c>
      <c r="CME30" t="str">
        <f t="shared" si="40"/>
        <v/>
      </c>
      <c r="CMF30" t="str">
        <f t="shared" si="40"/>
        <v/>
      </c>
      <c r="CMG30" t="str">
        <f t="shared" si="40"/>
        <v/>
      </c>
      <c r="CMH30" t="str">
        <f t="shared" si="40"/>
        <v/>
      </c>
      <c r="CMI30" t="str">
        <f t="shared" si="40"/>
        <v/>
      </c>
      <c r="CMJ30" t="str">
        <f t="shared" si="40"/>
        <v/>
      </c>
      <c r="CMK30" t="str">
        <f t="shared" si="40"/>
        <v/>
      </c>
      <c r="CML30" t="str">
        <f t="shared" si="40"/>
        <v/>
      </c>
      <c r="CMM30" t="str">
        <f t="shared" si="40"/>
        <v/>
      </c>
      <c r="CMN30" t="str">
        <f t="shared" si="40"/>
        <v/>
      </c>
      <c r="CMO30" t="str">
        <f t="shared" si="40"/>
        <v/>
      </c>
      <c r="CMP30" t="str">
        <f t="shared" si="40"/>
        <v/>
      </c>
      <c r="CMQ30" t="str">
        <f t="shared" si="40"/>
        <v/>
      </c>
      <c r="CMR30" t="str">
        <f t="shared" ref="CMR30:CPC30" si="41">TRIM(CND11)</f>
        <v/>
      </c>
      <c r="CMS30" t="str">
        <f t="shared" si="41"/>
        <v/>
      </c>
      <c r="CMT30" t="str">
        <f t="shared" si="41"/>
        <v/>
      </c>
      <c r="CMU30" t="str">
        <f t="shared" si="41"/>
        <v/>
      </c>
      <c r="CMV30" t="str">
        <f t="shared" si="41"/>
        <v/>
      </c>
      <c r="CMW30" t="str">
        <f t="shared" si="41"/>
        <v/>
      </c>
      <c r="CMX30" t="str">
        <f t="shared" si="41"/>
        <v/>
      </c>
      <c r="CMY30" t="str">
        <f t="shared" si="41"/>
        <v/>
      </c>
      <c r="CMZ30" t="str">
        <f t="shared" si="41"/>
        <v/>
      </c>
      <c r="CNA30" t="str">
        <f t="shared" si="41"/>
        <v/>
      </c>
      <c r="CNB30" t="str">
        <f t="shared" si="41"/>
        <v/>
      </c>
      <c r="CNC30" t="str">
        <f t="shared" si="41"/>
        <v/>
      </c>
      <c r="CND30" t="str">
        <f t="shared" si="41"/>
        <v/>
      </c>
      <c r="CNE30" t="str">
        <f t="shared" si="41"/>
        <v/>
      </c>
      <c r="CNF30" t="str">
        <f t="shared" si="41"/>
        <v/>
      </c>
      <c r="CNG30" t="str">
        <f t="shared" si="41"/>
        <v/>
      </c>
      <c r="CNH30" t="str">
        <f t="shared" si="41"/>
        <v/>
      </c>
      <c r="CNI30" t="str">
        <f t="shared" si="41"/>
        <v/>
      </c>
      <c r="CNJ30" t="str">
        <f t="shared" si="41"/>
        <v/>
      </c>
      <c r="CNK30" t="str">
        <f t="shared" si="41"/>
        <v/>
      </c>
      <c r="CNL30" t="str">
        <f t="shared" si="41"/>
        <v/>
      </c>
      <c r="CNM30" t="str">
        <f t="shared" si="41"/>
        <v/>
      </c>
      <c r="CNN30" t="str">
        <f t="shared" si="41"/>
        <v/>
      </c>
      <c r="CNO30" t="str">
        <f t="shared" si="41"/>
        <v/>
      </c>
      <c r="CNP30" t="str">
        <f t="shared" si="41"/>
        <v/>
      </c>
      <c r="CNQ30" t="str">
        <f t="shared" si="41"/>
        <v/>
      </c>
      <c r="CNR30" t="str">
        <f t="shared" si="41"/>
        <v/>
      </c>
      <c r="CNS30" t="str">
        <f t="shared" si="41"/>
        <v/>
      </c>
      <c r="CNT30" t="str">
        <f t="shared" si="41"/>
        <v/>
      </c>
      <c r="CNU30" t="str">
        <f t="shared" si="41"/>
        <v/>
      </c>
      <c r="CNV30" t="str">
        <f t="shared" si="41"/>
        <v/>
      </c>
      <c r="CNW30" t="str">
        <f t="shared" si="41"/>
        <v/>
      </c>
      <c r="CNX30" t="str">
        <f t="shared" si="41"/>
        <v/>
      </c>
      <c r="CNY30" t="str">
        <f t="shared" si="41"/>
        <v/>
      </c>
      <c r="CNZ30" t="str">
        <f t="shared" si="41"/>
        <v/>
      </c>
      <c r="COA30" t="str">
        <f t="shared" si="41"/>
        <v/>
      </c>
      <c r="COB30" t="str">
        <f t="shared" si="41"/>
        <v/>
      </c>
      <c r="COC30" t="str">
        <f t="shared" si="41"/>
        <v/>
      </c>
      <c r="COD30" t="str">
        <f t="shared" si="41"/>
        <v/>
      </c>
      <c r="COE30" t="str">
        <f t="shared" si="41"/>
        <v/>
      </c>
      <c r="COF30" t="str">
        <f t="shared" si="41"/>
        <v/>
      </c>
      <c r="COG30" t="str">
        <f t="shared" si="41"/>
        <v/>
      </c>
      <c r="COH30" t="str">
        <f t="shared" si="41"/>
        <v/>
      </c>
      <c r="COI30" t="str">
        <f t="shared" si="41"/>
        <v/>
      </c>
      <c r="COJ30" t="str">
        <f t="shared" si="41"/>
        <v/>
      </c>
      <c r="COK30" t="str">
        <f t="shared" si="41"/>
        <v/>
      </c>
      <c r="COL30" t="str">
        <f t="shared" si="41"/>
        <v/>
      </c>
      <c r="COM30" t="str">
        <f t="shared" si="41"/>
        <v/>
      </c>
      <c r="CON30" t="str">
        <f t="shared" si="41"/>
        <v/>
      </c>
      <c r="COO30" t="str">
        <f t="shared" si="41"/>
        <v/>
      </c>
      <c r="COP30" t="str">
        <f t="shared" si="41"/>
        <v/>
      </c>
      <c r="COQ30" t="str">
        <f t="shared" si="41"/>
        <v/>
      </c>
      <c r="COR30" t="str">
        <f t="shared" si="41"/>
        <v/>
      </c>
      <c r="COS30" t="str">
        <f t="shared" si="41"/>
        <v/>
      </c>
      <c r="COT30" t="str">
        <f t="shared" si="41"/>
        <v/>
      </c>
      <c r="COU30" t="str">
        <f t="shared" si="41"/>
        <v/>
      </c>
      <c r="COV30" t="str">
        <f t="shared" si="41"/>
        <v/>
      </c>
      <c r="COW30" t="str">
        <f t="shared" si="41"/>
        <v/>
      </c>
      <c r="COX30" t="str">
        <f t="shared" si="41"/>
        <v/>
      </c>
      <c r="COY30" t="str">
        <f t="shared" si="41"/>
        <v/>
      </c>
      <c r="COZ30" t="str">
        <f t="shared" si="41"/>
        <v/>
      </c>
      <c r="CPA30" t="str">
        <f t="shared" si="41"/>
        <v/>
      </c>
      <c r="CPB30" t="str">
        <f t="shared" si="41"/>
        <v/>
      </c>
      <c r="CPC30" t="str">
        <f t="shared" si="41"/>
        <v/>
      </c>
      <c r="CPD30" t="str">
        <f t="shared" ref="CPD30:CRO30" si="42">TRIM(CPP11)</f>
        <v/>
      </c>
      <c r="CPE30" t="str">
        <f t="shared" si="42"/>
        <v/>
      </c>
      <c r="CPF30" t="str">
        <f t="shared" si="42"/>
        <v/>
      </c>
      <c r="CPG30" t="str">
        <f t="shared" si="42"/>
        <v/>
      </c>
      <c r="CPH30" t="str">
        <f t="shared" si="42"/>
        <v/>
      </c>
      <c r="CPI30" t="str">
        <f t="shared" si="42"/>
        <v/>
      </c>
      <c r="CPJ30" t="str">
        <f t="shared" si="42"/>
        <v/>
      </c>
      <c r="CPK30" t="str">
        <f t="shared" si="42"/>
        <v/>
      </c>
      <c r="CPL30" t="str">
        <f t="shared" si="42"/>
        <v/>
      </c>
      <c r="CPM30" t="str">
        <f t="shared" si="42"/>
        <v/>
      </c>
      <c r="CPN30" t="str">
        <f t="shared" si="42"/>
        <v/>
      </c>
      <c r="CPO30" t="str">
        <f t="shared" si="42"/>
        <v/>
      </c>
      <c r="CPP30" t="str">
        <f t="shared" si="42"/>
        <v/>
      </c>
      <c r="CPQ30" t="str">
        <f t="shared" si="42"/>
        <v/>
      </c>
      <c r="CPR30" t="str">
        <f t="shared" si="42"/>
        <v/>
      </c>
      <c r="CPS30" t="str">
        <f t="shared" si="42"/>
        <v/>
      </c>
      <c r="CPT30" t="str">
        <f t="shared" si="42"/>
        <v/>
      </c>
      <c r="CPU30" t="str">
        <f t="shared" si="42"/>
        <v/>
      </c>
      <c r="CPV30" t="str">
        <f t="shared" si="42"/>
        <v/>
      </c>
      <c r="CPW30" t="str">
        <f t="shared" si="42"/>
        <v/>
      </c>
      <c r="CPX30" t="str">
        <f t="shared" si="42"/>
        <v/>
      </c>
      <c r="CPY30" t="str">
        <f t="shared" si="42"/>
        <v/>
      </c>
      <c r="CPZ30" t="str">
        <f t="shared" si="42"/>
        <v/>
      </c>
      <c r="CQA30" t="str">
        <f t="shared" si="42"/>
        <v/>
      </c>
      <c r="CQB30" t="str">
        <f t="shared" si="42"/>
        <v/>
      </c>
      <c r="CQC30" t="str">
        <f t="shared" si="42"/>
        <v/>
      </c>
      <c r="CQD30" t="str">
        <f t="shared" si="42"/>
        <v/>
      </c>
      <c r="CQE30" t="str">
        <f t="shared" si="42"/>
        <v/>
      </c>
      <c r="CQF30" t="str">
        <f t="shared" si="42"/>
        <v/>
      </c>
      <c r="CQG30" t="str">
        <f t="shared" si="42"/>
        <v/>
      </c>
      <c r="CQH30" t="str">
        <f t="shared" si="42"/>
        <v/>
      </c>
      <c r="CQI30" t="str">
        <f t="shared" si="42"/>
        <v/>
      </c>
      <c r="CQJ30" t="str">
        <f t="shared" si="42"/>
        <v/>
      </c>
      <c r="CQK30" t="str">
        <f t="shared" si="42"/>
        <v/>
      </c>
      <c r="CQL30" t="str">
        <f t="shared" si="42"/>
        <v/>
      </c>
      <c r="CQM30" t="str">
        <f t="shared" si="42"/>
        <v/>
      </c>
      <c r="CQN30" t="str">
        <f t="shared" si="42"/>
        <v/>
      </c>
      <c r="CQO30" t="str">
        <f t="shared" si="42"/>
        <v/>
      </c>
      <c r="CQP30" t="str">
        <f t="shared" si="42"/>
        <v/>
      </c>
      <c r="CQQ30" t="str">
        <f t="shared" si="42"/>
        <v/>
      </c>
      <c r="CQR30" t="str">
        <f t="shared" si="42"/>
        <v/>
      </c>
      <c r="CQS30" t="str">
        <f t="shared" si="42"/>
        <v/>
      </c>
      <c r="CQT30" t="str">
        <f t="shared" si="42"/>
        <v/>
      </c>
      <c r="CQU30" t="str">
        <f t="shared" si="42"/>
        <v/>
      </c>
      <c r="CQV30" t="str">
        <f t="shared" si="42"/>
        <v/>
      </c>
      <c r="CQW30" t="str">
        <f t="shared" si="42"/>
        <v/>
      </c>
      <c r="CQX30" t="str">
        <f t="shared" si="42"/>
        <v/>
      </c>
      <c r="CQY30" t="str">
        <f t="shared" si="42"/>
        <v/>
      </c>
      <c r="CQZ30" t="str">
        <f t="shared" si="42"/>
        <v/>
      </c>
      <c r="CRA30" t="str">
        <f t="shared" si="42"/>
        <v/>
      </c>
      <c r="CRB30" t="str">
        <f t="shared" si="42"/>
        <v/>
      </c>
      <c r="CRC30" t="str">
        <f t="shared" si="42"/>
        <v/>
      </c>
      <c r="CRD30" t="str">
        <f t="shared" si="42"/>
        <v/>
      </c>
      <c r="CRE30" t="str">
        <f t="shared" si="42"/>
        <v/>
      </c>
      <c r="CRF30" t="str">
        <f t="shared" si="42"/>
        <v/>
      </c>
      <c r="CRG30" t="str">
        <f t="shared" si="42"/>
        <v/>
      </c>
      <c r="CRH30" t="str">
        <f t="shared" si="42"/>
        <v/>
      </c>
      <c r="CRI30" t="str">
        <f t="shared" si="42"/>
        <v/>
      </c>
      <c r="CRJ30" t="str">
        <f t="shared" si="42"/>
        <v/>
      </c>
      <c r="CRK30" t="str">
        <f t="shared" si="42"/>
        <v/>
      </c>
      <c r="CRL30" t="str">
        <f t="shared" si="42"/>
        <v/>
      </c>
      <c r="CRM30" t="str">
        <f t="shared" si="42"/>
        <v/>
      </c>
      <c r="CRN30" t="str">
        <f t="shared" si="42"/>
        <v/>
      </c>
      <c r="CRO30" t="str">
        <f t="shared" si="42"/>
        <v/>
      </c>
      <c r="CRP30" t="str">
        <f t="shared" ref="CRP30:CUA30" si="43">TRIM(CSB11)</f>
        <v/>
      </c>
      <c r="CRQ30" t="str">
        <f t="shared" si="43"/>
        <v/>
      </c>
      <c r="CRR30" t="str">
        <f t="shared" si="43"/>
        <v/>
      </c>
      <c r="CRS30" t="str">
        <f t="shared" si="43"/>
        <v/>
      </c>
      <c r="CRT30" t="str">
        <f t="shared" si="43"/>
        <v/>
      </c>
      <c r="CRU30" t="str">
        <f t="shared" si="43"/>
        <v/>
      </c>
      <c r="CRV30" t="str">
        <f t="shared" si="43"/>
        <v/>
      </c>
      <c r="CRW30" t="str">
        <f t="shared" si="43"/>
        <v/>
      </c>
      <c r="CRX30" t="str">
        <f t="shared" si="43"/>
        <v/>
      </c>
      <c r="CRY30" t="str">
        <f t="shared" si="43"/>
        <v/>
      </c>
      <c r="CRZ30" t="str">
        <f t="shared" si="43"/>
        <v/>
      </c>
      <c r="CSA30" t="str">
        <f t="shared" si="43"/>
        <v/>
      </c>
      <c r="CSB30" t="str">
        <f t="shared" si="43"/>
        <v/>
      </c>
      <c r="CSC30" t="str">
        <f t="shared" si="43"/>
        <v/>
      </c>
      <c r="CSD30" t="str">
        <f t="shared" si="43"/>
        <v/>
      </c>
      <c r="CSE30" t="str">
        <f t="shared" si="43"/>
        <v/>
      </c>
      <c r="CSF30" t="str">
        <f t="shared" si="43"/>
        <v/>
      </c>
      <c r="CSG30" t="str">
        <f t="shared" si="43"/>
        <v/>
      </c>
      <c r="CSH30" t="str">
        <f t="shared" si="43"/>
        <v/>
      </c>
      <c r="CSI30" t="str">
        <f t="shared" si="43"/>
        <v/>
      </c>
      <c r="CSJ30" t="str">
        <f t="shared" si="43"/>
        <v/>
      </c>
      <c r="CSK30" t="str">
        <f t="shared" si="43"/>
        <v/>
      </c>
      <c r="CSL30" t="str">
        <f t="shared" si="43"/>
        <v/>
      </c>
      <c r="CSM30" t="str">
        <f t="shared" si="43"/>
        <v/>
      </c>
      <c r="CSN30" t="str">
        <f t="shared" si="43"/>
        <v/>
      </c>
      <c r="CSO30" t="str">
        <f t="shared" si="43"/>
        <v/>
      </c>
      <c r="CSP30" t="str">
        <f t="shared" si="43"/>
        <v/>
      </c>
      <c r="CSQ30" t="str">
        <f t="shared" si="43"/>
        <v/>
      </c>
      <c r="CSR30" t="str">
        <f t="shared" si="43"/>
        <v/>
      </c>
      <c r="CSS30" t="str">
        <f t="shared" si="43"/>
        <v/>
      </c>
      <c r="CST30" t="str">
        <f t="shared" si="43"/>
        <v/>
      </c>
      <c r="CSU30" t="str">
        <f t="shared" si="43"/>
        <v/>
      </c>
      <c r="CSV30" t="str">
        <f t="shared" si="43"/>
        <v/>
      </c>
      <c r="CSW30" t="str">
        <f t="shared" si="43"/>
        <v/>
      </c>
      <c r="CSX30" t="str">
        <f t="shared" si="43"/>
        <v/>
      </c>
      <c r="CSY30" t="str">
        <f t="shared" si="43"/>
        <v/>
      </c>
      <c r="CSZ30" t="str">
        <f t="shared" si="43"/>
        <v/>
      </c>
      <c r="CTA30" t="str">
        <f t="shared" si="43"/>
        <v/>
      </c>
      <c r="CTB30" t="str">
        <f t="shared" si="43"/>
        <v/>
      </c>
      <c r="CTC30" t="str">
        <f t="shared" si="43"/>
        <v/>
      </c>
      <c r="CTD30" t="str">
        <f t="shared" si="43"/>
        <v/>
      </c>
      <c r="CTE30" t="str">
        <f t="shared" si="43"/>
        <v/>
      </c>
      <c r="CTF30" t="str">
        <f t="shared" si="43"/>
        <v/>
      </c>
      <c r="CTG30" t="str">
        <f t="shared" si="43"/>
        <v/>
      </c>
      <c r="CTH30" t="str">
        <f t="shared" si="43"/>
        <v/>
      </c>
      <c r="CTI30" t="str">
        <f t="shared" si="43"/>
        <v/>
      </c>
      <c r="CTJ30" t="str">
        <f t="shared" si="43"/>
        <v/>
      </c>
      <c r="CTK30" t="str">
        <f t="shared" si="43"/>
        <v/>
      </c>
      <c r="CTL30" t="str">
        <f t="shared" si="43"/>
        <v/>
      </c>
      <c r="CTM30" t="str">
        <f t="shared" si="43"/>
        <v/>
      </c>
      <c r="CTN30" t="str">
        <f t="shared" si="43"/>
        <v/>
      </c>
      <c r="CTO30" t="str">
        <f t="shared" si="43"/>
        <v/>
      </c>
      <c r="CTP30" t="str">
        <f t="shared" si="43"/>
        <v/>
      </c>
      <c r="CTQ30" t="str">
        <f t="shared" si="43"/>
        <v/>
      </c>
      <c r="CTR30" t="str">
        <f t="shared" si="43"/>
        <v/>
      </c>
      <c r="CTS30" t="str">
        <f t="shared" si="43"/>
        <v/>
      </c>
      <c r="CTT30" t="str">
        <f t="shared" si="43"/>
        <v/>
      </c>
      <c r="CTU30" t="str">
        <f t="shared" si="43"/>
        <v/>
      </c>
      <c r="CTV30" t="str">
        <f t="shared" si="43"/>
        <v/>
      </c>
      <c r="CTW30" t="str">
        <f t="shared" si="43"/>
        <v/>
      </c>
      <c r="CTX30" t="str">
        <f t="shared" si="43"/>
        <v/>
      </c>
      <c r="CTY30" t="str">
        <f t="shared" si="43"/>
        <v/>
      </c>
      <c r="CTZ30" t="str">
        <f t="shared" si="43"/>
        <v/>
      </c>
      <c r="CUA30" t="str">
        <f t="shared" si="43"/>
        <v/>
      </c>
      <c r="CUB30" t="str">
        <f t="shared" ref="CUB30:CWM30" si="44">TRIM(CUN11)</f>
        <v/>
      </c>
      <c r="CUC30" t="str">
        <f t="shared" si="44"/>
        <v/>
      </c>
      <c r="CUD30" t="str">
        <f t="shared" si="44"/>
        <v/>
      </c>
      <c r="CUE30" t="str">
        <f t="shared" si="44"/>
        <v/>
      </c>
      <c r="CUF30" t="str">
        <f t="shared" si="44"/>
        <v/>
      </c>
      <c r="CUG30" t="str">
        <f t="shared" si="44"/>
        <v/>
      </c>
      <c r="CUH30" t="str">
        <f t="shared" si="44"/>
        <v/>
      </c>
      <c r="CUI30" t="str">
        <f t="shared" si="44"/>
        <v/>
      </c>
      <c r="CUJ30" t="str">
        <f t="shared" si="44"/>
        <v/>
      </c>
      <c r="CUK30" t="str">
        <f t="shared" si="44"/>
        <v/>
      </c>
      <c r="CUL30" t="str">
        <f t="shared" si="44"/>
        <v/>
      </c>
      <c r="CUM30" t="str">
        <f t="shared" si="44"/>
        <v/>
      </c>
      <c r="CUN30" t="str">
        <f t="shared" si="44"/>
        <v/>
      </c>
      <c r="CUO30" t="str">
        <f t="shared" si="44"/>
        <v/>
      </c>
      <c r="CUP30" t="str">
        <f t="shared" si="44"/>
        <v/>
      </c>
      <c r="CUQ30" t="str">
        <f t="shared" si="44"/>
        <v/>
      </c>
      <c r="CUR30" t="str">
        <f t="shared" si="44"/>
        <v/>
      </c>
      <c r="CUS30" t="str">
        <f t="shared" si="44"/>
        <v/>
      </c>
      <c r="CUT30" t="str">
        <f t="shared" si="44"/>
        <v/>
      </c>
      <c r="CUU30" t="str">
        <f t="shared" si="44"/>
        <v/>
      </c>
      <c r="CUV30" t="str">
        <f t="shared" si="44"/>
        <v/>
      </c>
      <c r="CUW30" t="str">
        <f t="shared" si="44"/>
        <v/>
      </c>
      <c r="CUX30" t="str">
        <f t="shared" si="44"/>
        <v/>
      </c>
      <c r="CUY30" t="str">
        <f t="shared" si="44"/>
        <v/>
      </c>
      <c r="CUZ30" t="str">
        <f t="shared" si="44"/>
        <v/>
      </c>
      <c r="CVA30" t="str">
        <f t="shared" si="44"/>
        <v/>
      </c>
      <c r="CVB30" t="str">
        <f t="shared" si="44"/>
        <v/>
      </c>
      <c r="CVC30" t="str">
        <f t="shared" si="44"/>
        <v/>
      </c>
      <c r="CVD30" t="str">
        <f t="shared" si="44"/>
        <v/>
      </c>
      <c r="CVE30" t="str">
        <f t="shared" si="44"/>
        <v/>
      </c>
      <c r="CVF30" t="str">
        <f t="shared" si="44"/>
        <v/>
      </c>
      <c r="CVG30" t="str">
        <f t="shared" si="44"/>
        <v/>
      </c>
      <c r="CVH30" t="str">
        <f t="shared" si="44"/>
        <v/>
      </c>
      <c r="CVI30" t="str">
        <f t="shared" si="44"/>
        <v/>
      </c>
      <c r="CVJ30" t="str">
        <f t="shared" si="44"/>
        <v/>
      </c>
      <c r="CVK30" t="str">
        <f t="shared" si="44"/>
        <v/>
      </c>
      <c r="CVL30" t="str">
        <f t="shared" si="44"/>
        <v/>
      </c>
      <c r="CVM30" t="str">
        <f t="shared" si="44"/>
        <v/>
      </c>
      <c r="CVN30" t="str">
        <f t="shared" si="44"/>
        <v/>
      </c>
      <c r="CVO30" t="str">
        <f t="shared" si="44"/>
        <v/>
      </c>
      <c r="CVP30" t="str">
        <f t="shared" si="44"/>
        <v/>
      </c>
      <c r="CVQ30" t="str">
        <f t="shared" si="44"/>
        <v/>
      </c>
      <c r="CVR30" t="str">
        <f t="shared" si="44"/>
        <v/>
      </c>
      <c r="CVS30" t="str">
        <f t="shared" si="44"/>
        <v/>
      </c>
      <c r="CVT30" t="str">
        <f t="shared" si="44"/>
        <v/>
      </c>
      <c r="CVU30" t="str">
        <f t="shared" si="44"/>
        <v/>
      </c>
      <c r="CVV30" t="str">
        <f t="shared" si="44"/>
        <v/>
      </c>
      <c r="CVW30" t="str">
        <f t="shared" si="44"/>
        <v/>
      </c>
      <c r="CVX30" t="str">
        <f t="shared" si="44"/>
        <v/>
      </c>
      <c r="CVY30" t="str">
        <f t="shared" si="44"/>
        <v/>
      </c>
      <c r="CVZ30" t="str">
        <f t="shared" si="44"/>
        <v/>
      </c>
      <c r="CWA30" t="str">
        <f t="shared" si="44"/>
        <v/>
      </c>
      <c r="CWB30" t="str">
        <f t="shared" si="44"/>
        <v/>
      </c>
      <c r="CWC30" t="str">
        <f t="shared" si="44"/>
        <v/>
      </c>
      <c r="CWD30" t="str">
        <f t="shared" si="44"/>
        <v/>
      </c>
      <c r="CWE30" t="str">
        <f t="shared" si="44"/>
        <v/>
      </c>
      <c r="CWF30" t="str">
        <f t="shared" si="44"/>
        <v/>
      </c>
      <c r="CWG30" t="str">
        <f t="shared" si="44"/>
        <v/>
      </c>
      <c r="CWH30" t="str">
        <f t="shared" si="44"/>
        <v/>
      </c>
      <c r="CWI30" t="str">
        <f t="shared" si="44"/>
        <v/>
      </c>
      <c r="CWJ30" t="str">
        <f t="shared" si="44"/>
        <v/>
      </c>
      <c r="CWK30" t="str">
        <f t="shared" si="44"/>
        <v/>
      </c>
      <c r="CWL30" t="str">
        <f t="shared" si="44"/>
        <v/>
      </c>
      <c r="CWM30" t="str">
        <f t="shared" si="44"/>
        <v/>
      </c>
      <c r="CWN30" t="str">
        <f t="shared" ref="CWN30:CYY30" si="45">TRIM(CWZ11)</f>
        <v/>
      </c>
      <c r="CWO30" t="str">
        <f t="shared" si="45"/>
        <v/>
      </c>
      <c r="CWP30" t="str">
        <f t="shared" si="45"/>
        <v/>
      </c>
      <c r="CWQ30" t="str">
        <f t="shared" si="45"/>
        <v/>
      </c>
      <c r="CWR30" t="str">
        <f t="shared" si="45"/>
        <v/>
      </c>
      <c r="CWS30" t="str">
        <f t="shared" si="45"/>
        <v/>
      </c>
      <c r="CWT30" t="str">
        <f t="shared" si="45"/>
        <v/>
      </c>
      <c r="CWU30" t="str">
        <f t="shared" si="45"/>
        <v/>
      </c>
      <c r="CWV30" t="str">
        <f t="shared" si="45"/>
        <v/>
      </c>
      <c r="CWW30" t="str">
        <f t="shared" si="45"/>
        <v/>
      </c>
      <c r="CWX30" t="str">
        <f t="shared" si="45"/>
        <v/>
      </c>
      <c r="CWY30" t="str">
        <f t="shared" si="45"/>
        <v/>
      </c>
      <c r="CWZ30" t="str">
        <f t="shared" si="45"/>
        <v/>
      </c>
      <c r="CXA30" t="str">
        <f t="shared" si="45"/>
        <v/>
      </c>
      <c r="CXB30" t="str">
        <f t="shared" si="45"/>
        <v/>
      </c>
      <c r="CXC30" t="str">
        <f t="shared" si="45"/>
        <v/>
      </c>
      <c r="CXD30" t="str">
        <f t="shared" si="45"/>
        <v/>
      </c>
      <c r="CXE30" t="str">
        <f t="shared" si="45"/>
        <v/>
      </c>
      <c r="CXF30" t="str">
        <f t="shared" si="45"/>
        <v/>
      </c>
      <c r="CXG30" t="str">
        <f t="shared" si="45"/>
        <v/>
      </c>
      <c r="CXH30" t="str">
        <f t="shared" si="45"/>
        <v/>
      </c>
      <c r="CXI30" t="str">
        <f t="shared" si="45"/>
        <v/>
      </c>
      <c r="CXJ30" t="str">
        <f t="shared" si="45"/>
        <v/>
      </c>
      <c r="CXK30" t="str">
        <f t="shared" si="45"/>
        <v/>
      </c>
      <c r="CXL30" t="str">
        <f t="shared" si="45"/>
        <v/>
      </c>
      <c r="CXM30" t="str">
        <f t="shared" si="45"/>
        <v/>
      </c>
      <c r="CXN30" t="str">
        <f t="shared" si="45"/>
        <v/>
      </c>
      <c r="CXO30" t="str">
        <f t="shared" si="45"/>
        <v/>
      </c>
      <c r="CXP30" t="str">
        <f t="shared" si="45"/>
        <v/>
      </c>
      <c r="CXQ30" t="str">
        <f t="shared" si="45"/>
        <v/>
      </c>
      <c r="CXR30" t="str">
        <f t="shared" si="45"/>
        <v/>
      </c>
      <c r="CXS30" t="str">
        <f t="shared" si="45"/>
        <v/>
      </c>
      <c r="CXT30" t="str">
        <f t="shared" si="45"/>
        <v/>
      </c>
      <c r="CXU30" t="str">
        <f t="shared" si="45"/>
        <v/>
      </c>
      <c r="CXV30" t="str">
        <f t="shared" si="45"/>
        <v/>
      </c>
      <c r="CXW30" t="str">
        <f t="shared" si="45"/>
        <v/>
      </c>
      <c r="CXX30" t="str">
        <f t="shared" si="45"/>
        <v/>
      </c>
      <c r="CXY30" t="str">
        <f t="shared" si="45"/>
        <v/>
      </c>
      <c r="CXZ30" t="str">
        <f t="shared" si="45"/>
        <v/>
      </c>
      <c r="CYA30" t="str">
        <f t="shared" si="45"/>
        <v/>
      </c>
      <c r="CYB30" t="str">
        <f t="shared" si="45"/>
        <v/>
      </c>
      <c r="CYC30" t="str">
        <f t="shared" si="45"/>
        <v/>
      </c>
      <c r="CYD30" t="str">
        <f t="shared" si="45"/>
        <v/>
      </c>
      <c r="CYE30" t="str">
        <f t="shared" si="45"/>
        <v/>
      </c>
      <c r="CYF30" t="str">
        <f t="shared" si="45"/>
        <v/>
      </c>
      <c r="CYG30" t="str">
        <f t="shared" si="45"/>
        <v/>
      </c>
      <c r="CYH30" t="str">
        <f t="shared" si="45"/>
        <v/>
      </c>
      <c r="CYI30" t="str">
        <f t="shared" si="45"/>
        <v/>
      </c>
      <c r="CYJ30" t="str">
        <f t="shared" si="45"/>
        <v/>
      </c>
      <c r="CYK30" t="str">
        <f t="shared" si="45"/>
        <v/>
      </c>
      <c r="CYL30" t="str">
        <f t="shared" si="45"/>
        <v/>
      </c>
      <c r="CYM30" t="str">
        <f t="shared" si="45"/>
        <v/>
      </c>
      <c r="CYN30" t="str">
        <f t="shared" si="45"/>
        <v/>
      </c>
      <c r="CYO30" t="str">
        <f t="shared" si="45"/>
        <v/>
      </c>
      <c r="CYP30" t="str">
        <f t="shared" si="45"/>
        <v/>
      </c>
      <c r="CYQ30" t="str">
        <f t="shared" si="45"/>
        <v/>
      </c>
      <c r="CYR30" t="str">
        <f t="shared" si="45"/>
        <v/>
      </c>
      <c r="CYS30" t="str">
        <f t="shared" si="45"/>
        <v/>
      </c>
      <c r="CYT30" t="str">
        <f t="shared" si="45"/>
        <v/>
      </c>
      <c r="CYU30" t="str">
        <f t="shared" si="45"/>
        <v/>
      </c>
      <c r="CYV30" t="str">
        <f t="shared" si="45"/>
        <v/>
      </c>
      <c r="CYW30" t="str">
        <f t="shared" si="45"/>
        <v/>
      </c>
      <c r="CYX30" t="str">
        <f t="shared" si="45"/>
        <v/>
      </c>
      <c r="CYY30" t="str">
        <f t="shared" si="45"/>
        <v/>
      </c>
      <c r="CYZ30" t="str">
        <f t="shared" ref="CYZ30:DBK30" si="46">TRIM(CZL11)</f>
        <v/>
      </c>
      <c r="CZA30" t="str">
        <f t="shared" si="46"/>
        <v/>
      </c>
      <c r="CZB30" t="str">
        <f t="shared" si="46"/>
        <v/>
      </c>
      <c r="CZC30" t="str">
        <f t="shared" si="46"/>
        <v/>
      </c>
      <c r="CZD30" t="str">
        <f t="shared" si="46"/>
        <v/>
      </c>
      <c r="CZE30" t="str">
        <f t="shared" si="46"/>
        <v/>
      </c>
      <c r="CZF30" t="str">
        <f t="shared" si="46"/>
        <v/>
      </c>
      <c r="CZG30" t="str">
        <f t="shared" si="46"/>
        <v/>
      </c>
      <c r="CZH30" t="str">
        <f t="shared" si="46"/>
        <v/>
      </c>
      <c r="CZI30" t="str">
        <f t="shared" si="46"/>
        <v/>
      </c>
      <c r="CZJ30" t="str">
        <f t="shared" si="46"/>
        <v/>
      </c>
      <c r="CZK30" t="str">
        <f t="shared" si="46"/>
        <v/>
      </c>
      <c r="CZL30" t="str">
        <f t="shared" si="46"/>
        <v/>
      </c>
      <c r="CZM30" t="str">
        <f t="shared" si="46"/>
        <v/>
      </c>
      <c r="CZN30" t="str">
        <f t="shared" si="46"/>
        <v/>
      </c>
      <c r="CZO30" t="str">
        <f t="shared" si="46"/>
        <v/>
      </c>
      <c r="CZP30" t="str">
        <f t="shared" si="46"/>
        <v/>
      </c>
      <c r="CZQ30" t="str">
        <f t="shared" si="46"/>
        <v/>
      </c>
      <c r="CZR30" t="str">
        <f t="shared" si="46"/>
        <v/>
      </c>
      <c r="CZS30" t="str">
        <f t="shared" si="46"/>
        <v/>
      </c>
      <c r="CZT30" t="str">
        <f t="shared" si="46"/>
        <v/>
      </c>
      <c r="CZU30" t="str">
        <f t="shared" si="46"/>
        <v/>
      </c>
      <c r="CZV30" t="str">
        <f t="shared" si="46"/>
        <v/>
      </c>
      <c r="CZW30" t="str">
        <f t="shared" si="46"/>
        <v/>
      </c>
      <c r="CZX30" t="str">
        <f t="shared" si="46"/>
        <v/>
      </c>
      <c r="CZY30" t="str">
        <f t="shared" si="46"/>
        <v/>
      </c>
      <c r="CZZ30" t="str">
        <f t="shared" si="46"/>
        <v/>
      </c>
      <c r="DAA30" t="str">
        <f t="shared" si="46"/>
        <v/>
      </c>
      <c r="DAB30" t="str">
        <f t="shared" si="46"/>
        <v/>
      </c>
      <c r="DAC30" t="str">
        <f t="shared" si="46"/>
        <v/>
      </c>
      <c r="DAD30" t="str">
        <f t="shared" si="46"/>
        <v/>
      </c>
      <c r="DAE30" t="str">
        <f t="shared" si="46"/>
        <v/>
      </c>
      <c r="DAF30" t="str">
        <f t="shared" si="46"/>
        <v/>
      </c>
      <c r="DAG30" t="str">
        <f t="shared" si="46"/>
        <v/>
      </c>
      <c r="DAH30" t="str">
        <f t="shared" si="46"/>
        <v/>
      </c>
      <c r="DAI30" t="str">
        <f t="shared" si="46"/>
        <v/>
      </c>
      <c r="DAJ30" t="str">
        <f t="shared" si="46"/>
        <v/>
      </c>
      <c r="DAK30" t="str">
        <f t="shared" si="46"/>
        <v/>
      </c>
      <c r="DAL30" t="str">
        <f t="shared" si="46"/>
        <v/>
      </c>
      <c r="DAM30" t="str">
        <f t="shared" si="46"/>
        <v/>
      </c>
      <c r="DAN30" t="str">
        <f t="shared" si="46"/>
        <v/>
      </c>
      <c r="DAO30" t="str">
        <f t="shared" si="46"/>
        <v/>
      </c>
      <c r="DAP30" t="str">
        <f t="shared" si="46"/>
        <v/>
      </c>
      <c r="DAQ30" t="str">
        <f t="shared" si="46"/>
        <v/>
      </c>
      <c r="DAR30" t="str">
        <f t="shared" si="46"/>
        <v/>
      </c>
      <c r="DAS30" t="str">
        <f t="shared" si="46"/>
        <v/>
      </c>
      <c r="DAT30" t="str">
        <f t="shared" si="46"/>
        <v/>
      </c>
      <c r="DAU30" t="str">
        <f t="shared" si="46"/>
        <v/>
      </c>
      <c r="DAV30" t="str">
        <f t="shared" si="46"/>
        <v/>
      </c>
      <c r="DAW30" t="str">
        <f t="shared" si="46"/>
        <v/>
      </c>
      <c r="DAX30" t="str">
        <f t="shared" si="46"/>
        <v/>
      </c>
      <c r="DAY30" t="str">
        <f t="shared" si="46"/>
        <v/>
      </c>
      <c r="DAZ30" t="str">
        <f t="shared" si="46"/>
        <v/>
      </c>
      <c r="DBA30" t="str">
        <f t="shared" si="46"/>
        <v/>
      </c>
      <c r="DBB30" t="str">
        <f t="shared" si="46"/>
        <v/>
      </c>
      <c r="DBC30" t="str">
        <f t="shared" si="46"/>
        <v/>
      </c>
      <c r="DBD30" t="str">
        <f t="shared" si="46"/>
        <v/>
      </c>
      <c r="DBE30" t="str">
        <f t="shared" si="46"/>
        <v/>
      </c>
      <c r="DBF30" t="str">
        <f t="shared" si="46"/>
        <v/>
      </c>
      <c r="DBG30" t="str">
        <f t="shared" si="46"/>
        <v/>
      </c>
      <c r="DBH30" t="str">
        <f t="shared" si="46"/>
        <v/>
      </c>
      <c r="DBI30" t="str">
        <f t="shared" si="46"/>
        <v/>
      </c>
      <c r="DBJ30" t="str">
        <f t="shared" si="46"/>
        <v/>
      </c>
      <c r="DBK30" t="str">
        <f t="shared" si="46"/>
        <v/>
      </c>
      <c r="DBL30" t="str">
        <f t="shared" ref="DBL30:DDW30" si="47">TRIM(DBX11)</f>
        <v/>
      </c>
      <c r="DBM30" t="str">
        <f t="shared" si="47"/>
        <v/>
      </c>
      <c r="DBN30" t="str">
        <f t="shared" si="47"/>
        <v/>
      </c>
      <c r="DBO30" t="str">
        <f t="shared" si="47"/>
        <v/>
      </c>
      <c r="DBP30" t="str">
        <f t="shared" si="47"/>
        <v/>
      </c>
      <c r="DBQ30" t="str">
        <f t="shared" si="47"/>
        <v/>
      </c>
      <c r="DBR30" t="str">
        <f t="shared" si="47"/>
        <v/>
      </c>
      <c r="DBS30" t="str">
        <f t="shared" si="47"/>
        <v/>
      </c>
      <c r="DBT30" t="str">
        <f t="shared" si="47"/>
        <v/>
      </c>
      <c r="DBU30" t="str">
        <f t="shared" si="47"/>
        <v/>
      </c>
      <c r="DBV30" t="str">
        <f t="shared" si="47"/>
        <v/>
      </c>
      <c r="DBW30" t="str">
        <f t="shared" si="47"/>
        <v/>
      </c>
      <c r="DBX30" t="str">
        <f t="shared" si="47"/>
        <v/>
      </c>
      <c r="DBY30" t="str">
        <f t="shared" si="47"/>
        <v/>
      </c>
      <c r="DBZ30" t="str">
        <f t="shared" si="47"/>
        <v/>
      </c>
      <c r="DCA30" t="str">
        <f t="shared" si="47"/>
        <v/>
      </c>
      <c r="DCB30" t="str">
        <f t="shared" si="47"/>
        <v/>
      </c>
      <c r="DCC30" t="str">
        <f t="shared" si="47"/>
        <v/>
      </c>
      <c r="DCD30" t="str">
        <f t="shared" si="47"/>
        <v/>
      </c>
      <c r="DCE30" t="str">
        <f t="shared" si="47"/>
        <v/>
      </c>
      <c r="DCF30" t="str">
        <f t="shared" si="47"/>
        <v/>
      </c>
      <c r="DCG30" t="str">
        <f t="shared" si="47"/>
        <v/>
      </c>
      <c r="DCH30" t="str">
        <f t="shared" si="47"/>
        <v/>
      </c>
      <c r="DCI30" t="str">
        <f t="shared" si="47"/>
        <v/>
      </c>
      <c r="DCJ30" t="str">
        <f t="shared" si="47"/>
        <v/>
      </c>
      <c r="DCK30" t="str">
        <f t="shared" si="47"/>
        <v/>
      </c>
      <c r="DCL30" t="str">
        <f t="shared" si="47"/>
        <v/>
      </c>
      <c r="DCM30" t="str">
        <f t="shared" si="47"/>
        <v/>
      </c>
      <c r="DCN30" t="str">
        <f t="shared" si="47"/>
        <v/>
      </c>
      <c r="DCO30" t="str">
        <f t="shared" si="47"/>
        <v/>
      </c>
      <c r="DCP30" t="str">
        <f t="shared" si="47"/>
        <v/>
      </c>
      <c r="DCQ30" t="str">
        <f t="shared" si="47"/>
        <v/>
      </c>
      <c r="DCR30" t="str">
        <f t="shared" si="47"/>
        <v/>
      </c>
      <c r="DCS30" t="str">
        <f t="shared" si="47"/>
        <v/>
      </c>
      <c r="DCT30" t="str">
        <f t="shared" si="47"/>
        <v/>
      </c>
      <c r="DCU30" t="str">
        <f t="shared" si="47"/>
        <v/>
      </c>
      <c r="DCV30" t="str">
        <f t="shared" si="47"/>
        <v/>
      </c>
      <c r="DCW30" t="str">
        <f t="shared" si="47"/>
        <v/>
      </c>
      <c r="DCX30" t="str">
        <f t="shared" si="47"/>
        <v/>
      </c>
      <c r="DCY30" t="str">
        <f t="shared" si="47"/>
        <v/>
      </c>
      <c r="DCZ30" t="str">
        <f t="shared" si="47"/>
        <v/>
      </c>
      <c r="DDA30" t="str">
        <f t="shared" si="47"/>
        <v/>
      </c>
      <c r="DDB30" t="str">
        <f t="shared" si="47"/>
        <v/>
      </c>
      <c r="DDC30" t="str">
        <f t="shared" si="47"/>
        <v/>
      </c>
      <c r="DDD30" t="str">
        <f t="shared" si="47"/>
        <v/>
      </c>
      <c r="DDE30" t="str">
        <f t="shared" si="47"/>
        <v/>
      </c>
      <c r="DDF30" t="str">
        <f t="shared" si="47"/>
        <v/>
      </c>
      <c r="DDG30" t="str">
        <f t="shared" si="47"/>
        <v/>
      </c>
      <c r="DDH30" t="str">
        <f t="shared" si="47"/>
        <v/>
      </c>
      <c r="DDI30" t="str">
        <f t="shared" si="47"/>
        <v/>
      </c>
      <c r="DDJ30" t="str">
        <f t="shared" si="47"/>
        <v/>
      </c>
      <c r="DDK30" t="str">
        <f t="shared" si="47"/>
        <v/>
      </c>
      <c r="DDL30" t="str">
        <f t="shared" si="47"/>
        <v/>
      </c>
      <c r="DDM30" t="str">
        <f t="shared" si="47"/>
        <v/>
      </c>
      <c r="DDN30" t="str">
        <f t="shared" si="47"/>
        <v/>
      </c>
      <c r="DDO30" t="str">
        <f t="shared" si="47"/>
        <v/>
      </c>
      <c r="DDP30" t="str">
        <f t="shared" si="47"/>
        <v/>
      </c>
      <c r="DDQ30" t="str">
        <f t="shared" si="47"/>
        <v/>
      </c>
      <c r="DDR30" t="str">
        <f t="shared" si="47"/>
        <v/>
      </c>
      <c r="DDS30" t="str">
        <f t="shared" si="47"/>
        <v/>
      </c>
      <c r="DDT30" t="str">
        <f t="shared" si="47"/>
        <v/>
      </c>
      <c r="DDU30" t="str">
        <f t="shared" si="47"/>
        <v/>
      </c>
      <c r="DDV30" t="str">
        <f t="shared" si="47"/>
        <v/>
      </c>
      <c r="DDW30" t="str">
        <f t="shared" si="47"/>
        <v/>
      </c>
      <c r="DDX30" t="str">
        <f t="shared" ref="DDX30:DGI30" si="48">TRIM(DEJ11)</f>
        <v/>
      </c>
      <c r="DDY30" t="str">
        <f t="shared" si="48"/>
        <v/>
      </c>
      <c r="DDZ30" t="str">
        <f t="shared" si="48"/>
        <v/>
      </c>
      <c r="DEA30" t="str">
        <f t="shared" si="48"/>
        <v/>
      </c>
      <c r="DEB30" t="str">
        <f t="shared" si="48"/>
        <v/>
      </c>
      <c r="DEC30" t="str">
        <f t="shared" si="48"/>
        <v/>
      </c>
      <c r="DED30" t="str">
        <f t="shared" si="48"/>
        <v/>
      </c>
      <c r="DEE30" t="str">
        <f t="shared" si="48"/>
        <v/>
      </c>
      <c r="DEF30" t="str">
        <f t="shared" si="48"/>
        <v/>
      </c>
      <c r="DEG30" t="str">
        <f t="shared" si="48"/>
        <v/>
      </c>
      <c r="DEH30" t="str">
        <f t="shared" si="48"/>
        <v/>
      </c>
      <c r="DEI30" t="str">
        <f t="shared" si="48"/>
        <v/>
      </c>
      <c r="DEJ30" t="str">
        <f t="shared" si="48"/>
        <v/>
      </c>
      <c r="DEK30" t="str">
        <f t="shared" si="48"/>
        <v/>
      </c>
      <c r="DEL30" t="str">
        <f t="shared" si="48"/>
        <v/>
      </c>
      <c r="DEM30" t="str">
        <f t="shared" si="48"/>
        <v/>
      </c>
      <c r="DEN30" t="str">
        <f t="shared" si="48"/>
        <v/>
      </c>
      <c r="DEO30" t="str">
        <f t="shared" si="48"/>
        <v/>
      </c>
      <c r="DEP30" t="str">
        <f t="shared" si="48"/>
        <v/>
      </c>
      <c r="DEQ30" t="str">
        <f t="shared" si="48"/>
        <v/>
      </c>
      <c r="DER30" t="str">
        <f t="shared" si="48"/>
        <v/>
      </c>
      <c r="DES30" t="str">
        <f t="shared" si="48"/>
        <v/>
      </c>
      <c r="DET30" t="str">
        <f t="shared" si="48"/>
        <v/>
      </c>
      <c r="DEU30" t="str">
        <f t="shared" si="48"/>
        <v/>
      </c>
      <c r="DEV30" t="str">
        <f t="shared" si="48"/>
        <v/>
      </c>
      <c r="DEW30" t="str">
        <f t="shared" si="48"/>
        <v/>
      </c>
      <c r="DEX30" t="str">
        <f t="shared" si="48"/>
        <v/>
      </c>
      <c r="DEY30" t="str">
        <f t="shared" si="48"/>
        <v/>
      </c>
      <c r="DEZ30" t="str">
        <f t="shared" si="48"/>
        <v/>
      </c>
      <c r="DFA30" t="str">
        <f t="shared" si="48"/>
        <v/>
      </c>
      <c r="DFB30" t="str">
        <f t="shared" si="48"/>
        <v/>
      </c>
      <c r="DFC30" t="str">
        <f t="shared" si="48"/>
        <v/>
      </c>
      <c r="DFD30" t="str">
        <f t="shared" si="48"/>
        <v/>
      </c>
      <c r="DFE30" t="str">
        <f t="shared" si="48"/>
        <v/>
      </c>
      <c r="DFF30" t="str">
        <f t="shared" si="48"/>
        <v/>
      </c>
      <c r="DFG30" t="str">
        <f t="shared" si="48"/>
        <v/>
      </c>
      <c r="DFH30" t="str">
        <f t="shared" si="48"/>
        <v/>
      </c>
      <c r="DFI30" t="str">
        <f t="shared" si="48"/>
        <v/>
      </c>
      <c r="DFJ30" t="str">
        <f t="shared" si="48"/>
        <v/>
      </c>
      <c r="DFK30" t="str">
        <f t="shared" si="48"/>
        <v/>
      </c>
      <c r="DFL30" t="str">
        <f t="shared" si="48"/>
        <v/>
      </c>
      <c r="DFM30" t="str">
        <f t="shared" si="48"/>
        <v/>
      </c>
      <c r="DFN30" t="str">
        <f t="shared" si="48"/>
        <v/>
      </c>
      <c r="DFO30" t="str">
        <f t="shared" si="48"/>
        <v/>
      </c>
      <c r="DFP30" t="str">
        <f t="shared" si="48"/>
        <v/>
      </c>
      <c r="DFQ30" t="str">
        <f t="shared" si="48"/>
        <v/>
      </c>
      <c r="DFR30" t="str">
        <f t="shared" si="48"/>
        <v/>
      </c>
      <c r="DFS30" t="str">
        <f t="shared" si="48"/>
        <v/>
      </c>
      <c r="DFT30" t="str">
        <f t="shared" si="48"/>
        <v/>
      </c>
      <c r="DFU30" t="str">
        <f t="shared" si="48"/>
        <v/>
      </c>
      <c r="DFV30" t="str">
        <f t="shared" si="48"/>
        <v/>
      </c>
      <c r="DFW30" t="str">
        <f t="shared" si="48"/>
        <v/>
      </c>
      <c r="DFX30" t="str">
        <f t="shared" si="48"/>
        <v/>
      </c>
      <c r="DFY30" t="str">
        <f t="shared" si="48"/>
        <v/>
      </c>
      <c r="DFZ30" t="str">
        <f t="shared" si="48"/>
        <v/>
      </c>
      <c r="DGA30" t="str">
        <f t="shared" si="48"/>
        <v/>
      </c>
      <c r="DGB30" t="str">
        <f t="shared" si="48"/>
        <v/>
      </c>
      <c r="DGC30" t="str">
        <f t="shared" si="48"/>
        <v/>
      </c>
      <c r="DGD30" t="str">
        <f t="shared" si="48"/>
        <v/>
      </c>
      <c r="DGE30" t="str">
        <f t="shared" si="48"/>
        <v/>
      </c>
      <c r="DGF30" t="str">
        <f t="shared" si="48"/>
        <v/>
      </c>
      <c r="DGG30" t="str">
        <f t="shared" si="48"/>
        <v/>
      </c>
      <c r="DGH30" t="str">
        <f t="shared" si="48"/>
        <v/>
      </c>
      <c r="DGI30" t="str">
        <f t="shared" si="48"/>
        <v/>
      </c>
      <c r="DGJ30" t="str">
        <f t="shared" ref="DGJ30:DIU30" si="49">TRIM(DGV11)</f>
        <v/>
      </c>
      <c r="DGK30" t="str">
        <f t="shared" si="49"/>
        <v/>
      </c>
      <c r="DGL30" t="str">
        <f t="shared" si="49"/>
        <v/>
      </c>
      <c r="DGM30" t="str">
        <f t="shared" si="49"/>
        <v/>
      </c>
      <c r="DGN30" t="str">
        <f t="shared" si="49"/>
        <v/>
      </c>
      <c r="DGO30" t="str">
        <f t="shared" si="49"/>
        <v/>
      </c>
      <c r="DGP30" t="str">
        <f t="shared" si="49"/>
        <v/>
      </c>
      <c r="DGQ30" t="str">
        <f t="shared" si="49"/>
        <v/>
      </c>
      <c r="DGR30" t="str">
        <f t="shared" si="49"/>
        <v/>
      </c>
      <c r="DGS30" t="str">
        <f t="shared" si="49"/>
        <v/>
      </c>
      <c r="DGT30" t="str">
        <f t="shared" si="49"/>
        <v/>
      </c>
      <c r="DGU30" t="str">
        <f t="shared" si="49"/>
        <v/>
      </c>
      <c r="DGV30" t="str">
        <f t="shared" si="49"/>
        <v/>
      </c>
      <c r="DGW30" t="str">
        <f t="shared" si="49"/>
        <v/>
      </c>
      <c r="DGX30" t="str">
        <f t="shared" si="49"/>
        <v/>
      </c>
      <c r="DGY30" t="str">
        <f t="shared" si="49"/>
        <v/>
      </c>
      <c r="DGZ30" t="str">
        <f t="shared" si="49"/>
        <v/>
      </c>
      <c r="DHA30" t="str">
        <f t="shared" si="49"/>
        <v/>
      </c>
      <c r="DHB30" t="str">
        <f t="shared" si="49"/>
        <v/>
      </c>
      <c r="DHC30" t="str">
        <f t="shared" si="49"/>
        <v/>
      </c>
      <c r="DHD30" t="str">
        <f t="shared" si="49"/>
        <v/>
      </c>
      <c r="DHE30" t="str">
        <f t="shared" si="49"/>
        <v/>
      </c>
      <c r="DHF30" t="str">
        <f t="shared" si="49"/>
        <v/>
      </c>
      <c r="DHG30" t="str">
        <f t="shared" si="49"/>
        <v/>
      </c>
      <c r="DHH30" t="str">
        <f t="shared" si="49"/>
        <v/>
      </c>
      <c r="DHI30" t="str">
        <f t="shared" si="49"/>
        <v/>
      </c>
      <c r="DHJ30" t="str">
        <f t="shared" si="49"/>
        <v/>
      </c>
      <c r="DHK30" t="str">
        <f t="shared" si="49"/>
        <v/>
      </c>
      <c r="DHL30" t="str">
        <f t="shared" si="49"/>
        <v/>
      </c>
      <c r="DHM30" t="str">
        <f t="shared" si="49"/>
        <v/>
      </c>
      <c r="DHN30" t="str">
        <f t="shared" si="49"/>
        <v/>
      </c>
      <c r="DHO30" t="str">
        <f t="shared" si="49"/>
        <v/>
      </c>
      <c r="DHP30" t="str">
        <f t="shared" si="49"/>
        <v/>
      </c>
      <c r="DHQ30" t="str">
        <f t="shared" si="49"/>
        <v/>
      </c>
      <c r="DHR30" t="str">
        <f t="shared" si="49"/>
        <v/>
      </c>
      <c r="DHS30" t="str">
        <f t="shared" si="49"/>
        <v/>
      </c>
      <c r="DHT30" t="str">
        <f t="shared" si="49"/>
        <v/>
      </c>
      <c r="DHU30" t="str">
        <f t="shared" si="49"/>
        <v/>
      </c>
      <c r="DHV30" t="str">
        <f t="shared" si="49"/>
        <v/>
      </c>
      <c r="DHW30" t="str">
        <f t="shared" si="49"/>
        <v/>
      </c>
      <c r="DHX30" t="str">
        <f t="shared" si="49"/>
        <v/>
      </c>
      <c r="DHY30" t="str">
        <f t="shared" si="49"/>
        <v/>
      </c>
      <c r="DHZ30" t="str">
        <f t="shared" si="49"/>
        <v/>
      </c>
      <c r="DIA30" t="str">
        <f t="shared" si="49"/>
        <v/>
      </c>
      <c r="DIB30" t="str">
        <f t="shared" si="49"/>
        <v/>
      </c>
      <c r="DIC30" t="str">
        <f t="shared" si="49"/>
        <v/>
      </c>
      <c r="DID30" t="str">
        <f t="shared" si="49"/>
        <v/>
      </c>
      <c r="DIE30" t="str">
        <f t="shared" si="49"/>
        <v/>
      </c>
      <c r="DIF30" t="str">
        <f t="shared" si="49"/>
        <v/>
      </c>
      <c r="DIG30" t="str">
        <f t="shared" si="49"/>
        <v/>
      </c>
      <c r="DIH30" t="str">
        <f t="shared" si="49"/>
        <v/>
      </c>
      <c r="DII30" t="str">
        <f t="shared" si="49"/>
        <v/>
      </c>
      <c r="DIJ30" t="str">
        <f t="shared" si="49"/>
        <v/>
      </c>
      <c r="DIK30" t="str">
        <f t="shared" si="49"/>
        <v/>
      </c>
      <c r="DIL30" t="str">
        <f t="shared" si="49"/>
        <v/>
      </c>
      <c r="DIM30" t="str">
        <f t="shared" si="49"/>
        <v/>
      </c>
      <c r="DIN30" t="str">
        <f t="shared" si="49"/>
        <v/>
      </c>
      <c r="DIO30" t="str">
        <f t="shared" si="49"/>
        <v/>
      </c>
      <c r="DIP30" t="str">
        <f t="shared" si="49"/>
        <v/>
      </c>
      <c r="DIQ30" t="str">
        <f t="shared" si="49"/>
        <v/>
      </c>
      <c r="DIR30" t="str">
        <f t="shared" si="49"/>
        <v/>
      </c>
      <c r="DIS30" t="str">
        <f t="shared" si="49"/>
        <v/>
      </c>
      <c r="DIT30" t="str">
        <f t="shared" si="49"/>
        <v/>
      </c>
      <c r="DIU30" t="str">
        <f t="shared" si="49"/>
        <v/>
      </c>
      <c r="DIV30" t="str">
        <f t="shared" ref="DIV30:DLG30" si="50">TRIM(DJH11)</f>
        <v/>
      </c>
      <c r="DIW30" t="str">
        <f t="shared" si="50"/>
        <v/>
      </c>
      <c r="DIX30" t="str">
        <f t="shared" si="50"/>
        <v/>
      </c>
      <c r="DIY30" t="str">
        <f t="shared" si="50"/>
        <v/>
      </c>
      <c r="DIZ30" t="str">
        <f t="shared" si="50"/>
        <v/>
      </c>
      <c r="DJA30" t="str">
        <f t="shared" si="50"/>
        <v/>
      </c>
      <c r="DJB30" t="str">
        <f t="shared" si="50"/>
        <v/>
      </c>
      <c r="DJC30" t="str">
        <f t="shared" si="50"/>
        <v/>
      </c>
      <c r="DJD30" t="str">
        <f t="shared" si="50"/>
        <v/>
      </c>
      <c r="DJE30" t="str">
        <f t="shared" si="50"/>
        <v/>
      </c>
      <c r="DJF30" t="str">
        <f t="shared" si="50"/>
        <v/>
      </c>
      <c r="DJG30" t="str">
        <f t="shared" si="50"/>
        <v/>
      </c>
      <c r="DJH30" t="str">
        <f t="shared" si="50"/>
        <v/>
      </c>
      <c r="DJI30" t="str">
        <f t="shared" si="50"/>
        <v/>
      </c>
      <c r="DJJ30" t="str">
        <f t="shared" si="50"/>
        <v/>
      </c>
      <c r="DJK30" t="str">
        <f t="shared" si="50"/>
        <v/>
      </c>
      <c r="DJL30" t="str">
        <f t="shared" si="50"/>
        <v/>
      </c>
      <c r="DJM30" t="str">
        <f t="shared" si="50"/>
        <v/>
      </c>
      <c r="DJN30" t="str">
        <f t="shared" si="50"/>
        <v/>
      </c>
      <c r="DJO30" t="str">
        <f t="shared" si="50"/>
        <v/>
      </c>
      <c r="DJP30" t="str">
        <f t="shared" si="50"/>
        <v/>
      </c>
      <c r="DJQ30" t="str">
        <f t="shared" si="50"/>
        <v/>
      </c>
      <c r="DJR30" t="str">
        <f t="shared" si="50"/>
        <v/>
      </c>
      <c r="DJS30" t="str">
        <f t="shared" si="50"/>
        <v/>
      </c>
      <c r="DJT30" t="str">
        <f t="shared" si="50"/>
        <v/>
      </c>
      <c r="DJU30" t="str">
        <f t="shared" si="50"/>
        <v/>
      </c>
      <c r="DJV30" t="str">
        <f t="shared" si="50"/>
        <v/>
      </c>
      <c r="DJW30" t="str">
        <f t="shared" si="50"/>
        <v/>
      </c>
      <c r="DJX30" t="str">
        <f t="shared" si="50"/>
        <v/>
      </c>
      <c r="DJY30" t="str">
        <f t="shared" si="50"/>
        <v/>
      </c>
      <c r="DJZ30" t="str">
        <f t="shared" si="50"/>
        <v/>
      </c>
      <c r="DKA30" t="str">
        <f t="shared" si="50"/>
        <v/>
      </c>
      <c r="DKB30" t="str">
        <f t="shared" si="50"/>
        <v/>
      </c>
      <c r="DKC30" t="str">
        <f t="shared" si="50"/>
        <v/>
      </c>
      <c r="DKD30" t="str">
        <f t="shared" si="50"/>
        <v/>
      </c>
      <c r="DKE30" t="str">
        <f t="shared" si="50"/>
        <v/>
      </c>
      <c r="DKF30" t="str">
        <f t="shared" si="50"/>
        <v/>
      </c>
      <c r="DKG30" t="str">
        <f t="shared" si="50"/>
        <v/>
      </c>
      <c r="DKH30" t="str">
        <f t="shared" si="50"/>
        <v/>
      </c>
      <c r="DKI30" t="str">
        <f t="shared" si="50"/>
        <v/>
      </c>
      <c r="DKJ30" t="str">
        <f t="shared" si="50"/>
        <v/>
      </c>
      <c r="DKK30" t="str">
        <f t="shared" si="50"/>
        <v/>
      </c>
      <c r="DKL30" t="str">
        <f t="shared" si="50"/>
        <v/>
      </c>
      <c r="DKM30" t="str">
        <f t="shared" si="50"/>
        <v/>
      </c>
      <c r="DKN30" t="str">
        <f t="shared" si="50"/>
        <v/>
      </c>
      <c r="DKO30" t="str">
        <f t="shared" si="50"/>
        <v/>
      </c>
      <c r="DKP30" t="str">
        <f t="shared" si="50"/>
        <v/>
      </c>
      <c r="DKQ30" t="str">
        <f t="shared" si="50"/>
        <v/>
      </c>
      <c r="DKR30" t="str">
        <f t="shared" si="50"/>
        <v/>
      </c>
      <c r="DKS30" t="str">
        <f t="shared" si="50"/>
        <v/>
      </c>
      <c r="DKT30" t="str">
        <f t="shared" si="50"/>
        <v/>
      </c>
      <c r="DKU30" t="str">
        <f t="shared" si="50"/>
        <v/>
      </c>
      <c r="DKV30" t="str">
        <f t="shared" si="50"/>
        <v/>
      </c>
      <c r="DKW30" t="str">
        <f t="shared" si="50"/>
        <v/>
      </c>
      <c r="DKX30" t="str">
        <f t="shared" si="50"/>
        <v/>
      </c>
      <c r="DKY30" t="str">
        <f t="shared" si="50"/>
        <v/>
      </c>
      <c r="DKZ30" t="str">
        <f t="shared" si="50"/>
        <v/>
      </c>
      <c r="DLA30" t="str">
        <f t="shared" si="50"/>
        <v/>
      </c>
      <c r="DLB30" t="str">
        <f t="shared" si="50"/>
        <v/>
      </c>
      <c r="DLC30" t="str">
        <f t="shared" si="50"/>
        <v/>
      </c>
      <c r="DLD30" t="str">
        <f t="shared" si="50"/>
        <v/>
      </c>
      <c r="DLE30" t="str">
        <f t="shared" si="50"/>
        <v/>
      </c>
      <c r="DLF30" t="str">
        <f t="shared" si="50"/>
        <v/>
      </c>
      <c r="DLG30" t="str">
        <f t="shared" si="50"/>
        <v/>
      </c>
      <c r="DLH30" t="str">
        <f t="shared" ref="DLH30:DNS30" si="51">TRIM(DLT11)</f>
        <v/>
      </c>
      <c r="DLI30" t="str">
        <f t="shared" si="51"/>
        <v/>
      </c>
      <c r="DLJ30" t="str">
        <f t="shared" si="51"/>
        <v/>
      </c>
      <c r="DLK30" t="str">
        <f t="shared" si="51"/>
        <v/>
      </c>
      <c r="DLL30" t="str">
        <f t="shared" si="51"/>
        <v/>
      </c>
      <c r="DLM30" t="str">
        <f t="shared" si="51"/>
        <v/>
      </c>
      <c r="DLN30" t="str">
        <f t="shared" si="51"/>
        <v/>
      </c>
      <c r="DLO30" t="str">
        <f t="shared" si="51"/>
        <v/>
      </c>
      <c r="DLP30" t="str">
        <f t="shared" si="51"/>
        <v/>
      </c>
      <c r="DLQ30" t="str">
        <f t="shared" si="51"/>
        <v/>
      </c>
      <c r="DLR30" t="str">
        <f t="shared" si="51"/>
        <v/>
      </c>
      <c r="DLS30" t="str">
        <f t="shared" si="51"/>
        <v/>
      </c>
      <c r="DLT30" t="str">
        <f t="shared" si="51"/>
        <v/>
      </c>
      <c r="DLU30" t="str">
        <f t="shared" si="51"/>
        <v/>
      </c>
      <c r="DLV30" t="str">
        <f t="shared" si="51"/>
        <v/>
      </c>
      <c r="DLW30" t="str">
        <f t="shared" si="51"/>
        <v/>
      </c>
      <c r="DLX30" t="str">
        <f t="shared" si="51"/>
        <v/>
      </c>
      <c r="DLY30" t="str">
        <f t="shared" si="51"/>
        <v/>
      </c>
      <c r="DLZ30" t="str">
        <f t="shared" si="51"/>
        <v/>
      </c>
      <c r="DMA30" t="str">
        <f t="shared" si="51"/>
        <v/>
      </c>
      <c r="DMB30" t="str">
        <f t="shared" si="51"/>
        <v/>
      </c>
      <c r="DMC30" t="str">
        <f t="shared" si="51"/>
        <v/>
      </c>
      <c r="DMD30" t="str">
        <f t="shared" si="51"/>
        <v/>
      </c>
      <c r="DME30" t="str">
        <f t="shared" si="51"/>
        <v/>
      </c>
      <c r="DMF30" t="str">
        <f t="shared" si="51"/>
        <v/>
      </c>
      <c r="DMG30" t="str">
        <f t="shared" si="51"/>
        <v/>
      </c>
      <c r="DMH30" t="str">
        <f t="shared" si="51"/>
        <v/>
      </c>
      <c r="DMI30" t="str">
        <f t="shared" si="51"/>
        <v/>
      </c>
      <c r="DMJ30" t="str">
        <f t="shared" si="51"/>
        <v/>
      </c>
      <c r="DMK30" t="str">
        <f t="shared" si="51"/>
        <v/>
      </c>
      <c r="DML30" t="str">
        <f t="shared" si="51"/>
        <v/>
      </c>
      <c r="DMM30" t="str">
        <f t="shared" si="51"/>
        <v/>
      </c>
      <c r="DMN30" t="str">
        <f t="shared" si="51"/>
        <v/>
      </c>
      <c r="DMO30" t="str">
        <f t="shared" si="51"/>
        <v/>
      </c>
      <c r="DMP30" t="str">
        <f t="shared" si="51"/>
        <v/>
      </c>
      <c r="DMQ30" t="str">
        <f t="shared" si="51"/>
        <v/>
      </c>
      <c r="DMR30" t="str">
        <f t="shared" si="51"/>
        <v/>
      </c>
      <c r="DMS30" t="str">
        <f t="shared" si="51"/>
        <v/>
      </c>
      <c r="DMT30" t="str">
        <f t="shared" si="51"/>
        <v/>
      </c>
      <c r="DMU30" t="str">
        <f t="shared" si="51"/>
        <v/>
      </c>
      <c r="DMV30" t="str">
        <f t="shared" si="51"/>
        <v/>
      </c>
      <c r="DMW30" t="str">
        <f t="shared" si="51"/>
        <v/>
      </c>
      <c r="DMX30" t="str">
        <f t="shared" si="51"/>
        <v/>
      </c>
      <c r="DMY30" t="str">
        <f t="shared" si="51"/>
        <v/>
      </c>
      <c r="DMZ30" t="str">
        <f t="shared" si="51"/>
        <v/>
      </c>
      <c r="DNA30" t="str">
        <f t="shared" si="51"/>
        <v/>
      </c>
      <c r="DNB30" t="str">
        <f t="shared" si="51"/>
        <v/>
      </c>
      <c r="DNC30" t="str">
        <f t="shared" si="51"/>
        <v/>
      </c>
      <c r="DND30" t="str">
        <f t="shared" si="51"/>
        <v/>
      </c>
      <c r="DNE30" t="str">
        <f t="shared" si="51"/>
        <v/>
      </c>
      <c r="DNF30" t="str">
        <f t="shared" si="51"/>
        <v/>
      </c>
      <c r="DNG30" t="str">
        <f t="shared" si="51"/>
        <v/>
      </c>
      <c r="DNH30" t="str">
        <f t="shared" si="51"/>
        <v/>
      </c>
      <c r="DNI30" t="str">
        <f t="shared" si="51"/>
        <v/>
      </c>
      <c r="DNJ30" t="str">
        <f t="shared" si="51"/>
        <v/>
      </c>
      <c r="DNK30" t="str">
        <f t="shared" si="51"/>
        <v/>
      </c>
      <c r="DNL30" t="str">
        <f t="shared" si="51"/>
        <v/>
      </c>
      <c r="DNM30" t="str">
        <f t="shared" si="51"/>
        <v/>
      </c>
      <c r="DNN30" t="str">
        <f t="shared" si="51"/>
        <v/>
      </c>
      <c r="DNO30" t="str">
        <f t="shared" si="51"/>
        <v/>
      </c>
      <c r="DNP30" t="str">
        <f t="shared" si="51"/>
        <v/>
      </c>
      <c r="DNQ30" t="str">
        <f t="shared" si="51"/>
        <v/>
      </c>
      <c r="DNR30" t="str">
        <f t="shared" si="51"/>
        <v/>
      </c>
      <c r="DNS30" t="str">
        <f t="shared" si="51"/>
        <v/>
      </c>
      <c r="DNT30" t="str">
        <f t="shared" ref="DNT30:DQE30" si="52">TRIM(DOF11)</f>
        <v/>
      </c>
      <c r="DNU30" t="str">
        <f t="shared" si="52"/>
        <v/>
      </c>
      <c r="DNV30" t="str">
        <f t="shared" si="52"/>
        <v/>
      </c>
      <c r="DNW30" t="str">
        <f t="shared" si="52"/>
        <v/>
      </c>
      <c r="DNX30" t="str">
        <f t="shared" si="52"/>
        <v/>
      </c>
      <c r="DNY30" t="str">
        <f t="shared" si="52"/>
        <v/>
      </c>
      <c r="DNZ30" t="str">
        <f t="shared" si="52"/>
        <v/>
      </c>
      <c r="DOA30" t="str">
        <f t="shared" si="52"/>
        <v/>
      </c>
      <c r="DOB30" t="str">
        <f t="shared" si="52"/>
        <v/>
      </c>
      <c r="DOC30" t="str">
        <f t="shared" si="52"/>
        <v/>
      </c>
      <c r="DOD30" t="str">
        <f t="shared" si="52"/>
        <v/>
      </c>
      <c r="DOE30" t="str">
        <f t="shared" si="52"/>
        <v/>
      </c>
      <c r="DOF30" t="str">
        <f t="shared" si="52"/>
        <v/>
      </c>
      <c r="DOG30" t="str">
        <f t="shared" si="52"/>
        <v/>
      </c>
      <c r="DOH30" t="str">
        <f t="shared" si="52"/>
        <v/>
      </c>
      <c r="DOI30" t="str">
        <f t="shared" si="52"/>
        <v/>
      </c>
      <c r="DOJ30" t="str">
        <f t="shared" si="52"/>
        <v/>
      </c>
      <c r="DOK30" t="str">
        <f t="shared" si="52"/>
        <v/>
      </c>
      <c r="DOL30" t="str">
        <f t="shared" si="52"/>
        <v/>
      </c>
      <c r="DOM30" t="str">
        <f t="shared" si="52"/>
        <v/>
      </c>
      <c r="DON30" t="str">
        <f t="shared" si="52"/>
        <v/>
      </c>
      <c r="DOO30" t="str">
        <f t="shared" si="52"/>
        <v/>
      </c>
      <c r="DOP30" t="str">
        <f t="shared" si="52"/>
        <v/>
      </c>
      <c r="DOQ30" t="str">
        <f t="shared" si="52"/>
        <v/>
      </c>
      <c r="DOR30" t="str">
        <f t="shared" si="52"/>
        <v/>
      </c>
      <c r="DOS30" t="str">
        <f t="shared" si="52"/>
        <v/>
      </c>
      <c r="DOT30" t="str">
        <f t="shared" si="52"/>
        <v/>
      </c>
      <c r="DOU30" t="str">
        <f t="shared" si="52"/>
        <v/>
      </c>
      <c r="DOV30" t="str">
        <f t="shared" si="52"/>
        <v/>
      </c>
      <c r="DOW30" t="str">
        <f t="shared" si="52"/>
        <v/>
      </c>
      <c r="DOX30" t="str">
        <f t="shared" si="52"/>
        <v/>
      </c>
      <c r="DOY30" t="str">
        <f t="shared" si="52"/>
        <v/>
      </c>
      <c r="DOZ30" t="str">
        <f t="shared" si="52"/>
        <v/>
      </c>
      <c r="DPA30" t="str">
        <f t="shared" si="52"/>
        <v/>
      </c>
      <c r="DPB30" t="str">
        <f t="shared" si="52"/>
        <v/>
      </c>
      <c r="DPC30" t="str">
        <f t="shared" si="52"/>
        <v/>
      </c>
      <c r="DPD30" t="str">
        <f t="shared" si="52"/>
        <v/>
      </c>
      <c r="DPE30" t="str">
        <f t="shared" si="52"/>
        <v/>
      </c>
      <c r="DPF30" t="str">
        <f t="shared" si="52"/>
        <v/>
      </c>
      <c r="DPG30" t="str">
        <f t="shared" si="52"/>
        <v/>
      </c>
      <c r="DPH30" t="str">
        <f t="shared" si="52"/>
        <v/>
      </c>
      <c r="DPI30" t="str">
        <f t="shared" si="52"/>
        <v/>
      </c>
      <c r="DPJ30" t="str">
        <f t="shared" si="52"/>
        <v/>
      </c>
      <c r="DPK30" t="str">
        <f t="shared" si="52"/>
        <v/>
      </c>
      <c r="DPL30" t="str">
        <f t="shared" si="52"/>
        <v/>
      </c>
      <c r="DPM30" t="str">
        <f t="shared" si="52"/>
        <v/>
      </c>
      <c r="DPN30" t="str">
        <f t="shared" si="52"/>
        <v/>
      </c>
      <c r="DPO30" t="str">
        <f t="shared" si="52"/>
        <v/>
      </c>
      <c r="DPP30" t="str">
        <f t="shared" si="52"/>
        <v/>
      </c>
      <c r="DPQ30" t="str">
        <f t="shared" si="52"/>
        <v/>
      </c>
      <c r="DPR30" t="str">
        <f t="shared" si="52"/>
        <v/>
      </c>
      <c r="DPS30" t="str">
        <f t="shared" si="52"/>
        <v/>
      </c>
      <c r="DPT30" t="str">
        <f t="shared" si="52"/>
        <v/>
      </c>
      <c r="DPU30" t="str">
        <f t="shared" si="52"/>
        <v/>
      </c>
      <c r="DPV30" t="str">
        <f t="shared" si="52"/>
        <v/>
      </c>
      <c r="DPW30" t="str">
        <f t="shared" si="52"/>
        <v/>
      </c>
      <c r="DPX30" t="str">
        <f t="shared" si="52"/>
        <v/>
      </c>
      <c r="DPY30" t="str">
        <f t="shared" si="52"/>
        <v/>
      </c>
      <c r="DPZ30" t="str">
        <f t="shared" si="52"/>
        <v/>
      </c>
      <c r="DQA30" t="str">
        <f t="shared" si="52"/>
        <v/>
      </c>
      <c r="DQB30" t="str">
        <f t="shared" si="52"/>
        <v/>
      </c>
      <c r="DQC30" t="str">
        <f t="shared" si="52"/>
        <v/>
      </c>
      <c r="DQD30" t="str">
        <f t="shared" si="52"/>
        <v/>
      </c>
      <c r="DQE30" t="str">
        <f t="shared" si="52"/>
        <v/>
      </c>
      <c r="DQF30" t="str">
        <f t="shared" ref="DQF30:DSQ30" si="53">TRIM(DQR11)</f>
        <v/>
      </c>
      <c r="DQG30" t="str">
        <f t="shared" si="53"/>
        <v/>
      </c>
      <c r="DQH30" t="str">
        <f t="shared" si="53"/>
        <v/>
      </c>
      <c r="DQI30" t="str">
        <f t="shared" si="53"/>
        <v/>
      </c>
      <c r="DQJ30" t="str">
        <f t="shared" si="53"/>
        <v/>
      </c>
      <c r="DQK30" t="str">
        <f t="shared" si="53"/>
        <v/>
      </c>
      <c r="DQL30" t="str">
        <f t="shared" si="53"/>
        <v/>
      </c>
      <c r="DQM30" t="str">
        <f t="shared" si="53"/>
        <v/>
      </c>
      <c r="DQN30" t="str">
        <f t="shared" si="53"/>
        <v/>
      </c>
      <c r="DQO30" t="str">
        <f t="shared" si="53"/>
        <v/>
      </c>
      <c r="DQP30" t="str">
        <f t="shared" si="53"/>
        <v/>
      </c>
      <c r="DQQ30" t="str">
        <f t="shared" si="53"/>
        <v/>
      </c>
      <c r="DQR30" t="str">
        <f t="shared" si="53"/>
        <v/>
      </c>
      <c r="DQS30" t="str">
        <f t="shared" si="53"/>
        <v/>
      </c>
      <c r="DQT30" t="str">
        <f t="shared" si="53"/>
        <v/>
      </c>
      <c r="DQU30" t="str">
        <f t="shared" si="53"/>
        <v/>
      </c>
      <c r="DQV30" t="str">
        <f t="shared" si="53"/>
        <v/>
      </c>
      <c r="DQW30" t="str">
        <f t="shared" si="53"/>
        <v/>
      </c>
      <c r="DQX30" t="str">
        <f t="shared" si="53"/>
        <v/>
      </c>
      <c r="DQY30" t="str">
        <f t="shared" si="53"/>
        <v/>
      </c>
      <c r="DQZ30" t="str">
        <f t="shared" si="53"/>
        <v/>
      </c>
      <c r="DRA30" t="str">
        <f t="shared" si="53"/>
        <v/>
      </c>
      <c r="DRB30" t="str">
        <f t="shared" si="53"/>
        <v/>
      </c>
      <c r="DRC30" t="str">
        <f t="shared" si="53"/>
        <v/>
      </c>
      <c r="DRD30" t="str">
        <f t="shared" si="53"/>
        <v/>
      </c>
      <c r="DRE30" t="str">
        <f t="shared" si="53"/>
        <v/>
      </c>
      <c r="DRF30" t="str">
        <f t="shared" si="53"/>
        <v/>
      </c>
      <c r="DRG30" t="str">
        <f t="shared" si="53"/>
        <v/>
      </c>
      <c r="DRH30" t="str">
        <f t="shared" si="53"/>
        <v/>
      </c>
      <c r="DRI30" t="str">
        <f t="shared" si="53"/>
        <v/>
      </c>
      <c r="DRJ30" t="str">
        <f t="shared" si="53"/>
        <v/>
      </c>
      <c r="DRK30" t="str">
        <f t="shared" si="53"/>
        <v/>
      </c>
      <c r="DRL30" t="str">
        <f t="shared" si="53"/>
        <v/>
      </c>
      <c r="DRM30" t="str">
        <f t="shared" si="53"/>
        <v/>
      </c>
      <c r="DRN30" t="str">
        <f t="shared" si="53"/>
        <v/>
      </c>
      <c r="DRO30" t="str">
        <f t="shared" si="53"/>
        <v/>
      </c>
      <c r="DRP30" t="str">
        <f t="shared" si="53"/>
        <v/>
      </c>
      <c r="DRQ30" t="str">
        <f t="shared" si="53"/>
        <v/>
      </c>
      <c r="DRR30" t="str">
        <f t="shared" si="53"/>
        <v/>
      </c>
      <c r="DRS30" t="str">
        <f t="shared" si="53"/>
        <v/>
      </c>
      <c r="DRT30" t="str">
        <f t="shared" si="53"/>
        <v/>
      </c>
      <c r="DRU30" t="str">
        <f t="shared" si="53"/>
        <v/>
      </c>
      <c r="DRV30" t="str">
        <f t="shared" si="53"/>
        <v/>
      </c>
      <c r="DRW30" t="str">
        <f t="shared" si="53"/>
        <v/>
      </c>
      <c r="DRX30" t="str">
        <f t="shared" si="53"/>
        <v/>
      </c>
      <c r="DRY30" t="str">
        <f t="shared" si="53"/>
        <v/>
      </c>
      <c r="DRZ30" t="str">
        <f t="shared" si="53"/>
        <v/>
      </c>
      <c r="DSA30" t="str">
        <f t="shared" si="53"/>
        <v/>
      </c>
      <c r="DSB30" t="str">
        <f t="shared" si="53"/>
        <v/>
      </c>
      <c r="DSC30" t="str">
        <f t="shared" si="53"/>
        <v/>
      </c>
      <c r="DSD30" t="str">
        <f t="shared" si="53"/>
        <v/>
      </c>
      <c r="DSE30" t="str">
        <f t="shared" si="53"/>
        <v/>
      </c>
      <c r="DSF30" t="str">
        <f t="shared" si="53"/>
        <v/>
      </c>
      <c r="DSG30" t="str">
        <f t="shared" si="53"/>
        <v/>
      </c>
      <c r="DSH30" t="str">
        <f t="shared" si="53"/>
        <v/>
      </c>
      <c r="DSI30" t="str">
        <f t="shared" si="53"/>
        <v/>
      </c>
      <c r="DSJ30" t="str">
        <f t="shared" si="53"/>
        <v/>
      </c>
      <c r="DSK30" t="str">
        <f t="shared" si="53"/>
        <v/>
      </c>
      <c r="DSL30" t="str">
        <f t="shared" si="53"/>
        <v/>
      </c>
      <c r="DSM30" t="str">
        <f t="shared" si="53"/>
        <v/>
      </c>
      <c r="DSN30" t="str">
        <f t="shared" si="53"/>
        <v/>
      </c>
      <c r="DSO30" t="str">
        <f t="shared" si="53"/>
        <v/>
      </c>
      <c r="DSP30" t="str">
        <f t="shared" si="53"/>
        <v/>
      </c>
      <c r="DSQ30" t="str">
        <f t="shared" si="53"/>
        <v/>
      </c>
      <c r="DSR30" t="str">
        <f t="shared" ref="DSR30:DVC30" si="54">TRIM(DTD11)</f>
        <v/>
      </c>
      <c r="DSS30" t="str">
        <f t="shared" si="54"/>
        <v/>
      </c>
      <c r="DST30" t="str">
        <f t="shared" si="54"/>
        <v/>
      </c>
      <c r="DSU30" t="str">
        <f t="shared" si="54"/>
        <v/>
      </c>
      <c r="DSV30" t="str">
        <f t="shared" si="54"/>
        <v/>
      </c>
      <c r="DSW30" t="str">
        <f t="shared" si="54"/>
        <v/>
      </c>
      <c r="DSX30" t="str">
        <f t="shared" si="54"/>
        <v/>
      </c>
      <c r="DSY30" t="str">
        <f t="shared" si="54"/>
        <v/>
      </c>
      <c r="DSZ30" t="str">
        <f t="shared" si="54"/>
        <v/>
      </c>
      <c r="DTA30" t="str">
        <f t="shared" si="54"/>
        <v/>
      </c>
      <c r="DTB30" t="str">
        <f t="shared" si="54"/>
        <v/>
      </c>
      <c r="DTC30" t="str">
        <f t="shared" si="54"/>
        <v/>
      </c>
      <c r="DTD30" t="str">
        <f t="shared" si="54"/>
        <v/>
      </c>
      <c r="DTE30" t="str">
        <f t="shared" si="54"/>
        <v/>
      </c>
      <c r="DTF30" t="str">
        <f t="shared" si="54"/>
        <v/>
      </c>
      <c r="DTG30" t="str">
        <f t="shared" si="54"/>
        <v/>
      </c>
      <c r="DTH30" t="str">
        <f t="shared" si="54"/>
        <v/>
      </c>
      <c r="DTI30" t="str">
        <f t="shared" si="54"/>
        <v/>
      </c>
      <c r="DTJ30" t="str">
        <f t="shared" si="54"/>
        <v/>
      </c>
      <c r="DTK30" t="str">
        <f t="shared" si="54"/>
        <v/>
      </c>
      <c r="DTL30" t="str">
        <f t="shared" si="54"/>
        <v/>
      </c>
      <c r="DTM30" t="str">
        <f t="shared" si="54"/>
        <v/>
      </c>
      <c r="DTN30" t="str">
        <f t="shared" si="54"/>
        <v/>
      </c>
      <c r="DTO30" t="str">
        <f t="shared" si="54"/>
        <v/>
      </c>
      <c r="DTP30" t="str">
        <f t="shared" si="54"/>
        <v/>
      </c>
      <c r="DTQ30" t="str">
        <f t="shared" si="54"/>
        <v/>
      </c>
      <c r="DTR30" t="str">
        <f t="shared" si="54"/>
        <v/>
      </c>
      <c r="DTS30" t="str">
        <f t="shared" si="54"/>
        <v/>
      </c>
      <c r="DTT30" t="str">
        <f t="shared" si="54"/>
        <v/>
      </c>
      <c r="DTU30" t="str">
        <f t="shared" si="54"/>
        <v/>
      </c>
      <c r="DTV30" t="str">
        <f t="shared" si="54"/>
        <v/>
      </c>
      <c r="DTW30" t="str">
        <f t="shared" si="54"/>
        <v/>
      </c>
      <c r="DTX30" t="str">
        <f t="shared" si="54"/>
        <v/>
      </c>
      <c r="DTY30" t="str">
        <f t="shared" si="54"/>
        <v/>
      </c>
      <c r="DTZ30" t="str">
        <f t="shared" si="54"/>
        <v/>
      </c>
      <c r="DUA30" t="str">
        <f t="shared" si="54"/>
        <v/>
      </c>
      <c r="DUB30" t="str">
        <f t="shared" si="54"/>
        <v/>
      </c>
      <c r="DUC30" t="str">
        <f t="shared" si="54"/>
        <v/>
      </c>
      <c r="DUD30" t="str">
        <f t="shared" si="54"/>
        <v/>
      </c>
      <c r="DUE30" t="str">
        <f t="shared" si="54"/>
        <v/>
      </c>
      <c r="DUF30" t="str">
        <f t="shared" si="54"/>
        <v/>
      </c>
      <c r="DUG30" t="str">
        <f t="shared" si="54"/>
        <v/>
      </c>
      <c r="DUH30" t="str">
        <f t="shared" si="54"/>
        <v/>
      </c>
      <c r="DUI30" t="str">
        <f t="shared" si="54"/>
        <v/>
      </c>
      <c r="DUJ30" t="str">
        <f t="shared" si="54"/>
        <v/>
      </c>
      <c r="DUK30" t="str">
        <f t="shared" si="54"/>
        <v/>
      </c>
      <c r="DUL30" t="str">
        <f t="shared" si="54"/>
        <v/>
      </c>
      <c r="DUM30" t="str">
        <f t="shared" si="54"/>
        <v/>
      </c>
      <c r="DUN30" t="str">
        <f t="shared" si="54"/>
        <v/>
      </c>
      <c r="DUO30" t="str">
        <f t="shared" si="54"/>
        <v/>
      </c>
      <c r="DUP30" t="str">
        <f t="shared" si="54"/>
        <v/>
      </c>
      <c r="DUQ30" t="str">
        <f t="shared" si="54"/>
        <v/>
      </c>
      <c r="DUR30" t="str">
        <f t="shared" si="54"/>
        <v/>
      </c>
      <c r="DUS30" t="str">
        <f t="shared" si="54"/>
        <v/>
      </c>
      <c r="DUT30" t="str">
        <f t="shared" si="54"/>
        <v/>
      </c>
      <c r="DUU30" t="str">
        <f t="shared" si="54"/>
        <v/>
      </c>
      <c r="DUV30" t="str">
        <f t="shared" si="54"/>
        <v/>
      </c>
      <c r="DUW30" t="str">
        <f t="shared" si="54"/>
        <v/>
      </c>
      <c r="DUX30" t="str">
        <f t="shared" si="54"/>
        <v/>
      </c>
      <c r="DUY30" t="str">
        <f t="shared" si="54"/>
        <v/>
      </c>
      <c r="DUZ30" t="str">
        <f t="shared" si="54"/>
        <v/>
      </c>
      <c r="DVA30" t="str">
        <f t="shared" si="54"/>
        <v/>
      </c>
      <c r="DVB30" t="str">
        <f t="shared" si="54"/>
        <v/>
      </c>
      <c r="DVC30" t="str">
        <f t="shared" si="54"/>
        <v/>
      </c>
      <c r="DVD30" t="str">
        <f t="shared" ref="DVD30:DXO30" si="55">TRIM(DVP11)</f>
        <v/>
      </c>
      <c r="DVE30" t="str">
        <f t="shared" si="55"/>
        <v/>
      </c>
      <c r="DVF30" t="str">
        <f t="shared" si="55"/>
        <v/>
      </c>
      <c r="DVG30" t="str">
        <f t="shared" si="55"/>
        <v/>
      </c>
      <c r="DVH30" t="str">
        <f t="shared" si="55"/>
        <v/>
      </c>
      <c r="DVI30" t="str">
        <f t="shared" si="55"/>
        <v/>
      </c>
      <c r="DVJ30" t="str">
        <f t="shared" si="55"/>
        <v/>
      </c>
      <c r="DVK30" t="str">
        <f t="shared" si="55"/>
        <v/>
      </c>
      <c r="DVL30" t="str">
        <f t="shared" si="55"/>
        <v/>
      </c>
      <c r="DVM30" t="str">
        <f t="shared" si="55"/>
        <v/>
      </c>
      <c r="DVN30" t="str">
        <f t="shared" si="55"/>
        <v/>
      </c>
      <c r="DVO30" t="str">
        <f t="shared" si="55"/>
        <v/>
      </c>
      <c r="DVP30" t="str">
        <f t="shared" si="55"/>
        <v/>
      </c>
      <c r="DVQ30" t="str">
        <f t="shared" si="55"/>
        <v/>
      </c>
      <c r="DVR30" t="str">
        <f t="shared" si="55"/>
        <v/>
      </c>
      <c r="DVS30" t="str">
        <f t="shared" si="55"/>
        <v/>
      </c>
      <c r="DVT30" t="str">
        <f t="shared" si="55"/>
        <v/>
      </c>
      <c r="DVU30" t="str">
        <f t="shared" si="55"/>
        <v/>
      </c>
      <c r="DVV30" t="str">
        <f t="shared" si="55"/>
        <v/>
      </c>
      <c r="DVW30" t="str">
        <f t="shared" si="55"/>
        <v/>
      </c>
      <c r="DVX30" t="str">
        <f t="shared" si="55"/>
        <v/>
      </c>
      <c r="DVY30" t="str">
        <f t="shared" si="55"/>
        <v/>
      </c>
      <c r="DVZ30" t="str">
        <f t="shared" si="55"/>
        <v/>
      </c>
      <c r="DWA30" t="str">
        <f t="shared" si="55"/>
        <v/>
      </c>
      <c r="DWB30" t="str">
        <f t="shared" si="55"/>
        <v/>
      </c>
      <c r="DWC30" t="str">
        <f t="shared" si="55"/>
        <v/>
      </c>
      <c r="DWD30" t="str">
        <f t="shared" si="55"/>
        <v/>
      </c>
      <c r="DWE30" t="str">
        <f t="shared" si="55"/>
        <v/>
      </c>
      <c r="DWF30" t="str">
        <f t="shared" si="55"/>
        <v/>
      </c>
      <c r="DWG30" t="str">
        <f t="shared" si="55"/>
        <v/>
      </c>
      <c r="DWH30" t="str">
        <f t="shared" si="55"/>
        <v/>
      </c>
      <c r="DWI30" t="str">
        <f t="shared" si="55"/>
        <v/>
      </c>
      <c r="DWJ30" t="str">
        <f t="shared" si="55"/>
        <v/>
      </c>
      <c r="DWK30" t="str">
        <f t="shared" si="55"/>
        <v/>
      </c>
      <c r="DWL30" t="str">
        <f t="shared" si="55"/>
        <v/>
      </c>
      <c r="DWM30" t="str">
        <f t="shared" si="55"/>
        <v/>
      </c>
      <c r="DWN30" t="str">
        <f t="shared" si="55"/>
        <v/>
      </c>
      <c r="DWO30" t="str">
        <f t="shared" si="55"/>
        <v/>
      </c>
      <c r="DWP30" t="str">
        <f t="shared" si="55"/>
        <v/>
      </c>
      <c r="DWQ30" t="str">
        <f t="shared" si="55"/>
        <v/>
      </c>
      <c r="DWR30" t="str">
        <f t="shared" si="55"/>
        <v/>
      </c>
      <c r="DWS30" t="str">
        <f t="shared" si="55"/>
        <v/>
      </c>
      <c r="DWT30" t="str">
        <f t="shared" si="55"/>
        <v/>
      </c>
      <c r="DWU30" t="str">
        <f t="shared" si="55"/>
        <v/>
      </c>
      <c r="DWV30" t="str">
        <f t="shared" si="55"/>
        <v/>
      </c>
      <c r="DWW30" t="str">
        <f t="shared" si="55"/>
        <v/>
      </c>
      <c r="DWX30" t="str">
        <f t="shared" si="55"/>
        <v/>
      </c>
      <c r="DWY30" t="str">
        <f t="shared" si="55"/>
        <v/>
      </c>
      <c r="DWZ30" t="str">
        <f t="shared" si="55"/>
        <v/>
      </c>
      <c r="DXA30" t="str">
        <f t="shared" si="55"/>
        <v/>
      </c>
      <c r="DXB30" t="str">
        <f t="shared" si="55"/>
        <v/>
      </c>
      <c r="DXC30" t="str">
        <f t="shared" si="55"/>
        <v/>
      </c>
      <c r="DXD30" t="str">
        <f t="shared" si="55"/>
        <v/>
      </c>
      <c r="DXE30" t="str">
        <f t="shared" si="55"/>
        <v/>
      </c>
      <c r="DXF30" t="str">
        <f t="shared" si="55"/>
        <v/>
      </c>
      <c r="DXG30" t="str">
        <f t="shared" si="55"/>
        <v/>
      </c>
      <c r="DXH30" t="str">
        <f t="shared" si="55"/>
        <v/>
      </c>
      <c r="DXI30" t="str">
        <f t="shared" si="55"/>
        <v/>
      </c>
      <c r="DXJ30" t="str">
        <f t="shared" si="55"/>
        <v/>
      </c>
      <c r="DXK30" t="str">
        <f t="shared" si="55"/>
        <v/>
      </c>
      <c r="DXL30" t="str">
        <f t="shared" si="55"/>
        <v/>
      </c>
      <c r="DXM30" t="str">
        <f t="shared" si="55"/>
        <v/>
      </c>
      <c r="DXN30" t="str">
        <f t="shared" si="55"/>
        <v/>
      </c>
      <c r="DXO30" t="str">
        <f t="shared" si="55"/>
        <v/>
      </c>
      <c r="DXP30" t="str">
        <f t="shared" ref="DXP30:EAA30" si="56">TRIM(DYB11)</f>
        <v/>
      </c>
      <c r="DXQ30" t="str">
        <f t="shared" si="56"/>
        <v/>
      </c>
      <c r="DXR30" t="str">
        <f t="shared" si="56"/>
        <v/>
      </c>
      <c r="DXS30" t="str">
        <f t="shared" si="56"/>
        <v/>
      </c>
      <c r="DXT30" t="str">
        <f t="shared" si="56"/>
        <v/>
      </c>
      <c r="DXU30" t="str">
        <f t="shared" si="56"/>
        <v/>
      </c>
      <c r="DXV30" t="str">
        <f t="shared" si="56"/>
        <v/>
      </c>
      <c r="DXW30" t="str">
        <f t="shared" si="56"/>
        <v/>
      </c>
      <c r="DXX30" t="str">
        <f t="shared" si="56"/>
        <v/>
      </c>
      <c r="DXY30" t="str">
        <f t="shared" si="56"/>
        <v/>
      </c>
      <c r="DXZ30" t="str">
        <f t="shared" si="56"/>
        <v/>
      </c>
      <c r="DYA30" t="str">
        <f t="shared" si="56"/>
        <v/>
      </c>
      <c r="DYB30" t="str">
        <f t="shared" si="56"/>
        <v/>
      </c>
      <c r="DYC30" t="str">
        <f t="shared" si="56"/>
        <v/>
      </c>
      <c r="DYD30" t="str">
        <f t="shared" si="56"/>
        <v/>
      </c>
      <c r="DYE30" t="str">
        <f t="shared" si="56"/>
        <v/>
      </c>
      <c r="DYF30" t="str">
        <f t="shared" si="56"/>
        <v/>
      </c>
      <c r="DYG30" t="str">
        <f t="shared" si="56"/>
        <v/>
      </c>
      <c r="DYH30" t="str">
        <f t="shared" si="56"/>
        <v/>
      </c>
      <c r="DYI30" t="str">
        <f t="shared" si="56"/>
        <v/>
      </c>
      <c r="DYJ30" t="str">
        <f t="shared" si="56"/>
        <v/>
      </c>
      <c r="DYK30" t="str">
        <f t="shared" si="56"/>
        <v/>
      </c>
      <c r="DYL30" t="str">
        <f t="shared" si="56"/>
        <v/>
      </c>
      <c r="DYM30" t="str">
        <f t="shared" si="56"/>
        <v/>
      </c>
      <c r="DYN30" t="str">
        <f t="shared" si="56"/>
        <v/>
      </c>
      <c r="DYO30" t="str">
        <f t="shared" si="56"/>
        <v/>
      </c>
      <c r="DYP30" t="str">
        <f t="shared" si="56"/>
        <v/>
      </c>
      <c r="DYQ30" t="str">
        <f t="shared" si="56"/>
        <v/>
      </c>
      <c r="DYR30" t="str">
        <f t="shared" si="56"/>
        <v/>
      </c>
      <c r="DYS30" t="str">
        <f t="shared" si="56"/>
        <v/>
      </c>
      <c r="DYT30" t="str">
        <f t="shared" si="56"/>
        <v/>
      </c>
      <c r="DYU30" t="str">
        <f t="shared" si="56"/>
        <v/>
      </c>
      <c r="DYV30" t="str">
        <f t="shared" si="56"/>
        <v/>
      </c>
      <c r="DYW30" t="str">
        <f t="shared" si="56"/>
        <v/>
      </c>
      <c r="DYX30" t="str">
        <f t="shared" si="56"/>
        <v/>
      </c>
      <c r="DYY30" t="str">
        <f t="shared" si="56"/>
        <v/>
      </c>
      <c r="DYZ30" t="str">
        <f t="shared" si="56"/>
        <v/>
      </c>
      <c r="DZA30" t="str">
        <f t="shared" si="56"/>
        <v/>
      </c>
      <c r="DZB30" t="str">
        <f t="shared" si="56"/>
        <v/>
      </c>
      <c r="DZC30" t="str">
        <f t="shared" si="56"/>
        <v/>
      </c>
      <c r="DZD30" t="str">
        <f t="shared" si="56"/>
        <v/>
      </c>
      <c r="DZE30" t="str">
        <f t="shared" si="56"/>
        <v/>
      </c>
      <c r="DZF30" t="str">
        <f t="shared" si="56"/>
        <v/>
      </c>
      <c r="DZG30" t="str">
        <f t="shared" si="56"/>
        <v/>
      </c>
      <c r="DZH30" t="str">
        <f t="shared" si="56"/>
        <v/>
      </c>
      <c r="DZI30" t="str">
        <f t="shared" si="56"/>
        <v/>
      </c>
      <c r="DZJ30" t="str">
        <f t="shared" si="56"/>
        <v/>
      </c>
      <c r="DZK30" t="str">
        <f t="shared" si="56"/>
        <v/>
      </c>
      <c r="DZL30" t="str">
        <f t="shared" si="56"/>
        <v/>
      </c>
      <c r="DZM30" t="str">
        <f t="shared" si="56"/>
        <v/>
      </c>
      <c r="DZN30" t="str">
        <f t="shared" si="56"/>
        <v/>
      </c>
      <c r="DZO30" t="str">
        <f t="shared" si="56"/>
        <v/>
      </c>
      <c r="DZP30" t="str">
        <f t="shared" si="56"/>
        <v/>
      </c>
      <c r="DZQ30" t="str">
        <f t="shared" si="56"/>
        <v/>
      </c>
      <c r="DZR30" t="str">
        <f t="shared" si="56"/>
        <v/>
      </c>
      <c r="DZS30" t="str">
        <f t="shared" si="56"/>
        <v/>
      </c>
      <c r="DZT30" t="str">
        <f t="shared" si="56"/>
        <v/>
      </c>
      <c r="DZU30" t="str">
        <f t="shared" si="56"/>
        <v/>
      </c>
      <c r="DZV30" t="str">
        <f t="shared" si="56"/>
        <v/>
      </c>
      <c r="DZW30" t="str">
        <f t="shared" si="56"/>
        <v/>
      </c>
      <c r="DZX30" t="str">
        <f t="shared" si="56"/>
        <v/>
      </c>
      <c r="DZY30" t="str">
        <f t="shared" si="56"/>
        <v/>
      </c>
      <c r="DZZ30" t="str">
        <f t="shared" si="56"/>
        <v/>
      </c>
      <c r="EAA30" t="str">
        <f t="shared" si="56"/>
        <v/>
      </c>
      <c r="EAB30" t="str">
        <f t="shared" ref="EAB30:ECM30" si="57">TRIM(EAN11)</f>
        <v/>
      </c>
      <c r="EAC30" t="str">
        <f t="shared" si="57"/>
        <v/>
      </c>
      <c r="EAD30" t="str">
        <f t="shared" si="57"/>
        <v/>
      </c>
      <c r="EAE30" t="str">
        <f t="shared" si="57"/>
        <v/>
      </c>
      <c r="EAF30" t="str">
        <f t="shared" si="57"/>
        <v/>
      </c>
      <c r="EAG30" t="str">
        <f t="shared" si="57"/>
        <v/>
      </c>
      <c r="EAH30" t="str">
        <f t="shared" si="57"/>
        <v/>
      </c>
      <c r="EAI30" t="str">
        <f t="shared" si="57"/>
        <v/>
      </c>
      <c r="EAJ30" t="str">
        <f t="shared" si="57"/>
        <v/>
      </c>
      <c r="EAK30" t="str">
        <f t="shared" si="57"/>
        <v/>
      </c>
      <c r="EAL30" t="str">
        <f t="shared" si="57"/>
        <v/>
      </c>
      <c r="EAM30" t="str">
        <f t="shared" si="57"/>
        <v/>
      </c>
      <c r="EAN30" t="str">
        <f t="shared" si="57"/>
        <v/>
      </c>
      <c r="EAO30" t="str">
        <f t="shared" si="57"/>
        <v/>
      </c>
      <c r="EAP30" t="str">
        <f t="shared" si="57"/>
        <v/>
      </c>
      <c r="EAQ30" t="str">
        <f t="shared" si="57"/>
        <v/>
      </c>
      <c r="EAR30" t="str">
        <f t="shared" si="57"/>
        <v/>
      </c>
      <c r="EAS30" t="str">
        <f t="shared" si="57"/>
        <v/>
      </c>
      <c r="EAT30" t="str">
        <f t="shared" si="57"/>
        <v/>
      </c>
      <c r="EAU30" t="str">
        <f t="shared" si="57"/>
        <v/>
      </c>
      <c r="EAV30" t="str">
        <f t="shared" si="57"/>
        <v/>
      </c>
      <c r="EAW30" t="str">
        <f t="shared" si="57"/>
        <v/>
      </c>
      <c r="EAX30" t="str">
        <f t="shared" si="57"/>
        <v/>
      </c>
      <c r="EAY30" t="str">
        <f t="shared" si="57"/>
        <v/>
      </c>
      <c r="EAZ30" t="str">
        <f t="shared" si="57"/>
        <v/>
      </c>
      <c r="EBA30" t="str">
        <f t="shared" si="57"/>
        <v/>
      </c>
      <c r="EBB30" t="str">
        <f t="shared" si="57"/>
        <v/>
      </c>
      <c r="EBC30" t="str">
        <f t="shared" si="57"/>
        <v/>
      </c>
      <c r="EBD30" t="str">
        <f t="shared" si="57"/>
        <v/>
      </c>
      <c r="EBE30" t="str">
        <f t="shared" si="57"/>
        <v/>
      </c>
      <c r="EBF30" t="str">
        <f t="shared" si="57"/>
        <v/>
      </c>
      <c r="EBG30" t="str">
        <f t="shared" si="57"/>
        <v/>
      </c>
      <c r="EBH30" t="str">
        <f t="shared" si="57"/>
        <v/>
      </c>
      <c r="EBI30" t="str">
        <f t="shared" si="57"/>
        <v/>
      </c>
      <c r="EBJ30" t="str">
        <f t="shared" si="57"/>
        <v/>
      </c>
      <c r="EBK30" t="str">
        <f t="shared" si="57"/>
        <v/>
      </c>
      <c r="EBL30" t="str">
        <f t="shared" si="57"/>
        <v/>
      </c>
      <c r="EBM30" t="str">
        <f t="shared" si="57"/>
        <v/>
      </c>
      <c r="EBN30" t="str">
        <f t="shared" si="57"/>
        <v/>
      </c>
      <c r="EBO30" t="str">
        <f t="shared" si="57"/>
        <v/>
      </c>
      <c r="EBP30" t="str">
        <f t="shared" si="57"/>
        <v/>
      </c>
      <c r="EBQ30" t="str">
        <f t="shared" si="57"/>
        <v/>
      </c>
      <c r="EBR30" t="str">
        <f t="shared" si="57"/>
        <v/>
      </c>
      <c r="EBS30" t="str">
        <f t="shared" si="57"/>
        <v/>
      </c>
      <c r="EBT30" t="str">
        <f t="shared" si="57"/>
        <v/>
      </c>
      <c r="EBU30" t="str">
        <f t="shared" si="57"/>
        <v/>
      </c>
      <c r="EBV30" t="str">
        <f t="shared" si="57"/>
        <v/>
      </c>
      <c r="EBW30" t="str">
        <f t="shared" si="57"/>
        <v/>
      </c>
      <c r="EBX30" t="str">
        <f t="shared" si="57"/>
        <v/>
      </c>
      <c r="EBY30" t="str">
        <f t="shared" si="57"/>
        <v/>
      </c>
      <c r="EBZ30" t="str">
        <f t="shared" si="57"/>
        <v/>
      </c>
      <c r="ECA30" t="str">
        <f t="shared" si="57"/>
        <v/>
      </c>
      <c r="ECB30" t="str">
        <f t="shared" si="57"/>
        <v/>
      </c>
      <c r="ECC30" t="str">
        <f t="shared" si="57"/>
        <v/>
      </c>
      <c r="ECD30" t="str">
        <f t="shared" si="57"/>
        <v/>
      </c>
      <c r="ECE30" t="str">
        <f t="shared" si="57"/>
        <v/>
      </c>
      <c r="ECF30" t="str">
        <f t="shared" si="57"/>
        <v/>
      </c>
      <c r="ECG30" t="str">
        <f t="shared" si="57"/>
        <v/>
      </c>
      <c r="ECH30" t="str">
        <f t="shared" si="57"/>
        <v/>
      </c>
      <c r="ECI30" t="str">
        <f t="shared" si="57"/>
        <v/>
      </c>
      <c r="ECJ30" t="str">
        <f t="shared" si="57"/>
        <v/>
      </c>
      <c r="ECK30" t="str">
        <f t="shared" si="57"/>
        <v/>
      </c>
      <c r="ECL30" t="str">
        <f t="shared" si="57"/>
        <v/>
      </c>
      <c r="ECM30" t="str">
        <f t="shared" si="57"/>
        <v/>
      </c>
      <c r="ECN30" t="str">
        <f t="shared" ref="ECN30:EEY30" si="58">TRIM(ECZ11)</f>
        <v/>
      </c>
      <c r="ECO30" t="str">
        <f t="shared" si="58"/>
        <v/>
      </c>
      <c r="ECP30" t="str">
        <f t="shared" si="58"/>
        <v/>
      </c>
      <c r="ECQ30" t="str">
        <f t="shared" si="58"/>
        <v/>
      </c>
      <c r="ECR30" t="str">
        <f t="shared" si="58"/>
        <v/>
      </c>
      <c r="ECS30" t="str">
        <f t="shared" si="58"/>
        <v/>
      </c>
      <c r="ECT30" t="str">
        <f t="shared" si="58"/>
        <v/>
      </c>
      <c r="ECU30" t="str">
        <f t="shared" si="58"/>
        <v/>
      </c>
      <c r="ECV30" t="str">
        <f t="shared" si="58"/>
        <v/>
      </c>
      <c r="ECW30" t="str">
        <f t="shared" si="58"/>
        <v/>
      </c>
      <c r="ECX30" t="str">
        <f t="shared" si="58"/>
        <v/>
      </c>
      <c r="ECY30" t="str">
        <f t="shared" si="58"/>
        <v/>
      </c>
      <c r="ECZ30" t="str">
        <f t="shared" si="58"/>
        <v/>
      </c>
      <c r="EDA30" t="str">
        <f t="shared" si="58"/>
        <v/>
      </c>
      <c r="EDB30" t="str">
        <f t="shared" si="58"/>
        <v/>
      </c>
      <c r="EDC30" t="str">
        <f t="shared" si="58"/>
        <v/>
      </c>
      <c r="EDD30" t="str">
        <f t="shared" si="58"/>
        <v/>
      </c>
      <c r="EDE30" t="str">
        <f t="shared" si="58"/>
        <v/>
      </c>
      <c r="EDF30" t="str">
        <f t="shared" si="58"/>
        <v/>
      </c>
      <c r="EDG30" t="str">
        <f t="shared" si="58"/>
        <v/>
      </c>
      <c r="EDH30" t="str">
        <f t="shared" si="58"/>
        <v/>
      </c>
      <c r="EDI30" t="str">
        <f t="shared" si="58"/>
        <v/>
      </c>
      <c r="EDJ30" t="str">
        <f t="shared" si="58"/>
        <v/>
      </c>
      <c r="EDK30" t="str">
        <f t="shared" si="58"/>
        <v/>
      </c>
      <c r="EDL30" t="str">
        <f t="shared" si="58"/>
        <v/>
      </c>
      <c r="EDM30" t="str">
        <f t="shared" si="58"/>
        <v/>
      </c>
      <c r="EDN30" t="str">
        <f t="shared" si="58"/>
        <v/>
      </c>
      <c r="EDO30" t="str">
        <f t="shared" si="58"/>
        <v/>
      </c>
      <c r="EDP30" t="str">
        <f t="shared" si="58"/>
        <v/>
      </c>
      <c r="EDQ30" t="str">
        <f t="shared" si="58"/>
        <v/>
      </c>
      <c r="EDR30" t="str">
        <f t="shared" si="58"/>
        <v/>
      </c>
      <c r="EDS30" t="str">
        <f t="shared" si="58"/>
        <v/>
      </c>
      <c r="EDT30" t="str">
        <f t="shared" si="58"/>
        <v/>
      </c>
      <c r="EDU30" t="str">
        <f t="shared" si="58"/>
        <v/>
      </c>
      <c r="EDV30" t="str">
        <f t="shared" si="58"/>
        <v/>
      </c>
      <c r="EDW30" t="str">
        <f t="shared" si="58"/>
        <v/>
      </c>
      <c r="EDX30" t="str">
        <f t="shared" si="58"/>
        <v/>
      </c>
      <c r="EDY30" t="str">
        <f t="shared" si="58"/>
        <v/>
      </c>
      <c r="EDZ30" t="str">
        <f t="shared" si="58"/>
        <v/>
      </c>
      <c r="EEA30" t="str">
        <f t="shared" si="58"/>
        <v/>
      </c>
      <c r="EEB30" t="str">
        <f t="shared" si="58"/>
        <v/>
      </c>
      <c r="EEC30" t="str">
        <f t="shared" si="58"/>
        <v/>
      </c>
      <c r="EED30" t="str">
        <f t="shared" si="58"/>
        <v/>
      </c>
      <c r="EEE30" t="str">
        <f t="shared" si="58"/>
        <v/>
      </c>
      <c r="EEF30" t="str">
        <f t="shared" si="58"/>
        <v/>
      </c>
      <c r="EEG30" t="str">
        <f t="shared" si="58"/>
        <v/>
      </c>
      <c r="EEH30" t="str">
        <f t="shared" si="58"/>
        <v/>
      </c>
      <c r="EEI30" t="str">
        <f t="shared" si="58"/>
        <v/>
      </c>
      <c r="EEJ30" t="str">
        <f t="shared" si="58"/>
        <v/>
      </c>
      <c r="EEK30" t="str">
        <f t="shared" si="58"/>
        <v/>
      </c>
      <c r="EEL30" t="str">
        <f t="shared" si="58"/>
        <v/>
      </c>
      <c r="EEM30" t="str">
        <f t="shared" si="58"/>
        <v/>
      </c>
      <c r="EEN30" t="str">
        <f t="shared" si="58"/>
        <v/>
      </c>
      <c r="EEO30" t="str">
        <f t="shared" si="58"/>
        <v/>
      </c>
      <c r="EEP30" t="str">
        <f t="shared" si="58"/>
        <v/>
      </c>
      <c r="EEQ30" t="str">
        <f t="shared" si="58"/>
        <v/>
      </c>
      <c r="EER30" t="str">
        <f t="shared" si="58"/>
        <v/>
      </c>
      <c r="EES30" t="str">
        <f t="shared" si="58"/>
        <v/>
      </c>
      <c r="EET30" t="str">
        <f t="shared" si="58"/>
        <v/>
      </c>
      <c r="EEU30" t="str">
        <f t="shared" si="58"/>
        <v/>
      </c>
      <c r="EEV30" t="str">
        <f t="shared" si="58"/>
        <v/>
      </c>
      <c r="EEW30" t="str">
        <f t="shared" si="58"/>
        <v/>
      </c>
      <c r="EEX30" t="str">
        <f t="shared" si="58"/>
        <v/>
      </c>
      <c r="EEY30" t="str">
        <f t="shared" si="58"/>
        <v/>
      </c>
      <c r="EEZ30" t="str">
        <f t="shared" ref="EEZ30:EHK30" si="59">TRIM(EFL11)</f>
        <v/>
      </c>
      <c r="EFA30" t="str">
        <f t="shared" si="59"/>
        <v/>
      </c>
      <c r="EFB30" t="str">
        <f t="shared" si="59"/>
        <v/>
      </c>
      <c r="EFC30" t="str">
        <f t="shared" si="59"/>
        <v/>
      </c>
      <c r="EFD30" t="str">
        <f t="shared" si="59"/>
        <v/>
      </c>
      <c r="EFE30" t="str">
        <f t="shared" si="59"/>
        <v/>
      </c>
      <c r="EFF30" t="str">
        <f t="shared" si="59"/>
        <v/>
      </c>
      <c r="EFG30" t="str">
        <f t="shared" si="59"/>
        <v/>
      </c>
      <c r="EFH30" t="str">
        <f t="shared" si="59"/>
        <v/>
      </c>
      <c r="EFI30" t="str">
        <f t="shared" si="59"/>
        <v/>
      </c>
      <c r="EFJ30" t="str">
        <f t="shared" si="59"/>
        <v/>
      </c>
      <c r="EFK30" t="str">
        <f t="shared" si="59"/>
        <v/>
      </c>
      <c r="EFL30" t="str">
        <f t="shared" si="59"/>
        <v/>
      </c>
      <c r="EFM30" t="str">
        <f t="shared" si="59"/>
        <v/>
      </c>
      <c r="EFN30" t="str">
        <f t="shared" si="59"/>
        <v/>
      </c>
      <c r="EFO30" t="str">
        <f t="shared" si="59"/>
        <v/>
      </c>
      <c r="EFP30" t="str">
        <f t="shared" si="59"/>
        <v/>
      </c>
      <c r="EFQ30" t="str">
        <f t="shared" si="59"/>
        <v/>
      </c>
      <c r="EFR30" t="str">
        <f t="shared" si="59"/>
        <v/>
      </c>
      <c r="EFS30" t="str">
        <f t="shared" si="59"/>
        <v/>
      </c>
      <c r="EFT30" t="str">
        <f t="shared" si="59"/>
        <v/>
      </c>
      <c r="EFU30" t="str">
        <f t="shared" si="59"/>
        <v/>
      </c>
      <c r="EFV30" t="str">
        <f t="shared" si="59"/>
        <v/>
      </c>
      <c r="EFW30" t="str">
        <f t="shared" si="59"/>
        <v/>
      </c>
      <c r="EFX30" t="str">
        <f t="shared" si="59"/>
        <v/>
      </c>
      <c r="EFY30" t="str">
        <f t="shared" si="59"/>
        <v/>
      </c>
      <c r="EFZ30" t="str">
        <f t="shared" si="59"/>
        <v/>
      </c>
      <c r="EGA30" t="str">
        <f t="shared" si="59"/>
        <v/>
      </c>
      <c r="EGB30" t="str">
        <f t="shared" si="59"/>
        <v/>
      </c>
      <c r="EGC30" t="str">
        <f t="shared" si="59"/>
        <v/>
      </c>
      <c r="EGD30" t="str">
        <f t="shared" si="59"/>
        <v/>
      </c>
      <c r="EGE30" t="str">
        <f t="shared" si="59"/>
        <v/>
      </c>
      <c r="EGF30" t="str">
        <f t="shared" si="59"/>
        <v/>
      </c>
      <c r="EGG30" t="str">
        <f t="shared" si="59"/>
        <v/>
      </c>
      <c r="EGH30" t="str">
        <f t="shared" si="59"/>
        <v/>
      </c>
      <c r="EGI30" t="str">
        <f t="shared" si="59"/>
        <v/>
      </c>
      <c r="EGJ30" t="str">
        <f t="shared" si="59"/>
        <v/>
      </c>
      <c r="EGK30" t="str">
        <f t="shared" si="59"/>
        <v/>
      </c>
      <c r="EGL30" t="str">
        <f t="shared" si="59"/>
        <v/>
      </c>
      <c r="EGM30" t="str">
        <f t="shared" si="59"/>
        <v/>
      </c>
      <c r="EGN30" t="str">
        <f t="shared" si="59"/>
        <v/>
      </c>
      <c r="EGO30" t="str">
        <f t="shared" si="59"/>
        <v/>
      </c>
      <c r="EGP30" t="str">
        <f t="shared" si="59"/>
        <v/>
      </c>
      <c r="EGQ30" t="str">
        <f t="shared" si="59"/>
        <v/>
      </c>
      <c r="EGR30" t="str">
        <f t="shared" si="59"/>
        <v/>
      </c>
      <c r="EGS30" t="str">
        <f t="shared" si="59"/>
        <v/>
      </c>
      <c r="EGT30" t="str">
        <f t="shared" si="59"/>
        <v/>
      </c>
      <c r="EGU30" t="str">
        <f t="shared" si="59"/>
        <v/>
      </c>
      <c r="EGV30" t="str">
        <f t="shared" si="59"/>
        <v/>
      </c>
      <c r="EGW30" t="str">
        <f t="shared" si="59"/>
        <v/>
      </c>
      <c r="EGX30" t="str">
        <f t="shared" si="59"/>
        <v/>
      </c>
      <c r="EGY30" t="str">
        <f t="shared" si="59"/>
        <v/>
      </c>
      <c r="EGZ30" t="str">
        <f t="shared" si="59"/>
        <v/>
      </c>
      <c r="EHA30" t="str">
        <f t="shared" si="59"/>
        <v/>
      </c>
      <c r="EHB30" t="str">
        <f t="shared" si="59"/>
        <v/>
      </c>
      <c r="EHC30" t="str">
        <f t="shared" si="59"/>
        <v/>
      </c>
      <c r="EHD30" t="str">
        <f t="shared" si="59"/>
        <v/>
      </c>
      <c r="EHE30" t="str">
        <f t="shared" si="59"/>
        <v/>
      </c>
      <c r="EHF30" t="str">
        <f t="shared" si="59"/>
        <v/>
      </c>
      <c r="EHG30" t="str">
        <f t="shared" si="59"/>
        <v/>
      </c>
      <c r="EHH30" t="str">
        <f t="shared" si="59"/>
        <v/>
      </c>
      <c r="EHI30" t="str">
        <f t="shared" si="59"/>
        <v/>
      </c>
      <c r="EHJ30" t="str">
        <f t="shared" si="59"/>
        <v/>
      </c>
      <c r="EHK30" t="str">
        <f t="shared" si="59"/>
        <v/>
      </c>
      <c r="EHL30" t="str">
        <f t="shared" ref="EHL30:EJW30" si="60">TRIM(EHX11)</f>
        <v/>
      </c>
      <c r="EHM30" t="str">
        <f t="shared" si="60"/>
        <v/>
      </c>
      <c r="EHN30" t="str">
        <f t="shared" si="60"/>
        <v/>
      </c>
      <c r="EHO30" t="str">
        <f t="shared" si="60"/>
        <v/>
      </c>
      <c r="EHP30" t="str">
        <f t="shared" si="60"/>
        <v/>
      </c>
      <c r="EHQ30" t="str">
        <f t="shared" si="60"/>
        <v/>
      </c>
      <c r="EHR30" t="str">
        <f t="shared" si="60"/>
        <v/>
      </c>
      <c r="EHS30" t="str">
        <f t="shared" si="60"/>
        <v/>
      </c>
      <c r="EHT30" t="str">
        <f t="shared" si="60"/>
        <v/>
      </c>
      <c r="EHU30" t="str">
        <f t="shared" si="60"/>
        <v/>
      </c>
      <c r="EHV30" t="str">
        <f t="shared" si="60"/>
        <v/>
      </c>
      <c r="EHW30" t="str">
        <f t="shared" si="60"/>
        <v/>
      </c>
      <c r="EHX30" t="str">
        <f t="shared" si="60"/>
        <v/>
      </c>
      <c r="EHY30" t="str">
        <f t="shared" si="60"/>
        <v/>
      </c>
      <c r="EHZ30" t="str">
        <f t="shared" si="60"/>
        <v/>
      </c>
      <c r="EIA30" t="str">
        <f t="shared" si="60"/>
        <v/>
      </c>
      <c r="EIB30" t="str">
        <f t="shared" si="60"/>
        <v/>
      </c>
      <c r="EIC30" t="str">
        <f t="shared" si="60"/>
        <v/>
      </c>
      <c r="EID30" t="str">
        <f t="shared" si="60"/>
        <v/>
      </c>
      <c r="EIE30" t="str">
        <f t="shared" si="60"/>
        <v/>
      </c>
      <c r="EIF30" t="str">
        <f t="shared" si="60"/>
        <v/>
      </c>
      <c r="EIG30" t="str">
        <f t="shared" si="60"/>
        <v/>
      </c>
      <c r="EIH30" t="str">
        <f t="shared" si="60"/>
        <v/>
      </c>
      <c r="EII30" t="str">
        <f t="shared" si="60"/>
        <v/>
      </c>
      <c r="EIJ30" t="str">
        <f t="shared" si="60"/>
        <v/>
      </c>
      <c r="EIK30" t="str">
        <f t="shared" si="60"/>
        <v/>
      </c>
      <c r="EIL30" t="str">
        <f t="shared" si="60"/>
        <v/>
      </c>
      <c r="EIM30" t="str">
        <f t="shared" si="60"/>
        <v/>
      </c>
      <c r="EIN30" t="str">
        <f t="shared" si="60"/>
        <v/>
      </c>
      <c r="EIO30" t="str">
        <f t="shared" si="60"/>
        <v/>
      </c>
      <c r="EIP30" t="str">
        <f t="shared" si="60"/>
        <v/>
      </c>
      <c r="EIQ30" t="str">
        <f t="shared" si="60"/>
        <v/>
      </c>
      <c r="EIR30" t="str">
        <f t="shared" si="60"/>
        <v/>
      </c>
      <c r="EIS30" t="str">
        <f t="shared" si="60"/>
        <v/>
      </c>
      <c r="EIT30" t="str">
        <f t="shared" si="60"/>
        <v/>
      </c>
      <c r="EIU30" t="str">
        <f t="shared" si="60"/>
        <v/>
      </c>
      <c r="EIV30" t="str">
        <f t="shared" si="60"/>
        <v/>
      </c>
      <c r="EIW30" t="str">
        <f t="shared" si="60"/>
        <v/>
      </c>
      <c r="EIX30" t="str">
        <f t="shared" si="60"/>
        <v/>
      </c>
      <c r="EIY30" t="str">
        <f t="shared" si="60"/>
        <v/>
      </c>
      <c r="EIZ30" t="str">
        <f t="shared" si="60"/>
        <v/>
      </c>
      <c r="EJA30" t="str">
        <f t="shared" si="60"/>
        <v/>
      </c>
      <c r="EJB30" t="str">
        <f t="shared" si="60"/>
        <v/>
      </c>
      <c r="EJC30" t="str">
        <f t="shared" si="60"/>
        <v/>
      </c>
      <c r="EJD30" t="str">
        <f t="shared" si="60"/>
        <v/>
      </c>
      <c r="EJE30" t="str">
        <f t="shared" si="60"/>
        <v/>
      </c>
      <c r="EJF30" t="str">
        <f t="shared" si="60"/>
        <v/>
      </c>
      <c r="EJG30" t="str">
        <f t="shared" si="60"/>
        <v/>
      </c>
      <c r="EJH30" t="str">
        <f t="shared" si="60"/>
        <v/>
      </c>
      <c r="EJI30" t="str">
        <f t="shared" si="60"/>
        <v/>
      </c>
      <c r="EJJ30" t="str">
        <f t="shared" si="60"/>
        <v/>
      </c>
      <c r="EJK30" t="str">
        <f t="shared" si="60"/>
        <v/>
      </c>
      <c r="EJL30" t="str">
        <f t="shared" si="60"/>
        <v/>
      </c>
      <c r="EJM30" t="str">
        <f t="shared" si="60"/>
        <v/>
      </c>
      <c r="EJN30" t="str">
        <f t="shared" si="60"/>
        <v/>
      </c>
      <c r="EJO30" t="str">
        <f t="shared" si="60"/>
        <v/>
      </c>
      <c r="EJP30" t="str">
        <f t="shared" si="60"/>
        <v/>
      </c>
      <c r="EJQ30" t="str">
        <f t="shared" si="60"/>
        <v/>
      </c>
      <c r="EJR30" t="str">
        <f t="shared" si="60"/>
        <v/>
      </c>
      <c r="EJS30" t="str">
        <f t="shared" si="60"/>
        <v/>
      </c>
      <c r="EJT30" t="str">
        <f t="shared" si="60"/>
        <v/>
      </c>
      <c r="EJU30" t="str">
        <f t="shared" si="60"/>
        <v/>
      </c>
      <c r="EJV30" t="str">
        <f t="shared" si="60"/>
        <v/>
      </c>
      <c r="EJW30" t="str">
        <f t="shared" si="60"/>
        <v/>
      </c>
      <c r="EJX30" t="str">
        <f t="shared" ref="EJX30:EMI30" si="61">TRIM(EKJ11)</f>
        <v/>
      </c>
      <c r="EJY30" t="str">
        <f t="shared" si="61"/>
        <v/>
      </c>
      <c r="EJZ30" t="str">
        <f t="shared" si="61"/>
        <v/>
      </c>
      <c r="EKA30" t="str">
        <f t="shared" si="61"/>
        <v/>
      </c>
      <c r="EKB30" t="str">
        <f t="shared" si="61"/>
        <v/>
      </c>
      <c r="EKC30" t="str">
        <f t="shared" si="61"/>
        <v/>
      </c>
      <c r="EKD30" t="str">
        <f t="shared" si="61"/>
        <v/>
      </c>
      <c r="EKE30" t="str">
        <f t="shared" si="61"/>
        <v/>
      </c>
      <c r="EKF30" t="str">
        <f t="shared" si="61"/>
        <v/>
      </c>
      <c r="EKG30" t="str">
        <f t="shared" si="61"/>
        <v/>
      </c>
      <c r="EKH30" t="str">
        <f t="shared" si="61"/>
        <v/>
      </c>
      <c r="EKI30" t="str">
        <f t="shared" si="61"/>
        <v/>
      </c>
      <c r="EKJ30" t="str">
        <f t="shared" si="61"/>
        <v/>
      </c>
      <c r="EKK30" t="str">
        <f t="shared" si="61"/>
        <v/>
      </c>
      <c r="EKL30" t="str">
        <f t="shared" si="61"/>
        <v/>
      </c>
      <c r="EKM30" t="str">
        <f t="shared" si="61"/>
        <v/>
      </c>
      <c r="EKN30" t="str">
        <f t="shared" si="61"/>
        <v/>
      </c>
      <c r="EKO30" t="str">
        <f t="shared" si="61"/>
        <v/>
      </c>
      <c r="EKP30" t="str">
        <f t="shared" si="61"/>
        <v/>
      </c>
      <c r="EKQ30" t="str">
        <f t="shared" si="61"/>
        <v/>
      </c>
      <c r="EKR30" t="str">
        <f t="shared" si="61"/>
        <v/>
      </c>
      <c r="EKS30" t="str">
        <f t="shared" si="61"/>
        <v/>
      </c>
      <c r="EKT30" t="str">
        <f t="shared" si="61"/>
        <v/>
      </c>
      <c r="EKU30" t="str">
        <f t="shared" si="61"/>
        <v/>
      </c>
      <c r="EKV30" t="str">
        <f t="shared" si="61"/>
        <v/>
      </c>
      <c r="EKW30" t="str">
        <f t="shared" si="61"/>
        <v/>
      </c>
      <c r="EKX30" t="str">
        <f t="shared" si="61"/>
        <v/>
      </c>
      <c r="EKY30" t="str">
        <f t="shared" si="61"/>
        <v/>
      </c>
      <c r="EKZ30" t="str">
        <f t="shared" si="61"/>
        <v/>
      </c>
      <c r="ELA30" t="str">
        <f t="shared" si="61"/>
        <v/>
      </c>
      <c r="ELB30" t="str">
        <f t="shared" si="61"/>
        <v/>
      </c>
      <c r="ELC30" t="str">
        <f t="shared" si="61"/>
        <v/>
      </c>
      <c r="ELD30" t="str">
        <f t="shared" si="61"/>
        <v/>
      </c>
      <c r="ELE30" t="str">
        <f t="shared" si="61"/>
        <v/>
      </c>
      <c r="ELF30" t="str">
        <f t="shared" si="61"/>
        <v/>
      </c>
      <c r="ELG30" t="str">
        <f t="shared" si="61"/>
        <v/>
      </c>
      <c r="ELH30" t="str">
        <f t="shared" si="61"/>
        <v/>
      </c>
      <c r="ELI30" t="str">
        <f t="shared" si="61"/>
        <v/>
      </c>
      <c r="ELJ30" t="str">
        <f t="shared" si="61"/>
        <v/>
      </c>
      <c r="ELK30" t="str">
        <f t="shared" si="61"/>
        <v/>
      </c>
      <c r="ELL30" t="str">
        <f t="shared" si="61"/>
        <v/>
      </c>
      <c r="ELM30" t="str">
        <f t="shared" si="61"/>
        <v/>
      </c>
      <c r="ELN30" t="str">
        <f t="shared" si="61"/>
        <v/>
      </c>
      <c r="ELO30" t="str">
        <f t="shared" si="61"/>
        <v/>
      </c>
      <c r="ELP30" t="str">
        <f t="shared" si="61"/>
        <v/>
      </c>
      <c r="ELQ30" t="str">
        <f t="shared" si="61"/>
        <v/>
      </c>
      <c r="ELR30" t="str">
        <f t="shared" si="61"/>
        <v/>
      </c>
      <c r="ELS30" t="str">
        <f t="shared" si="61"/>
        <v/>
      </c>
      <c r="ELT30" t="str">
        <f t="shared" si="61"/>
        <v/>
      </c>
      <c r="ELU30" t="str">
        <f t="shared" si="61"/>
        <v/>
      </c>
      <c r="ELV30" t="str">
        <f t="shared" si="61"/>
        <v/>
      </c>
      <c r="ELW30" t="str">
        <f t="shared" si="61"/>
        <v/>
      </c>
      <c r="ELX30" t="str">
        <f t="shared" si="61"/>
        <v/>
      </c>
      <c r="ELY30" t="str">
        <f t="shared" si="61"/>
        <v/>
      </c>
      <c r="ELZ30" t="str">
        <f t="shared" si="61"/>
        <v/>
      </c>
      <c r="EMA30" t="str">
        <f t="shared" si="61"/>
        <v/>
      </c>
      <c r="EMB30" t="str">
        <f t="shared" si="61"/>
        <v/>
      </c>
      <c r="EMC30" t="str">
        <f t="shared" si="61"/>
        <v/>
      </c>
      <c r="EMD30" t="str">
        <f t="shared" si="61"/>
        <v/>
      </c>
      <c r="EME30" t="str">
        <f t="shared" si="61"/>
        <v/>
      </c>
      <c r="EMF30" t="str">
        <f t="shared" si="61"/>
        <v/>
      </c>
      <c r="EMG30" t="str">
        <f t="shared" si="61"/>
        <v/>
      </c>
      <c r="EMH30" t="str">
        <f t="shared" si="61"/>
        <v/>
      </c>
      <c r="EMI30" t="str">
        <f t="shared" si="61"/>
        <v/>
      </c>
      <c r="EMJ30" t="str">
        <f t="shared" ref="EMJ30:EOU30" si="62">TRIM(EMV11)</f>
        <v/>
      </c>
      <c r="EMK30" t="str">
        <f t="shared" si="62"/>
        <v/>
      </c>
      <c r="EML30" t="str">
        <f t="shared" si="62"/>
        <v/>
      </c>
      <c r="EMM30" t="str">
        <f t="shared" si="62"/>
        <v/>
      </c>
      <c r="EMN30" t="str">
        <f t="shared" si="62"/>
        <v/>
      </c>
      <c r="EMO30" t="str">
        <f t="shared" si="62"/>
        <v/>
      </c>
      <c r="EMP30" t="str">
        <f t="shared" si="62"/>
        <v/>
      </c>
      <c r="EMQ30" t="str">
        <f t="shared" si="62"/>
        <v/>
      </c>
      <c r="EMR30" t="str">
        <f t="shared" si="62"/>
        <v/>
      </c>
      <c r="EMS30" t="str">
        <f t="shared" si="62"/>
        <v/>
      </c>
      <c r="EMT30" t="str">
        <f t="shared" si="62"/>
        <v/>
      </c>
      <c r="EMU30" t="str">
        <f t="shared" si="62"/>
        <v/>
      </c>
      <c r="EMV30" t="str">
        <f t="shared" si="62"/>
        <v/>
      </c>
      <c r="EMW30" t="str">
        <f t="shared" si="62"/>
        <v/>
      </c>
      <c r="EMX30" t="str">
        <f t="shared" si="62"/>
        <v/>
      </c>
      <c r="EMY30" t="str">
        <f t="shared" si="62"/>
        <v/>
      </c>
      <c r="EMZ30" t="str">
        <f t="shared" si="62"/>
        <v/>
      </c>
      <c r="ENA30" t="str">
        <f t="shared" si="62"/>
        <v/>
      </c>
      <c r="ENB30" t="str">
        <f t="shared" si="62"/>
        <v/>
      </c>
      <c r="ENC30" t="str">
        <f t="shared" si="62"/>
        <v/>
      </c>
      <c r="END30" t="str">
        <f t="shared" si="62"/>
        <v/>
      </c>
      <c r="ENE30" t="str">
        <f t="shared" si="62"/>
        <v/>
      </c>
      <c r="ENF30" t="str">
        <f t="shared" si="62"/>
        <v/>
      </c>
      <c r="ENG30" t="str">
        <f t="shared" si="62"/>
        <v/>
      </c>
      <c r="ENH30" t="str">
        <f t="shared" si="62"/>
        <v/>
      </c>
      <c r="ENI30" t="str">
        <f t="shared" si="62"/>
        <v/>
      </c>
      <c r="ENJ30" t="str">
        <f t="shared" si="62"/>
        <v/>
      </c>
      <c r="ENK30" t="str">
        <f t="shared" si="62"/>
        <v/>
      </c>
      <c r="ENL30" t="str">
        <f t="shared" si="62"/>
        <v/>
      </c>
      <c r="ENM30" t="str">
        <f t="shared" si="62"/>
        <v/>
      </c>
      <c r="ENN30" t="str">
        <f t="shared" si="62"/>
        <v/>
      </c>
      <c r="ENO30" t="str">
        <f t="shared" si="62"/>
        <v/>
      </c>
      <c r="ENP30" t="str">
        <f t="shared" si="62"/>
        <v/>
      </c>
      <c r="ENQ30" t="str">
        <f t="shared" si="62"/>
        <v/>
      </c>
      <c r="ENR30" t="str">
        <f t="shared" si="62"/>
        <v/>
      </c>
      <c r="ENS30" t="str">
        <f t="shared" si="62"/>
        <v/>
      </c>
      <c r="ENT30" t="str">
        <f t="shared" si="62"/>
        <v/>
      </c>
      <c r="ENU30" t="str">
        <f t="shared" si="62"/>
        <v/>
      </c>
      <c r="ENV30" t="str">
        <f t="shared" si="62"/>
        <v/>
      </c>
      <c r="ENW30" t="str">
        <f t="shared" si="62"/>
        <v/>
      </c>
      <c r="ENX30" t="str">
        <f t="shared" si="62"/>
        <v/>
      </c>
      <c r="ENY30" t="str">
        <f t="shared" si="62"/>
        <v/>
      </c>
      <c r="ENZ30" t="str">
        <f t="shared" si="62"/>
        <v/>
      </c>
      <c r="EOA30" t="str">
        <f t="shared" si="62"/>
        <v/>
      </c>
      <c r="EOB30" t="str">
        <f t="shared" si="62"/>
        <v/>
      </c>
      <c r="EOC30" t="str">
        <f t="shared" si="62"/>
        <v/>
      </c>
      <c r="EOD30" t="str">
        <f t="shared" si="62"/>
        <v/>
      </c>
      <c r="EOE30" t="str">
        <f t="shared" si="62"/>
        <v/>
      </c>
      <c r="EOF30" t="str">
        <f t="shared" si="62"/>
        <v/>
      </c>
      <c r="EOG30" t="str">
        <f t="shared" si="62"/>
        <v/>
      </c>
      <c r="EOH30" t="str">
        <f t="shared" si="62"/>
        <v/>
      </c>
      <c r="EOI30" t="str">
        <f t="shared" si="62"/>
        <v/>
      </c>
      <c r="EOJ30" t="str">
        <f t="shared" si="62"/>
        <v/>
      </c>
      <c r="EOK30" t="str">
        <f t="shared" si="62"/>
        <v/>
      </c>
      <c r="EOL30" t="str">
        <f t="shared" si="62"/>
        <v/>
      </c>
      <c r="EOM30" t="str">
        <f t="shared" si="62"/>
        <v/>
      </c>
      <c r="EON30" t="str">
        <f t="shared" si="62"/>
        <v/>
      </c>
      <c r="EOO30" t="str">
        <f t="shared" si="62"/>
        <v/>
      </c>
      <c r="EOP30" t="str">
        <f t="shared" si="62"/>
        <v/>
      </c>
      <c r="EOQ30" t="str">
        <f t="shared" si="62"/>
        <v/>
      </c>
      <c r="EOR30" t="str">
        <f t="shared" si="62"/>
        <v/>
      </c>
      <c r="EOS30" t="str">
        <f t="shared" si="62"/>
        <v/>
      </c>
      <c r="EOT30" t="str">
        <f t="shared" si="62"/>
        <v/>
      </c>
      <c r="EOU30" t="str">
        <f t="shared" si="62"/>
        <v/>
      </c>
      <c r="EOV30" t="str">
        <f t="shared" ref="EOV30:ERG30" si="63">TRIM(EPH11)</f>
        <v/>
      </c>
      <c r="EOW30" t="str">
        <f t="shared" si="63"/>
        <v/>
      </c>
      <c r="EOX30" t="str">
        <f t="shared" si="63"/>
        <v/>
      </c>
      <c r="EOY30" t="str">
        <f t="shared" si="63"/>
        <v/>
      </c>
      <c r="EOZ30" t="str">
        <f t="shared" si="63"/>
        <v/>
      </c>
      <c r="EPA30" t="str">
        <f t="shared" si="63"/>
        <v/>
      </c>
      <c r="EPB30" t="str">
        <f t="shared" si="63"/>
        <v/>
      </c>
      <c r="EPC30" t="str">
        <f t="shared" si="63"/>
        <v/>
      </c>
      <c r="EPD30" t="str">
        <f t="shared" si="63"/>
        <v/>
      </c>
      <c r="EPE30" t="str">
        <f t="shared" si="63"/>
        <v/>
      </c>
      <c r="EPF30" t="str">
        <f t="shared" si="63"/>
        <v/>
      </c>
      <c r="EPG30" t="str">
        <f t="shared" si="63"/>
        <v/>
      </c>
      <c r="EPH30" t="str">
        <f t="shared" si="63"/>
        <v/>
      </c>
      <c r="EPI30" t="str">
        <f t="shared" si="63"/>
        <v/>
      </c>
      <c r="EPJ30" t="str">
        <f t="shared" si="63"/>
        <v/>
      </c>
      <c r="EPK30" t="str">
        <f t="shared" si="63"/>
        <v/>
      </c>
      <c r="EPL30" t="str">
        <f t="shared" si="63"/>
        <v/>
      </c>
      <c r="EPM30" t="str">
        <f t="shared" si="63"/>
        <v/>
      </c>
      <c r="EPN30" t="str">
        <f t="shared" si="63"/>
        <v/>
      </c>
      <c r="EPO30" t="str">
        <f t="shared" si="63"/>
        <v/>
      </c>
      <c r="EPP30" t="str">
        <f t="shared" si="63"/>
        <v/>
      </c>
      <c r="EPQ30" t="str">
        <f t="shared" si="63"/>
        <v/>
      </c>
      <c r="EPR30" t="str">
        <f t="shared" si="63"/>
        <v/>
      </c>
      <c r="EPS30" t="str">
        <f t="shared" si="63"/>
        <v/>
      </c>
      <c r="EPT30" t="str">
        <f t="shared" si="63"/>
        <v/>
      </c>
      <c r="EPU30" t="str">
        <f t="shared" si="63"/>
        <v/>
      </c>
      <c r="EPV30" t="str">
        <f t="shared" si="63"/>
        <v/>
      </c>
      <c r="EPW30" t="str">
        <f t="shared" si="63"/>
        <v/>
      </c>
      <c r="EPX30" t="str">
        <f t="shared" si="63"/>
        <v/>
      </c>
      <c r="EPY30" t="str">
        <f t="shared" si="63"/>
        <v/>
      </c>
      <c r="EPZ30" t="str">
        <f t="shared" si="63"/>
        <v/>
      </c>
      <c r="EQA30" t="str">
        <f t="shared" si="63"/>
        <v/>
      </c>
      <c r="EQB30" t="str">
        <f t="shared" si="63"/>
        <v/>
      </c>
      <c r="EQC30" t="str">
        <f t="shared" si="63"/>
        <v/>
      </c>
      <c r="EQD30" t="str">
        <f t="shared" si="63"/>
        <v/>
      </c>
      <c r="EQE30" t="str">
        <f t="shared" si="63"/>
        <v/>
      </c>
      <c r="EQF30" t="str">
        <f t="shared" si="63"/>
        <v/>
      </c>
      <c r="EQG30" t="str">
        <f t="shared" si="63"/>
        <v/>
      </c>
      <c r="EQH30" t="str">
        <f t="shared" si="63"/>
        <v/>
      </c>
      <c r="EQI30" t="str">
        <f t="shared" si="63"/>
        <v/>
      </c>
      <c r="EQJ30" t="str">
        <f t="shared" si="63"/>
        <v/>
      </c>
      <c r="EQK30" t="str">
        <f t="shared" si="63"/>
        <v/>
      </c>
      <c r="EQL30" t="str">
        <f t="shared" si="63"/>
        <v/>
      </c>
      <c r="EQM30" t="str">
        <f t="shared" si="63"/>
        <v/>
      </c>
      <c r="EQN30" t="str">
        <f t="shared" si="63"/>
        <v/>
      </c>
      <c r="EQO30" t="str">
        <f t="shared" si="63"/>
        <v/>
      </c>
      <c r="EQP30" t="str">
        <f t="shared" si="63"/>
        <v/>
      </c>
      <c r="EQQ30" t="str">
        <f t="shared" si="63"/>
        <v/>
      </c>
      <c r="EQR30" t="str">
        <f t="shared" si="63"/>
        <v/>
      </c>
      <c r="EQS30" t="str">
        <f t="shared" si="63"/>
        <v/>
      </c>
      <c r="EQT30" t="str">
        <f t="shared" si="63"/>
        <v/>
      </c>
      <c r="EQU30" t="str">
        <f t="shared" si="63"/>
        <v/>
      </c>
      <c r="EQV30" t="str">
        <f t="shared" si="63"/>
        <v/>
      </c>
      <c r="EQW30" t="str">
        <f t="shared" si="63"/>
        <v/>
      </c>
      <c r="EQX30" t="str">
        <f t="shared" si="63"/>
        <v/>
      </c>
      <c r="EQY30" t="str">
        <f t="shared" si="63"/>
        <v/>
      </c>
      <c r="EQZ30" t="str">
        <f t="shared" si="63"/>
        <v/>
      </c>
      <c r="ERA30" t="str">
        <f t="shared" si="63"/>
        <v/>
      </c>
      <c r="ERB30" t="str">
        <f t="shared" si="63"/>
        <v/>
      </c>
      <c r="ERC30" t="str">
        <f t="shared" si="63"/>
        <v/>
      </c>
      <c r="ERD30" t="str">
        <f t="shared" si="63"/>
        <v/>
      </c>
      <c r="ERE30" t="str">
        <f t="shared" si="63"/>
        <v/>
      </c>
      <c r="ERF30" t="str">
        <f t="shared" si="63"/>
        <v/>
      </c>
      <c r="ERG30" t="str">
        <f t="shared" si="63"/>
        <v/>
      </c>
      <c r="ERH30" t="str">
        <f t="shared" ref="ERH30:ETS30" si="64">TRIM(ERT11)</f>
        <v/>
      </c>
      <c r="ERI30" t="str">
        <f t="shared" si="64"/>
        <v/>
      </c>
      <c r="ERJ30" t="str">
        <f t="shared" si="64"/>
        <v/>
      </c>
      <c r="ERK30" t="str">
        <f t="shared" si="64"/>
        <v/>
      </c>
      <c r="ERL30" t="str">
        <f t="shared" si="64"/>
        <v/>
      </c>
      <c r="ERM30" t="str">
        <f t="shared" si="64"/>
        <v/>
      </c>
      <c r="ERN30" t="str">
        <f t="shared" si="64"/>
        <v/>
      </c>
      <c r="ERO30" t="str">
        <f t="shared" si="64"/>
        <v/>
      </c>
      <c r="ERP30" t="str">
        <f t="shared" si="64"/>
        <v/>
      </c>
      <c r="ERQ30" t="str">
        <f t="shared" si="64"/>
        <v/>
      </c>
      <c r="ERR30" t="str">
        <f t="shared" si="64"/>
        <v/>
      </c>
      <c r="ERS30" t="str">
        <f t="shared" si="64"/>
        <v/>
      </c>
      <c r="ERT30" t="str">
        <f t="shared" si="64"/>
        <v/>
      </c>
      <c r="ERU30" t="str">
        <f t="shared" si="64"/>
        <v/>
      </c>
      <c r="ERV30" t="str">
        <f t="shared" si="64"/>
        <v/>
      </c>
      <c r="ERW30" t="str">
        <f t="shared" si="64"/>
        <v/>
      </c>
      <c r="ERX30" t="str">
        <f t="shared" si="64"/>
        <v/>
      </c>
      <c r="ERY30" t="str">
        <f t="shared" si="64"/>
        <v/>
      </c>
      <c r="ERZ30" t="str">
        <f t="shared" si="64"/>
        <v/>
      </c>
      <c r="ESA30" t="str">
        <f t="shared" si="64"/>
        <v/>
      </c>
      <c r="ESB30" t="str">
        <f t="shared" si="64"/>
        <v/>
      </c>
      <c r="ESC30" t="str">
        <f t="shared" si="64"/>
        <v/>
      </c>
      <c r="ESD30" t="str">
        <f t="shared" si="64"/>
        <v/>
      </c>
      <c r="ESE30" t="str">
        <f t="shared" si="64"/>
        <v/>
      </c>
      <c r="ESF30" t="str">
        <f t="shared" si="64"/>
        <v/>
      </c>
      <c r="ESG30" t="str">
        <f t="shared" si="64"/>
        <v/>
      </c>
      <c r="ESH30" t="str">
        <f t="shared" si="64"/>
        <v/>
      </c>
      <c r="ESI30" t="str">
        <f t="shared" si="64"/>
        <v/>
      </c>
      <c r="ESJ30" t="str">
        <f t="shared" si="64"/>
        <v/>
      </c>
      <c r="ESK30" t="str">
        <f t="shared" si="64"/>
        <v/>
      </c>
      <c r="ESL30" t="str">
        <f t="shared" si="64"/>
        <v/>
      </c>
      <c r="ESM30" t="str">
        <f t="shared" si="64"/>
        <v/>
      </c>
      <c r="ESN30" t="str">
        <f t="shared" si="64"/>
        <v/>
      </c>
      <c r="ESO30" t="str">
        <f t="shared" si="64"/>
        <v/>
      </c>
      <c r="ESP30" t="str">
        <f t="shared" si="64"/>
        <v/>
      </c>
      <c r="ESQ30" t="str">
        <f t="shared" si="64"/>
        <v/>
      </c>
      <c r="ESR30" t="str">
        <f t="shared" si="64"/>
        <v/>
      </c>
      <c r="ESS30" t="str">
        <f t="shared" si="64"/>
        <v/>
      </c>
      <c r="EST30" t="str">
        <f t="shared" si="64"/>
        <v/>
      </c>
      <c r="ESU30" t="str">
        <f t="shared" si="64"/>
        <v/>
      </c>
      <c r="ESV30" t="str">
        <f t="shared" si="64"/>
        <v/>
      </c>
      <c r="ESW30" t="str">
        <f t="shared" si="64"/>
        <v/>
      </c>
      <c r="ESX30" t="str">
        <f t="shared" si="64"/>
        <v/>
      </c>
      <c r="ESY30" t="str">
        <f t="shared" si="64"/>
        <v/>
      </c>
      <c r="ESZ30" t="str">
        <f t="shared" si="64"/>
        <v/>
      </c>
      <c r="ETA30" t="str">
        <f t="shared" si="64"/>
        <v/>
      </c>
      <c r="ETB30" t="str">
        <f t="shared" si="64"/>
        <v/>
      </c>
      <c r="ETC30" t="str">
        <f t="shared" si="64"/>
        <v/>
      </c>
      <c r="ETD30" t="str">
        <f t="shared" si="64"/>
        <v/>
      </c>
      <c r="ETE30" t="str">
        <f t="shared" si="64"/>
        <v/>
      </c>
      <c r="ETF30" t="str">
        <f t="shared" si="64"/>
        <v/>
      </c>
      <c r="ETG30" t="str">
        <f t="shared" si="64"/>
        <v/>
      </c>
      <c r="ETH30" t="str">
        <f t="shared" si="64"/>
        <v/>
      </c>
      <c r="ETI30" t="str">
        <f t="shared" si="64"/>
        <v/>
      </c>
      <c r="ETJ30" t="str">
        <f t="shared" si="64"/>
        <v/>
      </c>
      <c r="ETK30" t="str">
        <f t="shared" si="64"/>
        <v/>
      </c>
      <c r="ETL30" t="str">
        <f t="shared" si="64"/>
        <v/>
      </c>
      <c r="ETM30" t="str">
        <f t="shared" si="64"/>
        <v/>
      </c>
      <c r="ETN30" t="str">
        <f t="shared" si="64"/>
        <v/>
      </c>
      <c r="ETO30" t="str">
        <f t="shared" si="64"/>
        <v/>
      </c>
      <c r="ETP30" t="str">
        <f t="shared" si="64"/>
        <v/>
      </c>
      <c r="ETQ30" t="str">
        <f t="shared" si="64"/>
        <v/>
      </c>
      <c r="ETR30" t="str">
        <f t="shared" si="64"/>
        <v/>
      </c>
      <c r="ETS30" t="str">
        <f t="shared" si="64"/>
        <v/>
      </c>
      <c r="ETT30" t="str">
        <f t="shared" ref="ETT30:EWE30" si="65">TRIM(EUF11)</f>
        <v/>
      </c>
      <c r="ETU30" t="str">
        <f t="shared" si="65"/>
        <v/>
      </c>
      <c r="ETV30" t="str">
        <f t="shared" si="65"/>
        <v/>
      </c>
      <c r="ETW30" t="str">
        <f t="shared" si="65"/>
        <v/>
      </c>
      <c r="ETX30" t="str">
        <f t="shared" si="65"/>
        <v/>
      </c>
      <c r="ETY30" t="str">
        <f t="shared" si="65"/>
        <v/>
      </c>
      <c r="ETZ30" t="str">
        <f t="shared" si="65"/>
        <v/>
      </c>
      <c r="EUA30" t="str">
        <f t="shared" si="65"/>
        <v/>
      </c>
      <c r="EUB30" t="str">
        <f t="shared" si="65"/>
        <v/>
      </c>
      <c r="EUC30" t="str">
        <f t="shared" si="65"/>
        <v/>
      </c>
      <c r="EUD30" t="str">
        <f t="shared" si="65"/>
        <v/>
      </c>
      <c r="EUE30" t="str">
        <f t="shared" si="65"/>
        <v/>
      </c>
      <c r="EUF30" t="str">
        <f t="shared" si="65"/>
        <v/>
      </c>
      <c r="EUG30" t="str">
        <f t="shared" si="65"/>
        <v/>
      </c>
      <c r="EUH30" t="str">
        <f t="shared" si="65"/>
        <v/>
      </c>
      <c r="EUI30" t="str">
        <f t="shared" si="65"/>
        <v/>
      </c>
      <c r="EUJ30" t="str">
        <f t="shared" si="65"/>
        <v/>
      </c>
      <c r="EUK30" t="str">
        <f t="shared" si="65"/>
        <v/>
      </c>
      <c r="EUL30" t="str">
        <f t="shared" si="65"/>
        <v/>
      </c>
      <c r="EUM30" t="str">
        <f t="shared" si="65"/>
        <v/>
      </c>
      <c r="EUN30" t="str">
        <f t="shared" si="65"/>
        <v/>
      </c>
      <c r="EUO30" t="str">
        <f t="shared" si="65"/>
        <v/>
      </c>
      <c r="EUP30" t="str">
        <f t="shared" si="65"/>
        <v/>
      </c>
      <c r="EUQ30" t="str">
        <f t="shared" si="65"/>
        <v/>
      </c>
      <c r="EUR30" t="str">
        <f t="shared" si="65"/>
        <v/>
      </c>
      <c r="EUS30" t="str">
        <f t="shared" si="65"/>
        <v/>
      </c>
      <c r="EUT30" t="str">
        <f t="shared" si="65"/>
        <v/>
      </c>
      <c r="EUU30" t="str">
        <f t="shared" si="65"/>
        <v/>
      </c>
      <c r="EUV30" t="str">
        <f t="shared" si="65"/>
        <v/>
      </c>
      <c r="EUW30" t="str">
        <f t="shared" si="65"/>
        <v/>
      </c>
      <c r="EUX30" t="str">
        <f t="shared" si="65"/>
        <v/>
      </c>
      <c r="EUY30" t="str">
        <f t="shared" si="65"/>
        <v/>
      </c>
      <c r="EUZ30" t="str">
        <f t="shared" si="65"/>
        <v/>
      </c>
      <c r="EVA30" t="str">
        <f t="shared" si="65"/>
        <v/>
      </c>
      <c r="EVB30" t="str">
        <f t="shared" si="65"/>
        <v/>
      </c>
      <c r="EVC30" t="str">
        <f t="shared" si="65"/>
        <v/>
      </c>
      <c r="EVD30" t="str">
        <f t="shared" si="65"/>
        <v/>
      </c>
      <c r="EVE30" t="str">
        <f t="shared" si="65"/>
        <v/>
      </c>
      <c r="EVF30" t="str">
        <f t="shared" si="65"/>
        <v/>
      </c>
      <c r="EVG30" t="str">
        <f t="shared" si="65"/>
        <v/>
      </c>
      <c r="EVH30" t="str">
        <f t="shared" si="65"/>
        <v/>
      </c>
      <c r="EVI30" t="str">
        <f t="shared" si="65"/>
        <v/>
      </c>
      <c r="EVJ30" t="str">
        <f t="shared" si="65"/>
        <v/>
      </c>
      <c r="EVK30" t="str">
        <f t="shared" si="65"/>
        <v/>
      </c>
      <c r="EVL30" t="str">
        <f t="shared" si="65"/>
        <v/>
      </c>
      <c r="EVM30" t="str">
        <f t="shared" si="65"/>
        <v/>
      </c>
      <c r="EVN30" t="str">
        <f t="shared" si="65"/>
        <v/>
      </c>
      <c r="EVO30" t="str">
        <f t="shared" si="65"/>
        <v/>
      </c>
      <c r="EVP30" t="str">
        <f t="shared" si="65"/>
        <v/>
      </c>
      <c r="EVQ30" t="str">
        <f t="shared" si="65"/>
        <v/>
      </c>
      <c r="EVR30" t="str">
        <f t="shared" si="65"/>
        <v/>
      </c>
      <c r="EVS30" t="str">
        <f t="shared" si="65"/>
        <v/>
      </c>
      <c r="EVT30" t="str">
        <f t="shared" si="65"/>
        <v/>
      </c>
      <c r="EVU30" t="str">
        <f t="shared" si="65"/>
        <v/>
      </c>
      <c r="EVV30" t="str">
        <f t="shared" si="65"/>
        <v/>
      </c>
      <c r="EVW30" t="str">
        <f t="shared" si="65"/>
        <v/>
      </c>
      <c r="EVX30" t="str">
        <f t="shared" si="65"/>
        <v/>
      </c>
      <c r="EVY30" t="str">
        <f t="shared" si="65"/>
        <v/>
      </c>
      <c r="EVZ30" t="str">
        <f t="shared" si="65"/>
        <v/>
      </c>
      <c r="EWA30" t="str">
        <f t="shared" si="65"/>
        <v/>
      </c>
      <c r="EWB30" t="str">
        <f t="shared" si="65"/>
        <v/>
      </c>
      <c r="EWC30" t="str">
        <f t="shared" si="65"/>
        <v/>
      </c>
      <c r="EWD30" t="str">
        <f t="shared" si="65"/>
        <v/>
      </c>
      <c r="EWE30" t="str">
        <f t="shared" si="65"/>
        <v/>
      </c>
      <c r="EWF30" t="str">
        <f t="shared" ref="EWF30:EYQ30" si="66">TRIM(EWR11)</f>
        <v/>
      </c>
      <c r="EWG30" t="str">
        <f t="shared" si="66"/>
        <v/>
      </c>
      <c r="EWH30" t="str">
        <f t="shared" si="66"/>
        <v/>
      </c>
      <c r="EWI30" t="str">
        <f t="shared" si="66"/>
        <v/>
      </c>
      <c r="EWJ30" t="str">
        <f t="shared" si="66"/>
        <v/>
      </c>
      <c r="EWK30" t="str">
        <f t="shared" si="66"/>
        <v/>
      </c>
      <c r="EWL30" t="str">
        <f t="shared" si="66"/>
        <v/>
      </c>
      <c r="EWM30" t="str">
        <f t="shared" si="66"/>
        <v/>
      </c>
      <c r="EWN30" t="str">
        <f t="shared" si="66"/>
        <v/>
      </c>
      <c r="EWO30" t="str">
        <f t="shared" si="66"/>
        <v/>
      </c>
      <c r="EWP30" t="str">
        <f t="shared" si="66"/>
        <v/>
      </c>
      <c r="EWQ30" t="str">
        <f t="shared" si="66"/>
        <v/>
      </c>
      <c r="EWR30" t="str">
        <f t="shared" si="66"/>
        <v/>
      </c>
      <c r="EWS30" t="str">
        <f t="shared" si="66"/>
        <v/>
      </c>
      <c r="EWT30" t="str">
        <f t="shared" si="66"/>
        <v/>
      </c>
      <c r="EWU30" t="str">
        <f t="shared" si="66"/>
        <v/>
      </c>
      <c r="EWV30" t="str">
        <f t="shared" si="66"/>
        <v/>
      </c>
      <c r="EWW30" t="str">
        <f t="shared" si="66"/>
        <v/>
      </c>
      <c r="EWX30" t="str">
        <f t="shared" si="66"/>
        <v/>
      </c>
      <c r="EWY30" t="str">
        <f t="shared" si="66"/>
        <v/>
      </c>
      <c r="EWZ30" t="str">
        <f t="shared" si="66"/>
        <v/>
      </c>
      <c r="EXA30" t="str">
        <f t="shared" si="66"/>
        <v/>
      </c>
      <c r="EXB30" t="str">
        <f t="shared" si="66"/>
        <v/>
      </c>
      <c r="EXC30" t="str">
        <f t="shared" si="66"/>
        <v/>
      </c>
      <c r="EXD30" t="str">
        <f t="shared" si="66"/>
        <v/>
      </c>
      <c r="EXE30" t="str">
        <f t="shared" si="66"/>
        <v/>
      </c>
      <c r="EXF30" t="str">
        <f t="shared" si="66"/>
        <v/>
      </c>
      <c r="EXG30" t="str">
        <f t="shared" si="66"/>
        <v/>
      </c>
      <c r="EXH30" t="str">
        <f t="shared" si="66"/>
        <v/>
      </c>
      <c r="EXI30" t="str">
        <f t="shared" si="66"/>
        <v/>
      </c>
      <c r="EXJ30" t="str">
        <f t="shared" si="66"/>
        <v/>
      </c>
      <c r="EXK30" t="str">
        <f t="shared" si="66"/>
        <v/>
      </c>
      <c r="EXL30" t="str">
        <f t="shared" si="66"/>
        <v/>
      </c>
      <c r="EXM30" t="str">
        <f t="shared" si="66"/>
        <v/>
      </c>
      <c r="EXN30" t="str">
        <f t="shared" si="66"/>
        <v/>
      </c>
      <c r="EXO30" t="str">
        <f t="shared" si="66"/>
        <v/>
      </c>
      <c r="EXP30" t="str">
        <f t="shared" si="66"/>
        <v/>
      </c>
      <c r="EXQ30" t="str">
        <f t="shared" si="66"/>
        <v/>
      </c>
      <c r="EXR30" t="str">
        <f t="shared" si="66"/>
        <v/>
      </c>
      <c r="EXS30" t="str">
        <f t="shared" si="66"/>
        <v/>
      </c>
      <c r="EXT30" t="str">
        <f t="shared" si="66"/>
        <v/>
      </c>
      <c r="EXU30" t="str">
        <f t="shared" si="66"/>
        <v/>
      </c>
      <c r="EXV30" t="str">
        <f t="shared" si="66"/>
        <v/>
      </c>
      <c r="EXW30" t="str">
        <f t="shared" si="66"/>
        <v/>
      </c>
      <c r="EXX30" t="str">
        <f t="shared" si="66"/>
        <v/>
      </c>
      <c r="EXY30" t="str">
        <f t="shared" si="66"/>
        <v/>
      </c>
      <c r="EXZ30" t="str">
        <f t="shared" si="66"/>
        <v/>
      </c>
      <c r="EYA30" t="str">
        <f t="shared" si="66"/>
        <v/>
      </c>
      <c r="EYB30" t="str">
        <f t="shared" si="66"/>
        <v/>
      </c>
      <c r="EYC30" t="str">
        <f t="shared" si="66"/>
        <v/>
      </c>
      <c r="EYD30" t="str">
        <f t="shared" si="66"/>
        <v/>
      </c>
      <c r="EYE30" t="str">
        <f t="shared" si="66"/>
        <v/>
      </c>
      <c r="EYF30" t="str">
        <f t="shared" si="66"/>
        <v/>
      </c>
      <c r="EYG30" t="str">
        <f t="shared" si="66"/>
        <v/>
      </c>
      <c r="EYH30" t="str">
        <f t="shared" si="66"/>
        <v/>
      </c>
      <c r="EYI30" t="str">
        <f t="shared" si="66"/>
        <v/>
      </c>
      <c r="EYJ30" t="str">
        <f t="shared" si="66"/>
        <v/>
      </c>
      <c r="EYK30" t="str">
        <f t="shared" si="66"/>
        <v/>
      </c>
      <c r="EYL30" t="str">
        <f t="shared" si="66"/>
        <v/>
      </c>
      <c r="EYM30" t="str">
        <f t="shared" si="66"/>
        <v/>
      </c>
      <c r="EYN30" t="str">
        <f t="shared" si="66"/>
        <v/>
      </c>
      <c r="EYO30" t="str">
        <f t="shared" si="66"/>
        <v/>
      </c>
      <c r="EYP30" t="str">
        <f t="shared" si="66"/>
        <v/>
      </c>
      <c r="EYQ30" t="str">
        <f t="shared" si="66"/>
        <v/>
      </c>
      <c r="EYR30" t="str">
        <f t="shared" ref="EYR30:FBC30" si="67">TRIM(EZD11)</f>
        <v/>
      </c>
      <c r="EYS30" t="str">
        <f t="shared" si="67"/>
        <v/>
      </c>
      <c r="EYT30" t="str">
        <f t="shared" si="67"/>
        <v/>
      </c>
      <c r="EYU30" t="str">
        <f t="shared" si="67"/>
        <v/>
      </c>
      <c r="EYV30" t="str">
        <f t="shared" si="67"/>
        <v/>
      </c>
      <c r="EYW30" t="str">
        <f t="shared" si="67"/>
        <v/>
      </c>
      <c r="EYX30" t="str">
        <f t="shared" si="67"/>
        <v/>
      </c>
      <c r="EYY30" t="str">
        <f t="shared" si="67"/>
        <v/>
      </c>
      <c r="EYZ30" t="str">
        <f t="shared" si="67"/>
        <v/>
      </c>
      <c r="EZA30" t="str">
        <f t="shared" si="67"/>
        <v/>
      </c>
      <c r="EZB30" t="str">
        <f t="shared" si="67"/>
        <v/>
      </c>
      <c r="EZC30" t="str">
        <f t="shared" si="67"/>
        <v/>
      </c>
      <c r="EZD30" t="str">
        <f t="shared" si="67"/>
        <v/>
      </c>
      <c r="EZE30" t="str">
        <f t="shared" si="67"/>
        <v/>
      </c>
      <c r="EZF30" t="str">
        <f t="shared" si="67"/>
        <v/>
      </c>
      <c r="EZG30" t="str">
        <f t="shared" si="67"/>
        <v/>
      </c>
      <c r="EZH30" t="str">
        <f t="shared" si="67"/>
        <v/>
      </c>
      <c r="EZI30" t="str">
        <f t="shared" si="67"/>
        <v/>
      </c>
      <c r="EZJ30" t="str">
        <f t="shared" si="67"/>
        <v/>
      </c>
      <c r="EZK30" t="str">
        <f t="shared" si="67"/>
        <v/>
      </c>
      <c r="EZL30" t="str">
        <f t="shared" si="67"/>
        <v/>
      </c>
      <c r="EZM30" t="str">
        <f t="shared" si="67"/>
        <v/>
      </c>
      <c r="EZN30" t="str">
        <f t="shared" si="67"/>
        <v/>
      </c>
      <c r="EZO30" t="str">
        <f t="shared" si="67"/>
        <v/>
      </c>
      <c r="EZP30" t="str">
        <f t="shared" si="67"/>
        <v/>
      </c>
      <c r="EZQ30" t="str">
        <f t="shared" si="67"/>
        <v/>
      </c>
      <c r="EZR30" t="str">
        <f t="shared" si="67"/>
        <v/>
      </c>
      <c r="EZS30" t="str">
        <f t="shared" si="67"/>
        <v/>
      </c>
      <c r="EZT30" t="str">
        <f t="shared" si="67"/>
        <v/>
      </c>
      <c r="EZU30" t="str">
        <f t="shared" si="67"/>
        <v/>
      </c>
      <c r="EZV30" t="str">
        <f t="shared" si="67"/>
        <v/>
      </c>
      <c r="EZW30" t="str">
        <f t="shared" si="67"/>
        <v/>
      </c>
      <c r="EZX30" t="str">
        <f t="shared" si="67"/>
        <v/>
      </c>
      <c r="EZY30" t="str">
        <f t="shared" si="67"/>
        <v/>
      </c>
      <c r="EZZ30" t="str">
        <f t="shared" si="67"/>
        <v/>
      </c>
      <c r="FAA30" t="str">
        <f t="shared" si="67"/>
        <v/>
      </c>
      <c r="FAB30" t="str">
        <f t="shared" si="67"/>
        <v/>
      </c>
      <c r="FAC30" t="str">
        <f t="shared" si="67"/>
        <v/>
      </c>
      <c r="FAD30" t="str">
        <f t="shared" si="67"/>
        <v/>
      </c>
      <c r="FAE30" t="str">
        <f t="shared" si="67"/>
        <v/>
      </c>
      <c r="FAF30" t="str">
        <f t="shared" si="67"/>
        <v/>
      </c>
      <c r="FAG30" t="str">
        <f t="shared" si="67"/>
        <v/>
      </c>
      <c r="FAH30" t="str">
        <f t="shared" si="67"/>
        <v/>
      </c>
      <c r="FAI30" t="str">
        <f t="shared" si="67"/>
        <v/>
      </c>
      <c r="FAJ30" t="str">
        <f t="shared" si="67"/>
        <v/>
      </c>
      <c r="FAK30" t="str">
        <f t="shared" si="67"/>
        <v/>
      </c>
      <c r="FAL30" t="str">
        <f t="shared" si="67"/>
        <v/>
      </c>
      <c r="FAM30" t="str">
        <f t="shared" si="67"/>
        <v/>
      </c>
      <c r="FAN30" t="str">
        <f t="shared" si="67"/>
        <v/>
      </c>
      <c r="FAO30" t="str">
        <f t="shared" si="67"/>
        <v/>
      </c>
      <c r="FAP30" t="str">
        <f t="shared" si="67"/>
        <v/>
      </c>
      <c r="FAQ30" t="str">
        <f t="shared" si="67"/>
        <v/>
      </c>
      <c r="FAR30" t="str">
        <f t="shared" si="67"/>
        <v/>
      </c>
      <c r="FAS30" t="str">
        <f t="shared" si="67"/>
        <v/>
      </c>
      <c r="FAT30" t="str">
        <f t="shared" si="67"/>
        <v/>
      </c>
      <c r="FAU30" t="str">
        <f t="shared" si="67"/>
        <v/>
      </c>
      <c r="FAV30" t="str">
        <f t="shared" si="67"/>
        <v/>
      </c>
      <c r="FAW30" t="str">
        <f t="shared" si="67"/>
        <v/>
      </c>
      <c r="FAX30" t="str">
        <f t="shared" si="67"/>
        <v/>
      </c>
      <c r="FAY30" t="str">
        <f t="shared" si="67"/>
        <v/>
      </c>
      <c r="FAZ30" t="str">
        <f t="shared" si="67"/>
        <v/>
      </c>
      <c r="FBA30" t="str">
        <f t="shared" si="67"/>
        <v/>
      </c>
      <c r="FBB30" t="str">
        <f t="shared" si="67"/>
        <v/>
      </c>
      <c r="FBC30" t="str">
        <f t="shared" si="67"/>
        <v/>
      </c>
      <c r="FBD30" t="str">
        <f t="shared" ref="FBD30:FDO30" si="68">TRIM(FBP11)</f>
        <v/>
      </c>
      <c r="FBE30" t="str">
        <f t="shared" si="68"/>
        <v/>
      </c>
      <c r="FBF30" t="str">
        <f t="shared" si="68"/>
        <v/>
      </c>
      <c r="FBG30" t="str">
        <f t="shared" si="68"/>
        <v/>
      </c>
      <c r="FBH30" t="str">
        <f t="shared" si="68"/>
        <v/>
      </c>
      <c r="FBI30" t="str">
        <f t="shared" si="68"/>
        <v/>
      </c>
      <c r="FBJ30" t="str">
        <f t="shared" si="68"/>
        <v/>
      </c>
      <c r="FBK30" t="str">
        <f t="shared" si="68"/>
        <v/>
      </c>
      <c r="FBL30" t="str">
        <f t="shared" si="68"/>
        <v/>
      </c>
      <c r="FBM30" t="str">
        <f t="shared" si="68"/>
        <v/>
      </c>
      <c r="FBN30" t="str">
        <f t="shared" si="68"/>
        <v/>
      </c>
      <c r="FBO30" t="str">
        <f t="shared" si="68"/>
        <v/>
      </c>
      <c r="FBP30" t="str">
        <f t="shared" si="68"/>
        <v/>
      </c>
      <c r="FBQ30" t="str">
        <f t="shared" si="68"/>
        <v/>
      </c>
      <c r="FBR30" t="str">
        <f t="shared" si="68"/>
        <v/>
      </c>
      <c r="FBS30" t="str">
        <f t="shared" si="68"/>
        <v/>
      </c>
      <c r="FBT30" t="str">
        <f t="shared" si="68"/>
        <v/>
      </c>
      <c r="FBU30" t="str">
        <f t="shared" si="68"/>
        <v/>
      </c>
      <c r="FBV30" t="str">
        <f t="shared" si="68"/>
        <v/>
      </c>
      <c r="FBW30" t="str">
        <f t="shared" si="68"/>
        <v/>
      </c>
      <c r="FBX30" t="str">
        <f t="shared" si="68"/>
        <v/>
      </c>
      <c r="FBY30" t="str">
        <f t="shared" si="68"/>
        <v/>
      </c>
      <c r="FBZ30" t="str">
        <f t="shared" si="68"/>
        <v/>
      </c>
      <c r="FCA30" t="str">
        <f t="shared" si="68"/>
        <v/>
      </c>
      <c r="FCB30" t="str">
        <f t="shared" si="68"/>
        <v/>
      </c>
      <c r="FCC30" t="str">
        <f t="shared" si="68"/>
        <v/>
      </c>
      <c r="FCD30" t="str">
        <f t="shared" si="68"/>
        <v/>
      </c>
      <c r="FCE30" t="str">
        <f t="shared" si="68"/>
        <v/>
      </c>
      <c r="FCF30" t="str">
        <f t="shared" si="68"/>
        <v/>
      </c>
      <c r="FCG30" t="str">
        <f t="shared" si="68"/>
        <v/>
      </c>
      <c r="FCH30" t="str">
        <f t="shared" si="68"/>
        <v/>
      </c>
      <c r="FCI30" t="str">
        <f t="shared" si="68"/>
        <v/>
      </c>
      <c r="FCJ30" t="str">
        <f t="shared" si="68"/>
        <v/>
      </c>
      <c r="FCK30" t="str">
        <f t="shared" si="68"/>
        <v/>
      </c>
      <c r="FCL30" t="str">
        <f t="shared" si="68"/>
        <v/>
      </c>
      <c r="FCM30" t="str">
        <f t="shared" si="68"/>
        <v/>
      </c>
      <c r="FCN30" t="str">
        <f t="shared" si="68"/>
        <v/>
      </c>
      <c r="FCO30" t="str">
        <f t="shared" si="68"/>
        <v/>
      </c>
      <c r="FCP30" t="str">
        <f t="shared" si="68"/>
        <v/>
      </c>
      <c r="FCQ30" t="str">
        <f t="shared" si="68"/>
        <v/>
      </c>
      <c r="FCR30" t="str">
        <f t="shared" si="68"/>
        <v/>
      </c>
      <c r="FCS30" t="str">
        <f t="shared" si="68"/>
        <v/>
      </c>
      <c r="FCT30" t="str">
        <f t="shared" si="68"/>
        <v/>
      </c>
      <c r="FCU30" t="str">
        <f t="shared" si="68"/>
        <v/>
      </c>
      <c r="FCV30" t="str">
        <f t="shared" si="68"/>
        <v/>
      </c>
      <c r="FCW30" t="str">
        <f t="shared" si="68"/>
        <v/>
      </c>
      <c r="FCX30" t="str">
        <f t="shared" si="68"/>
        <v/>
      </c>
      <c r="FCY30" t="str">
        <f t="shared" si="68"/>
        <v/>
      </c>
      <c r="FCZ30" t="str">
        <f t="shared" si="68"/>
        <v/>
      </c>
      <c r="FDA30" t="str">
        <f t="shared" si="68"/>
        <v/>
      </c>
      <c r="FDB30" t="str">
        <f t="shared" si="68"/>
        <v/>
      </c>
      <c r="FDC30" t="str">
        <f t="shared" si="68"/>
        <v/>
      </c>
      <c r="FDD30" t="str">
        <f t="shared" si="68"/>
        <v/>
      </c>
      <c r="FDE30" t="str">
        <f t="shared" si="68"/>
        <v/>
      </c>
      <c r="FDF30" t="str">
        <f t="shared" si="68"/>
        <v/>
      </c>
      <c r="FDG30" t="str">
        <f t="shared" si="68"/>
        <v/>
      </c>
      <c r="FDH30" t="str">
        <f t="shared" si="68"/>
        <v/>
      </c>
      <c r="FDI30" t="str">
        <f t="shared" si="68"/>
        <v/>
      </c>
      <c r="FDJ30" t="str">
        <f t="shared" si="68"/>
        <v/>
      </c>
      <c r="FDK30" t="str">
        <f t="shared" si="68"/>
        <v/>
      </c>
      <c r="FDL30" t="str">
        <f t="shared" si="68"/>
        <v/>
      </c>
      <c r="FDM30" t="str">
        <f t="shared" si="68"/>
        <v/>
      </c>
      <c r="FDN30" t="str">
        <f t="shared" si="68"/>
        <v/>
      </c>
      <c r="FDO30" t="str">
        <f t="shared" si="68"/>
        <v/>
      </c>
      <c r="FDP30" t="str">
        <f t="shared" ref="FDP30:FGA30" si="69">TRIM(FEB11)</f>
        <v/>
      </c>
      <c r="FDQ30" t="str">
        <f t="shared" si="69"/>
        <v/>
      </c>
      <c r="FDR30" t="str">
        <f t="shared" si="69"/>
        <v/>
      </c>
      <c r="FDS30" t="str">
        <f t="shared" si="69"/>
        <v/>
      </c>
      <c r="FDT30" t="str">
        <f t="shared" si="69"/>
        <v/>
      </c>
      <c r="FDU30" t="str">
        <f t="shared" si="69"/>
        <v/>
      </c>
      <c r="FDV30" t="str">
        <f t="shared" si="69"/>
        <v/>
      </c>
      <c r="FDW30" t="str">
        <f t="shared" si="69"/>
        <v/>
      </c>
      <c r="FDX30" t="str">
        <f t="shared" si="69"/>
        <v/>
      </c>
      <c r="FDY30" t="str">
        <f t="shared" si="69"/>
        <v/>
      </c>
      <c r="FDZ30" t="str">
        <f t="shared" si="69"/>
        <v/>
      </c>
      <c r="FEA30" t="str">
        <f t="shared" si="69"/>
        <v/>
      </c>
      <c r="FEB30" t="str">
        <f t="shared" si="69"/>
        <v/>
      </c>
      <c r="FEC30" t="str">
        <f t="shared" si="69"/>
        <v/>
      </c>
      <c r="FED30" t="str">
        <f t="shared" si="69"/>
        <v/>
      </c>
      <c r="FEE30" t="str">
        <f t="shared" si="69"/>
        <v/>
      </c>
      <c r="FEF30" t="str">
        <f t="shared" si="69"/>
        <v/>
      </c>
      <c r="FEG30" t="str">
        <f t="shared" si="69"/>
        <v/>
      </c>
      <c r="FEH30" t="str">
        <f t="shared" si="69"/>
        <v/>
      </c>
      <c r="FEI30" t="str">
        <f t="shared" si="69"/>
        <v/>
      </c>
      <c r="FEJ30" t="str">
        <f t="shared" si="69"/>
        <v/>
      </c>
      <c r="FEK30" t="str">
        <f t="shared" si="69"/>
        <v/>
      </c>
      <c r="FEL30" t="str">
        <f t="shared" si="69"/>
        <v/>
      </c>
      <c r="FEM30" t="str">
        <f t="shared" si="69"/>
        <v/>
      </c>
      <c r="FEN30" t="str">
        <f t="shared" si="69"/>
        <v/>
      </c>
      <c r="FEO30" t="str">
        <f t="shared" si="69"/>
        <v/>
      </c>
      <c r="FEP30" t="str">
        <f t="shared" si="69"/>
        <v/>
      </c>
      <c r="FEQ30" t="str">
        <f t="shared" si="69"/>
        <v/>
      </c>
      <c r="FER30" t="str">
        <f t="shared" si="69"/>
        <v/>
      </c>
      <c r="FES30" t="str">
        <f t="shared" si="69"/>
        <v/>
      </c>
      <c r="FET30" t="str">
        <f t="shared" si="69"/>
        <v/>
      </c>
      <c r="FEU30" t="str">
        <f t="shared" si="69"/>
        <v/>
      </c>
      <c r="FEV30" t="str">
        <f t="shared" si="69"/>
        <v/>
      </c>
      <c r="FEW30" t="str">
        <f t="shared" si="69"/>
        <v/>
      </c>
      <c r="FEX30" t="str">
        <f t="shared" si="69"/>
        <v/>
      </c>
      <c r="FEY30" t="str">
        <f t="shared" si="69"/>
        <v/>
      </c>
      <c r="FEZ30" t="str">
        <f t="shared" si="69"/>
        <v/>
      </c>
      <c r="FFA30" t="str">
        <f t="shared" si="69"/>
        <v/>
      </c>
      <c r="FFB30" t="str">
        <f t="shared" si="69"/>
        <v/>
      </c>
      <c r="FFC30" t="str">
        <f t="shared" si="69"/>
        <v/>
      </c>
      <c r="FFD30" t="str">
        <f t="shared" si="69"/>
        <v/>
      </c>
      <c r="FFE30" t="str">
        <f t="shared" si="69"/>
        <v/>
      </c>
      <c r="FFF30" t="str">
        <f t="shared" si="69"/>
        <v/>
      </c>
      <c r="FFG30" t="str">
        <f t="shared" si="69"/>
        <v/>
      </c>
      <c r="FFH30" t="str">
        <f t="shared" si="69"/>
        <v/>
      </c>
      <c r="FFI30" t="str">
        <f t="shared" si="69"/>
        <v/>
      </c>
      <c r="FFJ30" t="str">
        <f t="shared" si="69"/>
        <v/>
      </c>
      <c r="FFK30" t="str">
        <f t="shared" si="69"/>
        <v/>
      </c>
      <c r="FFL30" t="str">
        <f t="shared" si="69"/>
        <v/>
      </c>
      <c r="FFM30" t="str">
        <f t="shared" si="69"/>
        <v/>
      </c>
      <c r="FFN30" t="str">
        <f t="shared" si="69"/>
        <v/>
      </c>
      <c r="FFO30" t="str">
        <f t="shared" si="69"/>
        <v/>
      </c>
      <c r="FFP30" t="str">
        <f t="shared" si="69"/>
        <v/>
      </c>
      <c r="FFQ30" t="str">
        <f t="shared" si="69"/>
        <v/>
      </c>
      <c r="FFR30" t="str">
        <f t="shared" si="69"/>
        <v/>
      </c>
      <c r="FFS30" t="str">
        <f t="shared" si="69"/>
        <v/>
      </c>
      <c r="FFT30" t="str">
        <f t="shared" si="69"/>
        <v/>
      </c>
      <c r="FFU30" t="str">
        <f t="shared" si="69"/>
        <v/>
      </c>
      <c r="FFV30" t="str">
        <f t="shared" si="69"/>
        <v/>
      </c>
      <c r="FFW30" t="str">
        <f t="shared" si="69"/>
        <v/>
      </c>
      <c r="FFX30" t="str">
        <f t="shared" si="69"/>
        <v/>
      </c>
      <c r="FFY30" t="str">
        <f t="shared" si="69"/>
        <v/>
      </c>
      <c r="FFZ30" t="str">
        <f t="shared" si="69"/>
        <v/>
      </c>
      <c r="FGA30" t="str">
        <f t="shared" si="69"/>
        <v/>
      </c>
      <c r="FGB30" t="str">
        <f t="shared" ref="FGB30:FIM30" si="70">TRIM(FGN11)</f>
        <v/>
      </c>
      <c r="FGC30" t="str">
        <f t="shared" si="70"/>
        <v/>
      </c>
      <c r="FGD30" t="str">
        <f t="shared" si="70"/>
        <v/>
      </c>
      <c r="FGE30" t="str">
        <f t="shared" si="70"/>
        <v/>
      </c>
      <c r="FGF30" t="str">
        <f t="shared" si="70"/>
        <v/>
      </c>
      <c r="FGG30" t="str">
        <f t="shared" si="70"/>
        <v/>
      </c>
      <c r="FGH30" t="str">
        <f t="shared" si="70"/>
        <v/>
      </c>
      <c r="FGI30" t="str">
        <f t="shared" si="70"/>
        <v/>
      </c>
      <c r="FGJ30" t="str">
        <f t="shared" si="70"/>
        <v/>
      </c>
      <c r="FGK30" t="str">
        <f t="shared" si="70"/>
        <v/>
      </c>
      <c r="FGL30" t="str">
        <f t="shared" si="70"/>
        <v/>
      </c>
      <c r="FGM30" t="str">
        <f t="shared" si="70"/>
        <v/>
      </c>
      <c r="FGN30" t="str">
        <f t="shared" si="70"/>
        <v/>
      </c>
      <c r="FGO30" t="str">
        <f t="shared" si="70"/>
        <v/>
      </c>
      <c r="FGP30" t="str">
        <f t="shared" si="70"/>
        <v/>
      </c>
      <c r="FGQ30" t="str">
        <f t="shared" si="70"/>
        <v/>
      </c>
      <c r="FGR30" t="str">
        <f t="shared" si="70"/>
        <v/>
      </c>
      <c r="FGS30" t="str">
        <f t="shared" si="70"/>
        <v/>
      </c>
      <c r="FGT30" t="str">
        <f t="shared" si="70"/>
        <v/>
      </c>
      <c r="FGU30" t="str">
        <f t="shared" si="70"/>
        <v/>
      </c>
      <c r="FGV30" t="str">
        <f t="shared" si="70"/>
        <v/>
      </c>
      <c r="FGW30" t="str">
        <f t="shared" si="70"/>
        <v/>
      </c>
      <c r="FGX30" t="str">
        <f t="shared" si="70"/>
        <v/>
      </c>
      <c r="FGY30" t="str">
        <f t="shared" si="70"/>
        <v/>
      </c>
      <c r="FGZ30" t="str">
        <f t="shared" si="70"/>
        <v/>
      </c>
      <c r="FHA30" t="str">
        <f t="shared" si="70"/>
        <v/>
      </c>
      <c r="FHB30" t="str">
        <f t="shared" si="70"/>
        <v/>
      </c>
      <c r="FHC30" t="str">
        <f t="shared" si="70"/>
        <v/>
      </c>
      <c r="FHD30" t="str">
        <f t="shared" si="70"/>
        <v/>
      </c>
      <c r="FHE30" t="str">
        <f t="shared" si="70"/>
        <v/>
      </c>
      <c r="FHF30" t="str">
        <f t="shared" si="70"/>
        <v/>
      </c>
      <c r="FHG30" t="str">
        <f t="shared" si="70"/>
        <v/>
      </c>
      <c r="FHH30" t="str">
        <f t="shared" si="70"/>
        <v/>
      </c>
      <c r="FHI30" t="str">
        <f t="shared" si="70"/>
        <v/>
      </c>
      <c r="FHJ30" t="str">
        <f t="shared" si="70"/>
        <v/>
      </c>
      <c r="FHK30" t="str">
        <f t="shared" si="70"/>
        <v/>
      </c>
      <c r="FHL30" t="str">
        <f t="shared" si="70"/>
        <v/>
      </c>
      <c r="FHM30" t="str">
        <f t="shared" si="70"/>
        <v/>
      </c>
      <c r="FHN30" t="str">
        <f t="shared" si="70"/>
        <v/>
      </c>
      <c r="FHO30" t="str">
        <f t="shared" si="70"/>
        <v/>
      </c>
      <c r="FHP30" t="str">
        <f t="shared" si="70"/>
        <v/>
      </c>
      <c r="FHQ30" t="str">
        <f t="shared" si="70"/>
        <v/>
      </c>
      <c r="FHR30" t="str">
        <f t="shared" si="70"/>
        <v/>
      </c>
      <c r="FHS30" t="str">
        <f t="shared" si="70"/>
        <v/>
      </c>
      <c r="FHT30" t="str">
        <f t="shared" si="70"/>
        <v/>
      </c>
      <c r="FHU30" t="str">
        <f t="shared" si="70"/>
        <v/>
      </c>
      <c r="FHV30" t="str">
        <f t="shared" si="70"/>
        <v/>
      </c>
      <c r="FHW30" t="str">
        <f t="shared" si="70"/>
        <v/>
      </c>
      <c r="FHX30" t="str">
        <f t="shared" si="70"/>
        <v/>
      </c>
      <c r="FHY30" t="str">
        <f t="shared" si="70"/>
        <v/>
      </c>
      <c r="FHZ30" t="str">
        <f t="shared" si="70"/>
        <v/>
      </c>
      <c r="FIA30" t="str">
        <f t="shared" si="70"/>
        <v/>
      </c>
      <c r="FIB30" t="str">
        <f t="shared" si="70"/>
        <v/>
      </c>
      <c r="FIC30" t="str">
        <f t="shared" si="70"/>
        <v/>
      </c>
      <c r="FID30" t="str">
        <f t="shared" si="70"/>
        <v/>
      </c>
      <c r="FIE30" t="str">
        <f t="shared" si="70"/>
        <v/>
      </c>
      <c r="FIF30" t="str">
        <f t="shared" si="70"/>
        <v/>
      </c>
      <c r="FIG30" t="str">
        <f t="shared" si="70"/>
        <v/>
      </c>
      <c r="FIH30" t="str">
        <f t="shared" si="70"/>
        <v/>
      </c>
      <c r="FII30" t="str">
        <f t="shared" si="70"/>
        <v/>
      </c>
      <c r="FIJ30" t="str">
        <f t="shared" si="70"/>
        <v/>
      </c>
      <c r="FIK30" t="str">
        <f t="shared" si="70"/>
        <v/>
      </c>
      <c r="FIL30" t="str">
        <f t="shared" si="70"/>
        <v/>
      </c>
      <c r="FIM30" t="str">
        <f t="shared" si="70"/>
        <v/>
      </c>
      <c r="FIN30" t="str">
        <f t="shared" ref="FIN30:FKY30" si="71">TRIM(FIZ11)</f>
        <v/>
      </c>
      <c r="FIO30" t="str">
        <f t="shared" si="71"/>
        <v/>
      </c>
      <c r="FIP30" t="str">
        <f t="shared" si="71"/>
        <v/>
      </c>
      <c r="FIQ30" t="str">
        <f t="shared" si="71"/>
        <v/>
      </c>
      <c r="FIR30" t="str">
        <f t="shared" si="71"/>
        <v/>
      </c>
      <c r="FIS30" t="str">
        <f t="shared" si="71"/>
        <v/>
      </c>
      <c r="FIT30" t="str">
        <f t="shared" si="71"/>
        <v/>
      </c>
      <c r="FIU30" t="str">
        <f t="shared" si="71"/>
        <v/>
      </c>
      <c r="FIV30" t="str">
        <f t="shared" si="71"/>
        <v/>
      </c>
      <c r="FIW30" t="str">
        <f t="shared" si="71"/>
        <v/>
      </c>
      <c r="FIX30" t="str">
        <f t="shared" si="71"/>
        <v/>
      </c>
      <c r="FIY30" t="str">
        <f t="shared" si="71"/>
        <v/>
      </c>
      <c r="FIZ30" t="str">
        <f t="shared" si="71"/>
        <v/>
      </c>
      <c r="FJA30" t="str">
        <f t="shared" si="71"/>
        <v/>
      </c>
      <c r="FJB30" t="str">
        <f t="shared" si="71"/>
        <v/>
      </c>
      <c r="FJC30" t="str">
        <f t="shared" si="71"/>
        <v/>
      </c>
      <c r="FJD30" t="str">
        <f t="shared" si="71"/>
        <v/>
      </c>
      <c r="FJE30" t="str">
        <f t="shared" si="71"/>
        <v/>
      </c>
      <c r="FJF30" t="str">
        <f t="shared" si="71"/>
        <v/>
      </c>
      <c r="FJG30" t="str">
        <f t="shared" si="71"/>
        <v/>
      </c>
      <c r="FJH30" t="str">
        <f t="shared" si="71"/>
        <v/>
      </c>
      <c r="FJI30" t="str">
        <f t="shared" si="71"/>
        <v/>
      </c>
      <c r="FJJ30" t="str">
        <f t="shared" si="71"/>
        <v/>
      </c>
      <c r="FJK30" t="str">
        <f t="shared" si="71"/>
        <v/>
      </c>
      <c r="FJL30" t="str">
        <f t="shared" si="71"/>
        <v/>
      </c>
      <c r="FJM30" t="str">
        <f t="shared" si="71"/>
        <v/>
      </c>
      <c r="FJN30" t="str">
        <f t="shared" si="71"/>
        <v/>
      </c>
      <c r="FJO30" t="str">
        <f t="shared" si="71"/>
        <v/>
      </c>
      <c r="FJP30" t="str">
        <f t="shared" si="71"/>
        <v/>
      </c>
      <c r="FJQ30" t="str">
        <f t="shared" si="71"/>
        <v/>
      </c>
      <c r="FJR30" t="str">
        <f t="shared" si="71"/>
        <v/>
      </c>
      <c r="FJS30" t="str">
        <f t="shared" si="71"/>
        <v/>
      </c>
      <c r="FJT30" t="str">
        <f t="shared" si="71"/>
        <v/>
      </c>
      <c r="FJU30" t="str">
        <f t="shared" si="71"/>
        <v/>
      </c>
      <c r="FJV30" t="str">
        <f t="shared" si="71"/>
        <v/>
      </c>
      <c r="FJW30" t="str">
        <f t="shared" si="71"/>
        <v/>
      </c>
      <c r="FJX30" t="str">
        <f t="shared" si="71"/>
        <v/>
      </c>
      <c r="FJY30" t="str">
        <f t="shared" si="71"/>
        <v/>
      </c>
      <c r="FJZ30" t="str">
        <f t="shared" si="71"/>
        <v/>
      </c>
      <c r="FKA30" t="str">
        <f t="shared" si="71"/>
        <v/>
      </c>
      <c r="FKB30" t="str">
        <f t="shared" si="71"/>
        <v/>
      </c>
      <c r="FKC30" t="str">
        <f t="shared" si="71"/>
        <v/>
      </c>
      <c r="FKD30" t="str">
        <f t="shared" si="71"/>
        <v/>
      </c>
      <c r="FKE30" t="str">
        <f t="shared" si="71"/>
        <v/>
      </c>
      <c r="FKF30" t="str">
        <f t="shared" si="71"/>
        <v/>
      </c>
      <c r="FKG30" t="str">
        <f t="shared" si="71"/>
        <v/>
      </c>
      <c r="FKH30" t="str">
        <f t="shared" si="71"/>
        <v/>
      </c>
      <c r="FKI30" t="str">
        <f t="shared" si="71"/>
        <v/>
      </c>
      <c r="FKJ30" t="str">
        <f t="shared" si="71"/>
        <v/>
      </c>
      <c r="FKK30" t="str">
        <f t="shared" si="71"/>
        <v/>
      </c>
      <c r="FKL30" t="str">
        <f t="shared" si="71"/>
        <v/>
      </c>
      <c r="FKM30" t="str">
        <f t="shared" si="71"/>
        <v/>
      </c>
      <c r="FKN30" t="str">
        <f t="shared" si="71"/>
        <v/>
      </c>
      <c r="FKO30" t="str">
        <f t="shared" si="71"/>
        <v/>
      </c>
      <c r="FKP30" t="str">
        <f t="shared" si="71"/>
        <v/>
      </c>
      <c r="FKQ30" t="str">
        <f t="shared" si="71"/>
        <v/>
      </c>
      <c r="FKR30" t="str">
        <f t="shared" si="71"/>
        <v/>
      </c>
      <c r="FKS30" t="str">
        <f t="shared" si="71"/>
        <v/>
      </c>
      <c r="FKT30" t="str">
        <f t="shared" si="71"/>
        <v/>
      </c>
      <c r="FKU30" t="str">
        <f t="shared" si="71"/>
        <v/>
      </c>
      <c r="FKV30" t="str">
        <f t="shared" si="71"/>
        <v/>
      </c>
      <c r="FKW30" t="str">
        <f t="shared" si="71"/>
        <v/>
      </c>
      <c r="FKX30" t="str">
        <f t="shared" si="71"/>
        <v/>
      </c>
      <c r="FKY30" t="str">
        <f t="shared" si="71"/>
        <v/>
      </c>
      <c r="FKZ30" t="str">
        <f t="shared" ref="FKZ30:FNK30" si="72">TRIM(FLL11)</f>
        <v/>
      </c>
      <c r="FLA30" t="str">
        <f t="shared" si="72"/>
        <v/>
      </c>
      <c r="FLB30" t="str">
        <f t="shared" si="72"/>
        <v/>
      </c>
      <c r="FLC30" t="str">
        <f t="shared" si="72"/>
        <v/>
      </c>
      <c r="FLD30" t="str">
        <f t="shared" si="72"/>
        <v/>
      </c>
      <c r="FLE30" t="str">
        <f t="shared" si="72"/>
        <v/>
      </c>
      <c r="FLF30" t="str">
        <f t="shared" si="72"/>
        <v/>
      </c>
      <c r="FLG30" t="str">
        <f t="shared" si="72"/>
        <v/>
      </c>
      <c r="FLH30" t="str">
        <f t="shared" si="72"/>
        <v/>
      </c>
      <c r="FLI30" t="str">
        <f t="shared" si="72"/>
        <v/>
      </c>
      <c r="FLJ30" t="str">
        <f t="shared" si="72"/>
        <v/>
      </c>
      <c r="FLK30" t="str">
        <f t="shared" si="72"/>
        <v/>
      </c>
      <c r="FLL30" t="str">
        <f t="shared" si="72"/>
        <v/>
      </c>
      <c r="FLM30" t="str">
        <f t="shared" si="72"/>
        <v/>
      </c>
      <c r="FLN30" t="str">
        <f t="shared" si="72"/>
        <v/>
      </c>
      <c r="FLO30" t="str">
        <f t="shared" si="72"/>
        <v/>
      </c>
      <c r="FLP30" t="str">
        <f t="shared" si="72"/>
        <v/>
      </c>
      <c r="FLQ30" t="str">
        <f t="shared" si="72"/>
        <v/>
      </c>
      <c r="FLR30" t="str">
        <f t="shared" si="72"/>
        <v/>
      </c>
      <c r="FLS30" t="str">
        <f t="shared" si="72"/>
        <v/>
      </c>
      <c r="FLT30" t="str">
        <f t="shared" si="72"/>
        <v/>
      </c>
      <c r="FLU30" t="str">
        <f t="shared" si="72"/>
        <v/>
      </c>
      <c r="FLV30" t="str">
        <f t="shared" si="72"/>
        <v/>
      </c>
      <c r="FLW30" t="str">
        <f t="shared" si="72"/>
        <v/>
      </c>
      <c r="FLX30" t="str">
        <f t="shared" si="72"/>
        <v/>
      </c>
      <c r="FLY30" t="str">
        <f t="shared" si="72"/>
        <v/>
      </c>
      <c r="FLZ30" t="str">
        <f t="shared" si="72"/>
        <v/>
      </c>
      <c r="FMA30" t="str">
        <f t="shared" si="72"/>
        <v/>
      </c>
      <c r="FMB30" t="str">
        <f t="shared" si="72"/>
        <v/>
      </c>
      <c r="FMC30" t="str">
        <f t="shared" si="72"/>
        <v/>
      </c>
      <c r="FMD30" t="str">
        <f t="shared" si="72"/>
        <v/>
      </c>
      <c r="FME30" t="str">
        <f t="shared" si="72"/>
        <v/>
      </c>
      <c r="FMF30" t="str">
        <f t="shared" si="72"/>
        <v/>
      </c>
      <c r="FMG30" t="str">
        <f t="shared" si="72"/>
        <v/>
      </c>
      <c r="FMH30" t="str">
        <f t="shared" si="72"/>
        <v/>
      </c>
      <c r="FMI30" t="str">
        <f t="shared" si="72"/>
        <v/>
      </c>
      <c r="FMJ30" t="str">
        <f t="shared" si="72"/>
        <v/>
      </c>
      <c r="FMK30" t="str">
        <f t="shared" si="72"/>
        <v/>
      </c>
      <c r="FML30" t="str">
        <f t="shared" si="72"/>
        <v/>
      </c>
      <c r="FMM30" t="str">
        <f t="shared" si="72"/>
        <v/>
      </c>
      <c r="FMN30" t="str">
        <f t="shared" si="72"/>
        <v/>
      </c>
      <c r="FMO30" t="str">
        <f t="shared" si="72"/>
        <v/>
      </c>
      <c r="FMP30" t="str">
        <f t="shared" si="72"/>
        <v/>
      </c>
      <c r="FMQ30" t="str">
        <f t="shared" si="72"/>
        <v/>
      </c>
      <c r="FMR30" t="str">
        <f t="shared" si="72"/>
        <v/>
      </c>
      <c r="FMS30" t="str">
        <f t="shared" si="72"/>
        <v/>
      </c>
      <c r="FMT30" t="str">
        <f t="shared" si="72"/>
        <v/>
      </c>
      <c r="FMU30" t="str">
        <f t="shared" si="72"/>
        <v/>
      </c>
      <c r="FMV30" t="str">
        <f t="shared" si="72"/>
        <v/>
      </c>
      <c r="FMW30" t="str">
        <f t="shared" si="72"/>
        <v/>
      </c>
      <c r="FMX30" t="str">
        <f t="shared" si="72"/>
        <v/>
      </c>
      <c r="FMY30" t="str">
        <f t="shared" si="72"/>
        <v/>
      </c>
      <c r="FMZ30" t="str">
        <f t="shared" si="72"/>
        <v/>
      </c>
      <c r="FNA30" t="str">
        <f t="shared" si="72"/>
        <v/>
      </c>
      <c r="FNB30" t="str">
        <f t="shared" si="72"/>
        <v/>
      </c>
      <c r="FNC30" t="str">
        <f t="shared" si="72"/>
        <v/>
      </c>
      <c r="FND30" t="str">
        <f t="shared" si="72"/>
        <v/>
      </c>
      <c r="FNE30" t="str">
        <f t="shared" si="72"/>
        <v/>
      </c>
      <c r="FNF30" t="str">
        <f t="shared" si="72"/>
        <v/>
      </c>
      <c r="FNG30" t="str">
        <f t="shared" si="72"/>
        <v/>
      </c>
      <c r="FNH30" t="str">
        <f t="shared" si="72"/>
        <v/>
      </c>
      <c r="FNI30" t="str">
        <f t="shared" si="72"/>
        <v/>
      </c>
      <c r="FNJ30" t="str">
        <f t="shared" si="72"/>
        <v/>
      </c>
      <c r="FNK30" t="str">
        <f t="shared" si="72"/>
        <v/>
      </c>
      <c r="FNL30" t="str">
        <f t="shared" ref="FNL30:FPW30" si="73">TRIM(FNX11)</f>
        <v/>
      </c>
      <c r="FNM30" t="str">
        <f t="shared" si="73"/>
        <v/>
      </c>
      <c r="FNN30" t="str">
        <f t="shared" si="73"/>
        <v/>
      </c>
      <c r="FNO30" t="str">
        <f t="shared" si="73"/>
        <v/>
      </c>
      <c r="FNP30" t="str">
        <f t="shared" si="73"/>
        <v/>
      </c>
      <c r="FNQ30" t="str">
        <f t="shared" si="73"/>
        <v/>
      </c>
      <c r="FNR30" t="str">
        <f t="shared" si="73"/>
        <v/>
      </c>
      <c r="FNS30" t="str">
        <f t="shared" si="73"/>
        <v/>
      </c>
      <c r="FNT30" t="str">
        <f t="shared" si="73"/>
        <v/>
      </c>
      <c r="FNU30" t="str">
        <f t="shared" si="73"/>
        <v/>
      </c>
      <c r="FNV30" t="str">
        <f t="shared" si="73"/>
        <v/>
      </c>
      <c r="FNW30" t="str">
        <f t="shared" si="73"/>
        <v/>
      </c>
      <c r="FNX30" t="str">
        <f t="shared" si="73"/>
        <v/>
      </c>
      <c r="FNY30" t="str">
        <f t="shared" si="73"/>
        <v/>
      </c>
      <c r="FNZ30" t="str">
        <f t="shared" si="73"/>
        <v/>
      </c>
      <c r="FOA30" t="str">
        <f t="shared" si="73"/>
        <v/>
      </c>
      <c r="FOB30" t="str">
        <f t="shared" si="73"/>
        <v/>
      </c>
      <c r="FOC30" t="str">
        <f t="shared" si="73"/>
        <v/>
      </c>
      <c r="FOD30" t="str">
        <f t="shared" si="73"/>
        <v/>
      </c>
      <c r="FOE30" t="str">
        <f t="shared" si="73"/>
        <v/>
      </c>
      <c r="FOF30" t="str">
        <f t="shared" si="73"/>
        <v/>
      </c>
      <c r="FOG30" t="str">
        <f t="shared" si="73"/>
        <v/>
      </c>
      <c r="FOH30" t="str">
        <f t="shared" si="73"/>
        <v/>
      </c>
      <c r="FOI30" t="str">
        <f t="shared" si="73"/>
        <v/>
      </c>
      <c r="FOJ30" t="str">
        <f t="shared" si="73"/>
        <v/>
      </c>
      <c r="FOK30" t="str">
        <f t="shared" si="73"/>
        <v/>
      </c>
      <c r="FOL30" t="str">
        <f t="shared" si="73"/>
        <v/>
      </c>
      <c r="FOM30" t="str">
        <f t="shared" si="73"/>
        <v/>
      </c>
      <c r="FON30" t="str">
        <f t="shared" si="73"/>
        <v/>
      </c>
      <c r="FOO30" t="str">
        <f t="shared" si="73"/>
        <v/>
      </c>
      <c r="FOP30" t="str">
        <f t="shared" si="73"/>
        <v/>
      </c>
      <c r="FOQ30" t="str">
        <f t="shared" si="73"/>
        <v/>
      </c>
      <c r="FOR30" t="str">
        <f t="shared" si="73"/>
        <v/>
      </c>
      <c r="FOS30" t="str">
        <f t="shared" si="73"/>
        <v/>
      </c>
      <c r="FOT30" t="str">
        <f t="shared" si="73"/>
        <v/>
      </c>
      <c r="FOU30" t="str">
        <f t="shared" si="73"/>
        <v/>
      </c>
      <c r="FOV30" t="str">
        <f t="shared" si="73"/>
        <v/>
      </c>
      <c r="FOW30" t="str">
        <f t="shared" si="73"/>
        <v/>
      </c>
      <c r="FOX30" t="str">
        <f t="shared" si="73"/>
        <v/>
      </c>
      <c r="FOY30" t="str">
        <f t="shared" si="73"/>
        <v/>
      </c>
      <c r="FOZ30" t="str">
        <f t="shared" si="73"/>
        <v/>
      </c>
      <c r="FPA30" t="str">
        <f t="shared" si="73"/>
        <v/>
      </c>
      <c r="FPB30" t="str">
        <f t="shared" si="73"/>
        <v/>
      </c>
      <c r="FPC30" t="str">
        <f t="shared" si="73"/>
        <v/>
      </c>
      <c r="FPD30" t="str">
        <f t="shared" si="73"/>
        <v/>
      </c>
      <c r="FPE30" t="str">
        <f t="shared" si="73"/>
        <v/>
      </c>
      <c r="FPF30" t="str">
        <f t="shared" si="73"/>
        <v/>
      </c>
      <c r="FPG30" t="str">
        <f t="shared" si="73"/>
        <v/>
      </c>
      <c r="FPH30" t="str">
        <f t="shared" si="73"/>
        <v/>
      </c>
      <c r="FPI30" t="str">
        <f t="shared" si="73"/>
        <v/>
      </c>
      <c r="FPJ30" t="str">
        <f t="shared" si="73"/>
        <v/>
      </c>
      <c r="FPK30" t="str">
        <f t="shared" si="73"/>
        <v/>
      </c>
      <c r="FPL30" t="str">
        <f t="shared" si="73"/>
        <v/>
      </c>
      <c r="FPM30" t="str">
        <f t="shared" si="73"/>
        <v/>
      </c>
      <c r="FPN30" t="str">
        <f t="shared" si="73"/>
        <v/>
      </c>
      <c r="FPO30" t="str">
        <f t="shared" si="73"/>
        <v/>
      </c>
      <c r="FPP30" t="str">
        <f t="shared" si="73"/>
        <v/>
      </c>
      <c r="FPQ30" t="str">
        <f t="shared" si="73"/>
        <v/>
      </c>
      <c r="FPR30" t="str">
        <f t="shared" si="73"/>
        <v/>
      </c>
      <c r="FPS30" t="str">
        <f t="shared" si="73"/>
        <v/>
      </c>
      <c r="FPT30" t="str">
        <f t="shared" si="73"/>
        <v/>
      </c>
      <c r="FPU30" t="str">
        <f t="shared" si="73"/>
        <v/>
      </c>
      <c r="FPV30" t="str">
        <f t="shared" si="73"/>
        <v/>
      </c>
      <c r="FPW30" t="str">
        <f t="shared" si="73"/>
        <v/>
      </c>
      <c r="FPX30" t="str">
        <f t="shared" ref="FPX30:FSI30" si="74">TRIM(FQJ11)</f>
        <v/>
      </c>
      <c r="FPY30" t="str">
        <f t="shared" si="74"/>
        <v/>
      </c>
      <c r="FPZ30" t="str">
        <f t="shared" si="74"/>
        <v/>
      </c>
      <c r="FQA30" t="str">
        <f t="shared" si="74"/>
        <v/>
      </c>
      <c r="FQB30" t="str">
        <f t="shared" si="74"/>
        <v/>
      </c>
      <c r="FQC30" t="str">
        <f t="shared" si="74"/>
        <v/>
      </c>
      <c r="FQD30" t="str">
        <f t="shared" si="74"/>
        <v/>
      </c>
      <c r="FQE30" t="str">
        <f t="shared" si="74"/>
        <v/>
      </c>
      <c r="FQF30" t="str">
        <f t="shared" si="74"/>
        <v/>
      </c>
      <c r="FQG30" t="str">
        <f t="shared" si="74"/>
        <v/>
      </c>
      <c r="FQH30" t="str">
        <f t="shared" si="74"/>
        <v/>
      </c>
      <c r="FQI30" t="str">
        <f t="shared" si="74"/>
        <v/>
      </c>
      <c r="FQJ30" t="str">
        <f t="shared" si="74"/>
        <v/>
      </c>
      <c r="FQK30" t="str">
        <f t="shared" si="74"/>
        <v/>
      </c>
      <c r="FQL30" t="str">
        <f t="shared" si="74"/>
        <v/>
      </c>
      <c r="FQM30" t="str">
        <f t="shared" si="74"/>
        <v/>
      </c>
      <c r="FQN30" t="str">
        <f t="shared" si="74"/>
        <v/>
      </c>
      <c r="FQO30" t="str">
        <f t="shared" si="74"/>
        <v/>
      </c>
      <c r="FQP30" t="str">
        <f t="shared" si="74"/>
        <v/>
      </c>
      <c r="FQQ30" t="str">
        <f t="shared" si="74"/>
        <v/>
      </c>
      <c r="FQR30" t="str">
        <f t="shared" si="74"/>
        <v/>
      </c>
      <c r="FQS30" t="str">
        <f t="shared" si="74"/>
        <v/>
      </c>
      <c r="FQT30" t="str">
        <f t="shared" si="74"/>
        <v/>
      </c>
      <c r="FQU30" t="str">
        <f t="shared" si="74"/>
        <v/>
      </c>
      <c r="FQV30" t="str">
        <f t="shared" si="74"/>
        <v/>
      </c>
      <c r="FQW30" t="str">
        <f t="shared" si="74"/>
        <v/>
      </c>
      <c r="FQX30" t="str">
        <f t="shared" si="74"/>
        <v/>
      </c>
      <c r="FQY30" t="str">
        <f t="shared" si="74"/>
        <v/>
      </c>
      <c r="FQZ30" t="str">
        <f t="shared" si="74"/>
        <v/>
      </c>
      <c r="FRA30" t="str">
        <f t="shared" si="74"/>
        <v/>
      </c>
      <c r="FRB30" t="str">
        <f t="shared" si="74"/>
        <v/>
      </c>
      <c r="FRC30" t="str">
        <f t="shared" si="74"/>
        <v/>
      </c>
      <c r="FRD30" t="str">
        <f t="shared" si="74"/>
        <v/>
      </c>
      <c r="FRE30" t="str">
        <f t="shared" si="74"/>
        <v/>
      </c>
      <c r="FRF30" t="str">
        <f t="shared" si="74"/>
        <v/>
      </c>
      <c r="FRG30" t="str">
        <f t="shared" si="74"/>
        <v/>
      </c>
      <c r="FRH30" t="str">
        <f t="shared" si="74"/>
        <v/>
      </c>
      <c r="FRI30" t="str">
        <f t="shared" si="74"/>
        <v/>
      </c>
      <c r="FRJ30" t="str">
        <f t="shared" si="74"/>
        <v/>
      </c>
      <c r="FRK30" t="str">
        <f t="shared" si="74"/>
        <v/>
      </c>
      <c r="FRL30" t="str">
        <f t="shared" si="74"/>
        <v/>
      </c>
      <c r="FRM30" t="str">
        <f t="shared" si="74"/>
        <v/>
      </c>
      <c r="FRN30" t="str">
        <f t="shared" si="74"/>
        <v/>
      </c>
      <c r="FRO30" t="str">
        <f t="shared" si="74"/>
        <v/>
      </c>
      <c r="FRP30" t="str">
        <f t="shared" si="74"/>
        <v/>
      </c>
      <c r="FRQ30" t="str">
        <f t="shared" si="74"/>
        <v/>
      </c>
      <c r="FRR30" t="str">
        <f t="shared" si="74"/>
        <v/>
      </c>
      <c r="FRS30" t="str">
        <f t="shared" si="74"/>
        <v/>
      </c>
      <c r="FRT30" t="str">
        <f t="shared" si="74"/>
        <v/>
      </c>
      <c r="FRU30" t="str">
        <f t="shared" si="74"/>
        <v/>
      </c>
      <c r="FRV30" t="str">
        <f t="shared" si="74"/>
        <v/>
      </c>
      <c r="FRW30" t="str">
        <f t="shared" si="74"/>
        <v/>
      </c>
      <c r="FRX30" t="str">
        <f t="shared" si="74"/>
        <v/>
      </c>
      <c r="FRY30" t="str">
        <f t="shared" si="74"/>
        <v/>
      </c>
      <c r="FRZ30" t="str">
        <f t="shared" si="74"/>
        <v/>
      </c>
      <c r="FSA30" t="str">
        <f t="shared" si="74"/>
        <v/>
      </c>
      <c r="FSB30" t="str">
        <f t="shared" si="74"/>
        <v/>
      </c>
      <c r="FSC30" t="str">
        <f t="shared" si="74"/>
        <v/>
      </c>
      <c r="FSD30" t="str">
        <f t="shared" si="74"/>
        <v/>
      </c>
      <c r="FSE30" t="str">
        <f t="shared" si="74"/>
        <v/>
      </c>
      <c r="FSF30" t="str">
        <f t="shared" si="74"/>
        <v/>
      </c>
      <c r="FSG30" t="str">
        <f t="shared" si="74"/>
        <v/>
      </c>
      <c r="FSH30" t="str">
        <f t="shared" si="74"/>
        <v/>
      </c>
      <c r="FSI30" t="str">
        <f t="shared" si="74"/>
        <v/>
      </c>
      <c r="FSJ30" t="str">
        <f t="shared" ref="FSJ30:FUU30" si="75">TRIM(FSV11)</f>
        <v/>
      </c>
      <c r="FSK30" t="str">
        <f t="shared" si="75"/>
        <v/>
      </c>
      <c r="FSL30" t="str">
        <f t="shared" si="75"/>
        <v/>
      </c>
      <c r="FSM30" t="str">
        <f t="shared" si="75"/>
        <v/>
      </c>
      <c r="FSN30" t="str">
        <f t="shared" si="75"/>
        <v/>
      </c>
      <c r="FSO30" t="str">
        <f t="shared" si="75"/>
        <v/>
      </c>
      <c r="FSP30" t="str">
        <f t="shared" si="75"/>
        <v/>
      </c>
      <c r="FSQ30" t="str">
        <f t="shared" si="75"/>
        <v/>
      </c>
      <c r="FSR30" t="str">
        <f t="shared" si="75"/>
        <v/>
      </c>
      <c r="FSS30" t="str">
        <f t="shared" si="75"/>
        <v/>
      </c>
      <c r="FST30" t="str">
        <f t="shared" si="75"/>
        <v/>
      </c>
      <c r="FSU30" t="str">
        <f t="shared" si="75"/>
        <v/>
      </c>
      <c r="FSV30" t="str">
        <f t="shared" si="75"/>
        <v/>
      </c>
      <c r="FSW30" t="str">
        <f t="shared" si="75"/>
        <v/>
      </c>
      <c r="FSX30" t="str">
        <f t="shared" si="75"/>
        <v/>
      </c>
      <c r="FSY30" t="str">
        <f t="shared" si="75"/>
        <v/>
      </c>
      <c r="FSZ30" t="str">
        <f t="shared" si="75"/>
        <v/>
      </c>
      <c r="FTA30" t="str">
        <f t="shared" si="75"/>
        <v/>
      </c>
      <c r="FTB30" t="str">
        <f t="shared" si="75"/>
        <v/>
      </c>
      <c r="FTC30" t="str">
        <f t="shared" si="75"/>
        <v/>
      </c>
      <c r="FTD30" t="str">
        <f t="shared" si="75"/>
        <v/>
      </c>
      <c r="FTE30" t="str">
        <f t="shared" si="75"/>
        <v/>
      </c>
      <c r="FTF30" t="str">
        <f t="shared" si="75"/>
        <v/>
      </c>
      <c r="FTG30" t="str">
        <f t="shared" si="75"/>
        <v/>
      </c>
      <c r="FTH30" t="str">
        <f t="shared" si="75"/>
        <v/>
      </c>
      <c r="FTI30" t="str">
        <f t="shared" si="75"/>
        <v/>
      </c>
      <c r="FTJ30" t="str">
        <f t="shared" si="75"/>
        <v/>
      </c>
      <c r="FTK30" t="str">
        <f t="shared" si="75"/>
        <v/>
      </c>
      <c r="FTL30" t="str">
        <f t="shared" si="75"/>
        <v/>
      </c>
      <c r="FTM30" t="str">
        <f t="shared" si="75"/>
        <v/>
      </c>
      <c r="FTN30" t="str">
        <f t="shared" si="75"/>
        <v/>
      </c>
      <c r="FTO30" t="str">
        <f t="shared" si="75"/>
        <v/>
      </c>
      <c r="FTP30" t="str">
        <f t="shared" si="75"/>
        <v/>
      </c>
      <c r="FTQ30" t="str">
        <f t="shared" si="75"/>
        <v/>
      </c>
      <c r="FTR30" t="str">
        <f t="shared" si="75"/>
        <v/>
      </c>
      <c r="FTS30" t="str">
        <f t="shared" si="75"/>
        <v/>
      </c>
      <c r="FTT30" t="str">
        <f t="shared" si="75"/>
        <v/>
      </c>
      <c r="FTU30" t="str">
        <f t="shared" si="75"/>
        <v/>
      </c>
      <c r="FTV30" t="str">
        <f t="shared" si="75"/>
        <v/>
      </c>
      <c r="FTW30" t="str">
        <f t="shared" si="75"/>
        <v/>
      </c>
      <c r="FTX30" t="str">
        <f t="shared" si="75"/>
        <v/>
      </c>
      <c r="FTY30" t="str">
        <f t="shared" si="75"/>
        <v/>
      </c>
      <c r="FTZ30" t="str">
        <f t="shared" si="75"/>
        <v/>
      </c>
      <c r="FUA30" t="str">
        <f t="shared" si="75"/>
        <v/>
      </c>
      <c r="FUB30" t="str">
        <f t="shared" si="75"/>
        <v/>
      </c>
      <c r="FUC30" t="str">
        <f t="shared" si="75"/>
        <v/>
      </c>
      <c r="FUD30" t="str">
        <f t="shared" si="75"/>
        <v/>
      </c>
      <c r="FUE30" t="str">
        <f t="shared" si="75"/>
        <v/>
      </c>
      <c r="FUF30" t="str">
        <f t="shared" si="75"/>
        <v/>
      </c>
      <c r="FUG30" t="str">
        <f t="shared" si="75"/>
        <v/>
      </c>
      <c r="FUH30" t="str">
        <f t="shared" si="75"/>
        <v/>
      </c>
      <c r="FUI30" t="str">
        <f t="shared" si="75"/>
        <v/>
      </c>
      <c r="FUJ30" t="str">
        <f t="shared" si="75"/>
        <v/>
      </c>
      <c r="FUK30" t="str">
        <f t="shared" si="75"/>
        <v/>
      </c>
      <c r="FUL30" t="str">
        <f t="shared" si="75"/>
        <v/>
      </c>
      <c r="FUM30" t="str">
        <f t="shared" si="75"/>
        <v/>
      </c>
      <c r="FUN30" t="str">
        <f t="shared" si="75"/>
        <v/>
      </c>
      <c r="FUO30" t="str">
        <f t="shared" si="75"/>
        <v/>
      </c>
      <c r="FUP30" t="str">
        <f t="shared" si="75"/>
        <v/>
      </c>
      <c r="FUQ30" t="str">
        <f t="shared" si="75"/>
        <v/>
      </c>
      <c r="FUR30" t="str">
        <f t="shared" si="75"/>
        <v/>
      </c>
      <c r="FUS30" t="str">
        <f t="shared" si="75"/>
        <v/>
      </c>
      <c r="FUT30" t="str">
        <f t="shared" si="75"/>
        <v/>
      </c>
      <c r="FUU30" t="str">
        <f t="shared" si="75"/>
        <v/>
      </c>
      <c r="FUV30" t="str">
        <f t="shared" ref="FUV30:FXG30" si="76">TRIM(FVH11)</f>
        <v/>
      </c>
      <c r="FUW30" t="str">
        <f t="shared" si="76"/>
        <v/>
      </c>
      <c r="FUX30" t="str">
        <f t="shared" si="76"/>
        <v/>
      </c>
      <c r="FUY30" t="str">
        <f t="shared" si="76"/>
        <v/>
      </c>
      <c r="FUZ30" t="str">
        <f t="shared" si="76"/>
        <v/>
      </c>
      <c r="FVA30" t="str">
        <f t="shared" si="76"/>
        <v/>
      </c>
      <c r="FVB30" t="str">
        <f t="shared" si="76"/>
        <v/>
      </c>
      <c r="FVC30" t="str">
        <f t="shared" si="76"/>
        <v/>
      </c>
      <c r="FVD30" t="str">
        <f t="shared" si="76"/>
        <v/>
      </c>
      <c r="FVE30" t="str">
        <f t="shared" si="76"/>
        <v/>
      </c>
      <c r="FVF30" t="str">
        <f t="shared" si="76"/>
        <v/>
      </c>
      <c r="FVG30" t="str">
        <f t="shared" si="76"/>
        <v/>
      </c>
      <c r="FVH30" t="str">
        <f t="shared" si="76"/>
        <v/>
      </c>
      <c r="FVI30" t="str">
        <f t="shared" si="76"/>
        <v/>
      </c>
      <c r="FVJ30" t="str">
        <f t="shared" si="76"/>
        <v/>
      </c>
      <c r="FVK30" t="str">
        <f t="shared" si="76"/>
        <v/>
      </c>
      <c r="FVL30" t="str">
        <f t="shared" si="76"/>
        <v/>
      </c>
      <c r="FVM30" t="str">
        <f t="shared" si="76"/>
        <v/>
      </c>
      <c r="FVN30" t="str">
        <f t="shared" si="76"/>
        <v/>
      </c>
      <c r="FVO30" t="str">
        <f t="shared" si="76"/>
        <v/>
      </c>
      <c r="FVP30" t="str">
        <f t="shared" si="76"/>
        <v/>
      </c>
      <c r="FVQ30" t="str">
        <f t="shared" si="76"/>
        <v/>
      </c>
      <c r="FVR30" t="str">
        <f t="shared" si="76"/>
        <v/>
      </c>
      <c r="FVS30" t="str">
        <f t="shared" si="76"/>
        <v/>
      </c>
      <c r="FVT30" t="str">
        <f t="shared" si="76"/>
        <v/>
      </c>
      <c r="FVU30" t="str">
        <f t="shared" si="76"/>
        <v/>
      </c>
      <c r="FVV30" t="str">
        <f t="shared" si="76"/>
        <v/>
      </c>
      <c r="FVW30" t="str">
        <f t="shared" si="76"/>
        <v/>
      </c>
      <c r="FVX30" t="str">
        <f t="shared" si="76"/>
        <v/>
      </c>
      <c r="FVY30" t="str">
        <f t="shared" si="76"/>
        <v/>
      </c>
      <c r="FVZ30" t="str">
        <f t="shared" si="76"/>
        <v/>
      </c>
      <c r="FWA30" t="str">
        <f t="shared" si="76"/>
        <v/>
      </c>
      <c r="FWB30" t="str">
        <f t="shared" si="76"/>
        <v/>
      </c>
      <c r="FWC30" t="str">
        <f t="shared" si="76"/>
        <v/>
      </c>
      <c r="FWD30" t="str">
        <f t="shared" si="76"/>
        <v/>
      </c>
      <c r="FWE30" t="str">
        <f t="shared" si="76"/>
        <v/>
      </c>
      <c r="FWF30" t="str">
        <f t="shared" si="76"/>
        <v/>
      </c>
      <c r="FWG30" t="str">
        <f t="shared" si="76"/>
        <v/>
      </c>
      <c r="FWH30" t="str">
        <f t="shared" si="76"/>
        <v/>
      </c>
      <c r="FWI30" t="str">
        <f t="shared" si="76"/>
        <v/>
      </c>
      <c r="FWJ30" t="str">
        <f t="shared" si="76"/>
        <v/>
      </c>
      <c r="FWK30" t="str">
        <f t="shared" si="76"/>
        <v/>
      </c>
      <c r="FWL30" t="str">
        <f t="shared" si="76"/>
        <v/>
      </c>
      <c r="FWM30" t="str">
        <f t="shared" si="76"/>
        <v/>
      </c>
      <c r="FWN30" t="str">
        <f t="shared" si="76"/>
        <v/>
      </c>
      <c r="FWO30" t="str">
        <f t="shared" si="76"/>
        <v/>
      </c>
      <c r="FWP30" t="str">
        <f t="shared" si="76"/>
        <v/>
      </c>
      <c r="FWQ30" t="str">
        <f t="shared" si="76"/>
        <v/>
      </c>
      <c r="FWR30" t="str">
        <f t="shared" si="76"/>
        <v/>
      </c>
      <c r="FWS30" t="str">
        <f t="shared" si="76"/>
        <v/>
      </c>
      <c r="FWT30" t="str">
        <f t="shared" si="76"/>
        <v/>
      </c>
      <c r="FWU30" t="str">
        <f t="shared" si="76"/>
        <v/>
      </c>
      <c r="FWV30" t="str">
        <f t="shared" si="76"/>
        <v/>
      </c>
      <c r="FWW30" t="str">
        <f t="shared" si="76"/>
        <v/>
      </c>
      <c r="FWX30" t="str">
        <f t="shared" si="76"/>
        <v/>
      </c>
      <c r="FWY30" t="str">
        <f t="shared" si="76"/>
        <v/>
      </c>
      <c r="FWZ30" t="str">
        <f t="shared" si="76"/>
        <v/>
      </c>
      <c r="FXA30" t="str">
        <f t="shared" si="76"/>
        <v/>
      </c>
      <c r="FXB30" t="str">
        <f t="shared" si="76"/>
        <v/>
      </c>
      <c r="FXC30" t="str">
        <f t="shared" si="76"/>
        <v/>
      </c>
      <c r="FXD30" t="str">
        <f t="shared" si="76"/>
        <v/>
      </c>
      <c r="FXE30" t="str">
        <f t="shared" si="76"/>
        <v/>
      </c>
      <c r="FXF30" t="str">
        <f t="shared" si="76"/>
        <v/>
      </c>
      <c r="FXG30" t="str">
        <f t="shared" si="76"/>
        <v/>
      </c>
      <c r="FXH30" t="str">
        <f t="shared" ref="FXH30:FZS30" si="77">TRIM(FXT11)</f>
        <v/>
      </c>
      <c r="FXI30" t="str">
        <f t="shared" si="77"/>
        <v/>
      </c>
      <c r="FXJ30" t="str">
        <f t="shared" si="77"/>
        <v/>
      </c>
      <c r="FXK30" t="str">
        <f t="shared" si="77"/>
        <v/>
      </c>
      <c r="FXL30" t="str">
        <f t="shared" si="77"/>
        <v/>
      </c>
      <c r="FXM30" t="str">
        <f t="shared" si="77"/>
        <v/>
      </c>
      <c r="FXN30" t="str">
        <f t="shared" si="77"/>
        <v/>
      </c>
      <c r="FXO30" t="str">
        <f t="shared" si="77"/>
        <v/>
      </c>
      <c r="FXP30" t="str">
        <f t="shared" si="77"/>
        <v/>
      </c>
      <c r="FXQ30" t="str">
        <f t="shared" si="77"/>
        <v/>
      </c>
      <c r="FXR30" t="str">
        <f t="shared" si="77"/>
        <v/>
      </c>
      <c r="FXS30" t="str">
        <f t="shared" si="77"/>
        <v/>
      </c>
      <c r="FXT30" t="str">
        <f t="shared" si="77"/>
        <v/>
      </c>
      <c r="FXU30" t="str">
        <f t="shared" si="77"/>
        <v/>
      </c>
      <c r="FXV30" t="str">
        <f t="shared" si="77"/>
        <v/>
      </c>
      <c r="FXW30" t="str">
        <f t="shared" si="77"/>
        <v/>
      </c>
      <c r="FXX30" t="str">
        <f t="shared" si="77"/>
        <v/>
      </c>
      <c r="FXY30" t="str">
        <f t="shared" si="77"/>
        <v/>
      </c>
      <c r="FXZ30" t="str">
        <f t="shared" si="77"/>
        <v/>
      </c>
      <c r="FYA30" t="str">
        <f t="shared" si="77"/>
        <v/>
      </c>
      <c r="FYB30" t="str">
        <f t="shared" si="77"/>
        <v/>
      </c>
      <c r="FYC30" t="str">
        <f t="shared" si="77"/>
        <v/>
      </c>
      <c r="FYD30" t="str">
        <f t="shared" si="77"/>
        <v/>
      </c>
      <c r="FYE30" t="str">
        <f t="shared" si="77"/>
        <v/>
      </c>
      <c r="FYF30" t="str">
        <f t="shared" si="77"/>
        <v/>
      </c>
      <c r="FYG30" t="str">
        <f t="shared" si="77"/>
        <v/>
      </c>
      <c r="FYH30" t="str">
        <f t="shared" si="77"/>
        <v/>
      </c>
      <c r="FYI30" t="str">
        <f t="shared" si="77"/>
        <v/>
      </c>
      <c r="FYJ30" t="str">
        <f t="shared" si="77"/>
        <v/>
      </c>
      <c r="FYK30" t="str">
        <f t="shared" si="77"/>
        <v/>
      </c>
      <c r="FYL30" t="str">
        <f t="shared" si="77"/>
        <v/>
      </c>
      <c r="FYM30" t="str">
        <f t="shared" si="77"/>
        <v/>
      </c>
      <c r="FYN30" t="str">
        <f t="shared" si="77"/>
        <v/>
      </c>
      <c r="FYO30" t="str">
        <f t="shared" si="77"/>
        <v/>
      </c>
      <c r="FYP30" t="str">
        <f t="shared" si="77"/>
        <v/>
      </c>
      <c r="FYQ30" t="str">
        <f t="shared" si="77"/>
        <v/>
      </c>
      <c r="FYR30" t="str">
        <f t="shared" si="77"/>
        <v/>
      </c>
      <c r="FYS30" t="str">
        <f t="shared" si="77"/>
        <v/>
      </c>
      <c r="FYT30" t="str">
        <f t="shared" si="77"/>
        <v/>
      </c>
      <c r="FYU30" t="str">
        <f t="shared" si="77"/>
        <v/>
      </c>
      <c r="FYV30" t="str">
        <f t="shared" si="77"/>
        <v/>
      </c>
      <c r="FYW30" t="str">
        <f t="shared" si="77"/>
        <v/>
      </c>
      <c r="FYX30" t="str">
        <f t="shared" si="77"/>
        <v/>
      </c>
      <c r="FYY30" t="str">
        <f t="shared" si="77"/>
        <v/>
      </c>
      <c r="FYZ30" t="str">
        <f t="shared" si="77"/>
        <v/>
      </c>
      <c r="FZA30" t="str">
        <f t="shared" si="77"/>
        <v/>
      </c>
      <c r="FZB30" t="str">
        <f t="shared" si="77"/>
        <v/>
      </c>
      <c r="FZC30" t="str">
        <f t="shared" si="77"/>
        <v/>
      </c>
      <c r="FZD30" t="str">
        <f t="shared" si="77"/>
        <v/>
      </c>
      <c r="FZE30" t="str">
        <f t="shared" si="77"/>
        <v/>
      </c>
      <c r="FZF30" t="str">
        <f t="shared" si="77"/>
        <v/>
      </c>
      <c r="FZG30" t="str">
        <f t="shared" si="77"/>
        <v/>
      </c>
      <c r="FZH30" t="str">
        <f t="shared" si="77"/>
        <v/>
      </c>
      <c r="FZI30" t="str">
        <f t="shared" si="77"/>
        <v/>
      </c>
      <c r="FZJ30" t="str">
        <f t="shared" si="77"/>
        <v/>
      </c>
      <c r="FZK30" t="str">
        <f t="shared" si="77"/>
        <v/>
      </c>
      <c r="FZL30" t="str">
        <f t="shared" si="77"/>
        <v/>
      </c>
      <c r="FZM30" t="str">
        <f t="shared" si="77"/>
        <v/>
      </c>
      <c r="FZN30" t="str">
        <f t="shared" si="77"/>
        <v/>
      </c>
      <c r="FZO30" t="str">
        <f t="shared" si="77"/>
        <v/>
      </c>
      <c r="FZP30" t="str">
        <f t="shared" si="77"/>
        <v/>
      </c>
      <c r="FZQ30" t="str">
        <f t="shared" si="77"/>
        <v/>
      </c>
      <c r="FZR30" t="str">
        <f t="shared" si="77"/>
        <v/>
      </c>
      <c r="FZS30" t="str">
        <f t="shared" si="77"/>
        <v/>
      </c>
      <c r="FZT30" t="str">
        <f t="shared" ref="FZT30:GCE30" si="78">TRIM(GAF11)</f>
        <v/>
      </c>
      <c r="FZU30" t="str">
        <f t="shared" si="78"/>
        <v/>
      </c>
      <c r="FZV30" t="str">
        <f t="shared" si="78"/>
        <v/>
      </c>
      <c r="FZW30" t="str">
        <f t="shared" si="78"/>
        <v/>
      </c>
      <c r="FZX30" t="str">
        <f t="shared" si="78"/>
        <v/>
      </c>
      <c r="FZY30" t="str">
        <f t="shared" si="78"/>
        <v/>
      </c>
      <c r="FZZ30" t="str">
        <f t="shared" si="78"/>
        <v/>
      </c>
      <c r="GAA30" t="str">
        <f t="shared" si="78"/>
        <v/>
      </c>
      <c r="GAB30" t="str">
        <f t="shared" si="78"/>
        <v/>
      </c>
      <c r="GAC30" t="str">
        <f t="shared" si="78"/>
        <v/>
      </c>
      <c r="GAD30" t="str">
        <f t="shared" si="78"/>
        <v/>
      </c>
      <c r="GAE30" t="str">
        <f t="shared" si="78"/>
        <v/>
      </c>
      <c r="GAF30" t="str">
        <f t="shared" si="78"/>
        <v/>
      </c>
      <c r="GAG30" t="str">
        <f t="shared" si="78"/>
        <v/>
      </c>
      <c r="GAH30" t="str">
        <f t="shared" si="78"/>
        <v/>
      </c>
      <c r="GAI30" t="str">
        <f t="shared" si="78"/>
        <v/>
      </c>
      <c r="GAJ30" t="str">
        <f t="shared" si="78"/>
        <v/>
      </c>
      <c r="GAK30" t="str">
        <f t="shared" si="78"/>
        <v/>
      </c>
      <c r="GAL30" t="str">
        <f t="shared" si="78"/>
        <v/>
      </c>
      <c r="GAM30" t="str">
        <f t="shared" si="78"/>
        <v/>
      </c>
      <c r="GAN30" t="str">
        <f t="shared" si="78"/>
        <v/>
      </c>
      <c r="GAO30" t="str">
        <f t="shared" si="78"/>
        <v/>
      </c>
      <c r="GAP30" t="str">
        <f t="shared" si="78"/>
        <v/>
      </c>
      <c r="GAQ30" t="str">
        <f t="shared" si="78"/>
        <v/>
      </c>
      <c r="GAR30" t="str">
        <f t="shared" si="78"/>
        <v/>
      </c>
      <c r="GAS30" t="str">
        <f t="shared" si="78"/>
        <v/>
      </c>
      <c r="GAT30" t="str">
        <f t="shared" si="78"/>
        <v/>
      </c>
      <c r="GAU30" t="str">
        <f t="shared" si="78"/>
        <v/>
      </c>
      <c r="GAV30" t="str">
        <f t="shared" si="78"/>
        <v/>
      </c>
      <c r="GAW30" t="str">
        <f t="shared" si="78"/>
        <v/>
      </c>
      <c r="GAX30" t="str">
        <f t="shared" si="78"/>
        <v/>
      </c>
      <c r="GAY30" t="str">
        <f t="shared" si="78"/>
        <v/>
      </c>
      <c r="GAZ30" t="str">
        <f t="shared" si="78"/>
        <v/>
      </c>
      <c r="GBA30" t="str">
        <f t="shared" si="78"/>
        <v/>
      </c>
      <c r="GBB30" t="str">
        <f t="shared" si="78"/>
        <v/>
      </c>
      <c r="GBC30" t="str">
        <f t="shared" si="78"/>
        <v/>
      </c>
      <c r="GBD30" t="str">
        <f t="shared" si="78"/>
        <v/>
      </c>
      <c r="GBE30" t="str">
        <f t="shared" si="78"/>
        <v/>
      </c>
      <c r="GBF30" t="str">
        <f t="shared" si="78"/>
        <v/>
      </c>
      <c r="GBG30" t="str">
        <f t="shared" si="78"/>
        <v/>
      </c>
      <c r="GBH30" t="str">
        <f t="shared" si="78"/>
        <v/>
      </c>
      <c r="GBI30" t="str">
        <f t="shared" si="78"/>
        <v/>
      </c>
      <c r="GBJ30" t="str">
        <f t="shared" si="78"/>
        <v/>
      </c>
      <c r="GBK30" t="str">
        <f t="shared" si="78"/>
        <v/>
      </c>
      <c r="GBL30" t="str">
        <f t="shared" si="78"/>
        <v/>
      </c>
      <c r="GBM30" t="str">
        <f t="shared" si="78"/>
        <v/>
      </c>
      <c r="GBN30" t="str">
        <f t="shared" si="78"/>
        <v/>
      </c>
      <c r="GBO30" t="str">
        <f t="shared" si="78"/>
        <v/>
      </c>
      <c r="GBP30" t="str">
        <f t="shared" si="78"/>
        <v/>
      </c>
      <c r="GBQ30" t="str">
        <f t="shared" si="78"/>
        <v/>
      </c>
      <c r="GBR30" t="str">
        <f t="shared" si="78"/>
        <v/>
      </c>
      <c r="GBS30" t="str">
        <f t="shared" si="78"/>
        <v/>
      </c>
      <c r="GBT30" t="str">
        <f t="shared" si="78"/>
        <v/>
      </c>
      <c r="GBU30" t="str">
        <f t="shared" si="78"/>
        <v/>
      </c>
      <c r="GBV30" t="str">
        <f t="shared" si="78"/>
        <v/>
      </c>
      <c r="GBW30" t="str">
        <f t="shared" si="78"/>
        <v/>
      </c>
      <c r="GBX30" t="str">
        <f t="shared" si="78"/>
        <v/>
      </c>
      <c r="GBY30" t="str">
        <f t="shared" si="78"/>
        <v/>
      </c>
      <c r="GBZ30" t="str">
        <f t="shared" si="78"/>
        <v/>
      </c>
      <c r="GCA30" t="str">
        <f t="shared" si="78"/>
        <v/>
      </c>
      <c r="GCB30" t="str">
        <f t="shared" si="78"/>
        <v/>
      </c>
      <c r="GCC30" t="str">
        <f t="shared" si="78"/>
        <v/>
      </c>
      <c r="GCD30" t="str">
        <f t="shared" si="78"/>
        <v/>
      </c>
      <c r="GCE30" t="str">
        <f t="shared" si="78"/>
        <v/>
      </c>
      <c r="GCF30" t="str">
        <f t="shared" ref="GCF30:GEQ30" si="79">TRIM(GCR11)</f>
        <v/>
      </c>
      <c r="GCG30" t="str">
        <f t="shared" si="79"/>
        <v/>
      </c>
      <c r="GCH30" t="str">
        <f t="shared" si="79"/>
        <v/>
      </c>
      <c r="GCI30" t="str">
        <f t="shared" si="79"/>
        <v/>
      </c>
      <c r="GCJ30" t="str">
        <f t="shared" si="79"/>
        <v/>
      </c>
      <c r="GCK30" t="str">
        <f t="shared" si="79"/>
        <v/>
      </c>
      <c r="GCL30" t="str">
        <f t="shared" si="79"/>
        <v/>
      </c>
      <c r="GCM30" t="str">
        <f t="shared" si="79"/>
        <v/>
      </c>
      <c r="GCN30" t="str">
        <f t="shared" si="79"/>
        <v/>
      </c>
      <c r="GCO30" t="str">
        <f t="shared" si="79"/>
        <v/>
      </c>
      <c r="GCP30" t="str">
        <f t="shared" si="79"/>
        <v/>
      </c>
      <c r="GCQ30" t="str">
        <f t="shared" si="79"/>
        <v/>
      </c>
      <c r="GCR30" t="str">
        <f t="shared" si="79"/>
        <v/>
      </c>
      <c r="GCS30" t="str">
        <f t="shared" si="79"/>
        <v/>
      </c>
      <c r="GCT30" t="str">
        <f t="shared" si="79"/>
        <v/>
      </c>
      <c r="GCU30" t="str">
        <f t="shared" si="79"/>
        <v/>
      </c>
      <c r="GCV30" t="str">
        <f t="shared" si="79"/>
        <v/>
      </c>
      <c r="GCW30" t="str">
        <f t="shared" si="79"/>
        <v/>
      </c>
      <c r="GCX30" t="str">
        <f t="shared" si="79"/>
        <v/>
      </c>
      <c r="GCY30" t="str">
        <f t="shared" si="79"/>
        <v/>
      </c>
      <c r="GCZ30" t="str">
        <f t="shared" si="79"/>
        <v/>
      </c>
      <c r="GDA30" t="str">
        <f t="shared" si="79"/>
        <v/>
      </c>
      <c r="GDB30" t="str">
        <f t="shared" si="79"/>
        <v/>
      </c>
      <c r="GDC30" t="str">
        <f t="shared" si="79"/>
        <v/>
      </c>
      <c r="GDD30" t="str">
        <f t="shared" si="79"/>
        <v/>
      </c>
      <c r="GDE30" t="str">
        <f t="shared" si="79"/>
        <v/>
      </c>
      <c r="GDF30" t="str">
        <f t="shared" si="79"/>
        <v/>
      </c>
      <c r="GDG30" t="str">
        <f t="shared" si="79"/>
        <v/>
      </c>
      <c r="GDH30" t="str">
        <f t="shared" si="79"/>
        <v/>
      </c>
      <c r="GDI30" t="str">
        <f t="shared" si="79"/>
        <v/>
      </c>
      <c r="GDJ30" t="str">
        <f t="shared" si="79"/>
        <v/>
      </c>
      <c r="GDK30" t="str">
        <f t="shared" si="79"/>
        <v/>
      </c>
      <c r="GDL30" t="str">
        <f t="shared" si="79"/>
        <v/>
      </c>
      <c r="GDM30" t="str">
        <f t="shared" si="79"/>
        <v/>
      </c>
      <c r="GDN30" t="str">
        <f t="shared" si="79"/>
        <v/>
      </c>
      <c r="GDO30" t="str">
        <f t="shared" si="79"/>
        <v/>
      </c>
      <c r="GDP30" t="str">
        <f t="shared" si="79"/>
        <v/>
      </c>
      <c r="GDQ30" t="str">
        <f t="shared" si="79"/>
        <v/>
      </c>
      <c r="GDR30" t="str">
        <f t="shared" si="79"/>
        <v/>
      </c>
      <c r="GDS30" t="str">
        <f t="shared" si="79"/>
        <v/>
      </c>
      <c r="GDT30" t="str">
        <f t="shared" si="79"/>
        <v/>
      </c>
      <c r="GDU30" t="str">
        <f t="shared" si="79"/>
        <v/>
      </c>
      <c r="GDV30" t="str">
        <f t="shared" si="79"/>
        <v/>
      </c>
      <c r="GDW30" t="str">
        <f t="shared" si="79"/>
        <v/>
      </c>
      <c r="GDX30" t="str">
        <f t="shared" si="79"/>
        <v/>
      </c>
      <c r="GDY30" t="str">
        <f t="shared" si="79"/>
        <v/>
      </c>
      <c r="GDZ30" t="str">
        <f t="shared" si="79"/>
        <v/>
      </c>
      <c r="GEA30" t="str">
        <f t="shared" si="79"/>
        <v/>
      </c>
      <c r="GEB30" t="str">
        <f t="shared" si="79"/>
        <v/>
      </c>
      <c r="GEC30" t="str">
        <f t="shared" si="79"/>
        <v/>
      </c>
      <c r="GED30" t="str">
        <f t="shared" si="79"/>
        <v/>
      </c>
      <c r="GEE30" t="str">
        <f t="shared" si="79"/>
        <v/>
      </c>
      <c r="GEF30" t="str">
        <f t="shared" si="79"/>
        <v/>
      </c>
      <c r="GEG30" t="str">
        <f t="shared" si="79"/>
        <v/>
      </c>
      <c r="GEH30" t="str">
        <f t="shared" si="79"/>
        <v/>
      </c>
      <c r="GEI30" t="str">
        <f t="shared" si="79"/>
        <v/>
      </c>
      <c r="GEJ30" t="str">
        <f t="shared" si="79"/>
        <v/>
      </c>
      <c r="GEK30" t="str">
        <f t="shared" si="79"/>
        <v/>
      </c>
      <c r="GEL30" t="str">
        <f t="shared" si="79"/>
        <v/>
      </c>
      <c r="GEM30" t="str">
        <f t="shared" si="79"/>
        <v/>
      </c>
      <c r="GEN30" t="str">
        <f t="shared" si="79"/>
        <v/>
      </c>
      <c r="GEO30" t="str">
        <f t="shared" si="79"/>
        <v/>
      </c>
      <c r="GEP30" t="str">
        <f t="shared" si="79"/>
        <v/>
      </c>
      <c r="GEQ30" t="str">
        <f t="shared" si="79"/>
        <v/>
      </c>
      <c r="GER30" t="str">
        <f t="shared" ref="GER30:GHC30" si="80">TRIM(GFD11)</f>
        <v/>
      </c>
      <c r="GES30" t="str">
        <f t="shared" si="80"/>
        <v/>
      </c>
      <c r="GET30" t="str">
        <f t="shared" si="80"/>
        <v/>
      </c>
      <c r="GEU30" t="str">
        <f t="shared" si="80"/>
        <v/>
      </c>
      <c r="GEV30" t="str">
        <f t="shared" si="80"/>
        <v/>
      </c>
      <c r="GEW30" t="str">
        <f t="shared" si="80"/>
        <v/>
      </c>
      <c r="GEX30" t="str">
        <f t="shared" si="80"/>
        <v/>
      </c>
      <c r="GEY30" t="str">
        <f t="shared" si="80"/>
        <v/>
      </c>
      <c r="GEZ30" t="str">
        <f t="shared" si="80"/>
        <v/>
      </c>
      <c r="GFA30" t="str">
        <f t="shared" si="80"/>
        <v/>
      </c>
      <c r="GFB30" t="str">
        <f t="shared" si="80"/>
        <v/>
      </c>
      <c r="GFC30" t="str">
        <f t="shared" si="80"/>
        <v/>
      </c>
      <c r="GFD30" t="str">
        <f t="shared" si="80"/>
        <v/>
      </c>
      <c r="GFE30" t="str">
        <f t="shared" si="80"/>
        <v/>
      </c>
      <c r="GFF30" t="str">
        <f t="shared" si="80"/>
        <v/>
      </c>
      <c r="GFG30" t="str">
        <f t="shared" si="80"/>
        <v/>
      </c>
      <c r="GFH30" t="str">
        <f t="shared" si="80"/>
        <v/>
      </c>
      <c r="GFI30" t="str">
        <f t="shared" si="80"/>
        <v/>
      </c>
      <c r="GFJ30" t="str">
        <f t="shared" si="80"/>
        <v/>
      </c>
      <c r="GFK30" t="str">
        <f t="shared" si="80"/>
        <v/>
      </c>
      <c r="GFL30" t="str">
        <f t="shared" si="80"/>
        <v/>
      </c>
      <c r="GFM30" t="str">
        <f t="shared" si="80"/>
        <v/>
      </c>
      <c r="GFN30" t="str">
        <f t="shared" si="80"/>
        <v/>
      </c>
      <c r="GFO30" t="str">
        <f t="shared" si="80"/>
        <v/>
      </c>
      <c r="GFP30" t="str">
        <f t="shared" si="80"/>
        <v/>
      </c>
      <c r="GFQ30" t="str">
        <f t="shared" si="80"/>
        <v/>
      </c>
      <c r="GFR30" t="str">
        <f t="shared" si="80"/>
        <v/>
      </c>
      <c r="GFS30" t="str">
        <f t="shared" si="80"/>
        <v/>
      </c>
      <c r="GFT30" t="str">
        <f t="shared" si="80"/>
        <v/>
      </c>
      <c r="GFU30" t="str">
        <f t="shared" si="80"/>
        <v/>
      </c>
      <c r="GFV30" t="str">
        <f t="shared" si="80"/>
        <v/>
      </c>
      <c r="GFW30" t="str">
        <f t="shared" si="80"/>
        <v/>
      </c>
      <c r="GFX30" t="str">
        <f t="shared" si="80"/>
        <v/>
      </c>
      <c r="GFY30" t="str">
        <f t="shared" si="80"/>
        <v/>
      </c>
      <c r="GFZ30" t="str">
        <f t="shared" si="80"/>
        <v/>
      </c>
      <c r="GGA30" t="str">
        <f t="shared" si="80"/>
        <v/>
      </c>
      <c r="GGB30" t="str">
        <f t="shared" si="80"/>
        <v/>
      </c>
      <c r="GGC30" t="str">
        <f t="shared" si="80"/>
        <v/>
      </c>
      <c r="GGD30" t="str">
        <f t="shared" si="80"/>
        <v/>
      </c>
      <c r="GGE30" t="str">
        <f t="shared" si="80"/>
        <v/>
      </c>
      <c r="GGF30" t="str">
        <f t="shared" si="80"/>
        <v/>
      </c>
      <c r="GGG30" t="str">
        <f t="shared" si="80"/>
        <v/>
      </c>
      <c r="GGH30" t="str">
        <f t="shared" si="80"/>
        <v/>
      </c>
      <c r="GGI30" t="str">
        <f t="shared" si="80"/>
        <v/>
      </c>
      <c r="GGJ30" t="str">
        <f t="shared" si="80"/>
        <v/>
      </c>
      <c r="GGK30" t="str">
        <f t="shared" si="80"/>
        <v/>
      </c>
      <c r="GGL30" t="str">
        <f t="shared" si="80"/>
        <v/>
      </c>
      <c r="GGM30" t="str">
        <f t="shared" si="80"/>
        <v/>
      </c>
      <c r="GGN30" t="str">
        <f t="shared" si="80"/>
        <v/>
      </c>
      <c r="GGO30" t="str">
        <f t="shared" si="80"/>
        <v/>
      </c>
      <c r="GGP30" t="str">
        <f t="shared" si="80"/>
        <v/>
      </c>
      <c r="GGQ30" t="str">
        <f t="shared" si="80"/>
        <v/>
      </c>
      <c r="GGR30" t="str">
        <f t="shared" si="80"/>
        <v/>
      </c>
      <c r="GGS30" t="str">
        <f t="shared" si="80"/>
        <v/>
      </c>
      <c r="GGT30" t="str">
        <f t="shared" si="80"/>
        <v/>
      </c>
      <c r="GGU30" t="str">
        <f t="shared" si="80"/>
        <v/>
      </c>
      <c r="GGV30" t="str">
        <f t="shared" si="80"/>
        <v/>
      </c>
      <c r="GGW30" t="str">
        <f t="shared" si="80"/>
        <v/>
      </c>
      <c r="GGX30" t="str">
        <f t="shared" si="80"/>
        <v/>
      </c>
      <c r="GGY30" t="str">
        <f t="shared" si="80"/>
        <v/>
      </c>
      <c r="GGZ30" t="str">
        <f t="shared" si="80"/>
        <v/>
      </c>
      <c r="GHA30" t="str">
        <f t="shared" si="80"/>
        <v/>
      </c>
      <c r="GHB30" t="str">
        <f t="shared" si="80"/>
        <v/>
      </c>
      <c r="GHC30" t="str">
        <f t="shared" si="80"/>
        <v/>
      </c>
      <c r="GHD30" t="str">
        <f t="shared" ref="GHD30:GJO30" si="81">TRIM(GHP11)</f>
        <v/>
      </c>
      <c r="GHE30" t="str">
        <f t="shared" si="81"/>
        <v/>
      </c>
      <c r="GHF30" t="str">
        <f t="shared" si="81"/>
        <v/>
      </c>
      <c r="GHG30" t="str">
        <f t="shared" si="81"/>
        <v/>
      </c>
      <c r="GHH30" t="str">
        <f t="shared" si="81"/>
        <v/>
      </c>
      <c r="GHI30" t="str">
        <f t="shared" si="81"/>
        <v/>
      </c>
      <c r="GHJ30" t="str">
        <f t="shared" si="81"/>
        <v/>
      </c>
      <c r="GHK30" t="str">
        <f t="shared" si="81"/>
        <v/>
      </c>
      <c r="GHL30" t="str">
        <f t="shared" si="81"/>
        <v/>
      </c>
      <c r="GHM30" t="str">
        <f t="shared" si="81"/>
        <v/>
      </c>
      <c r="GHN30" t="str">
        <f t="shared" si="81"/>
        <v/>
      </c>
      <c r="GHO30" t="str">
        <f t="shared" si="81"/>
        <v/>
      </c>
      <c r="GHP30" t="str">
        <f t="shared" si="81"/>
        <v/>
      </c>
      <c r="GHQ30" t="str">
        <f t="shared" si="81"/>
        <v/>
      </c>
      <c r="GHR30" t="str">
        <f t="shared" si="81"/>
        <v/>
      </c>
      <c r="GHS30" t="str">
        <f t="shared" si="81"/>
        <v/>
      </c>
      <c r="GHT30" t="str">
        <f t="shared" si="81"/>
        <v/>
      </c>
      <c r="GHU30" t="str">
        <f t="shared" si="81"/>
        <v/>
      </c>
      <c r="GHV30" t="str">
        <f t="shared" si="81"/>
        <v/>
      </c>
      <c r="GHW30" t="str">
        <f t="shared" si="81"/>
        <v/>
      </c>
      <c r="GHX30" t="str">
        <f t="shared" si="81"/>
        <v/>
      </c>
      <c r="GHY30" t="str">
        <f t="shared" si="81"/>
        <v/>
      </c>
      <c r="GHZ30" t="str">
        <f t="shared" si="81"/>
        <v/>
      </c>
      <c r="GIA30" t="str">
        <f t="shared" si="81"/>
        <v/>
      </c>
      <c r="GIB30" t="str">
        <f t="shared" si="81"/>
        <v/>
      </c>
      <c r="GIC30" t="str">
        <f t="shared" si="81"/>
        <v/>
      </c>
      <c r="GID30" t="str">
        <f t="shared" si="81"/>
        <v/>
      </c>
      <c r="GIE30" t="str">
        <f t="shared" si="81"/>
        <v/>
      </c>
      <c r="GIF30" t="str">
        <f t="shared" si="81"/>
        <v/>
      </c>
      <c r="GIG30" t="str">
        <f t="shared" si="81"/>
        <v/>
      </c>
      <c r="GIH30" t="str">
        <f t="shared" si="81"/>
        <v/>
      </c>
      <c r="GII30" t="str">
        <f t="shared" si="81"/>
        <v/>
      </c>
      <c r="GIJ30" t="str">
        <f t="shared" si="81"/>
        <v/>
      </c>
      <c r="GIK30" t="str">
        <f t="shared" si="81"/>
        <v/>
      </c>
      <c r="GIL30" t="str">
        <f t="shared" si="81"/>
        <v/>
      </c>
      <c r="GIM30" t="str">
        <f t="shared" si="81"/>
        <v/>
      </c>
      <c r="GIN30" t="str">
        <f t="shared" si="81"/>
        <v/>
      </c>
      <c r="GIO30" t="str">
        <f t="shared" si="81"/>
        <v/>
      </c>
      <c r="GIP30" t="str">
        <f t="shared" si="81"/>
        <v/>
      </c>
      <c r="GIQ30" t="str">
        <f t="shared" si="81"/>
        <v/>
      </c>
      <c r="GIR30" t="str">
        <f t="shared" si="81"/>
        <v/>
      </c>
      <c r="GIS30" t="str">
        <f t="shared" si="81"/>
        <v/>
      </c>
      <c r="GIT30" t="str">
        <f t="shared" si="81"/>
        <v/>
      </c>
      <c r="GIU30" t="str">
        <f t="shared" si="81"/>
        <v/>
      </c>
      <c r="GIV30" t="str">
        <f t="shared" si="81"/>
        <v/>
      </c>
      <c r="GIW30" t="str">
        <f t="shared" si="81"/>
        <v/>
      </c>
      <c r="GIX30" t="str">
        <f t="shared" si="81"/>
        <v/>
      </c>
      <c r="GIY30" t="str">
        <f t="shared" si="81"/>
        <v/>
      </c>
      <c r="GIZ30" t="str">
        <f t="shared" si="81"/>
        <v/>
      </c>
      <c r="GJA30" t="str">
        <f t="shared" si="81"/>
        <v/>
      </c>
      <c r="GJB30" t="str">
        <f t="shared" si="81"/>
        <v/>
      </c>
      <c r="GJC30" t="str">
        <f t="shared" si="81"/>
        <v/>
      </c>
      <c r="GJD30" t="str">
        <f t="shared" si="81"/>
        <v/>
      </c>
      <c r="GJE30" t="str">
        <f t="shared" si="81"/>
        <v/>
      </c>
      <c r="GJF30" t="str">
        <f t="shared" si="81"/>
        <v/>
      </c>
      <c r="GJG30" t="str">
        <f t="shared" si="81"/>
        <v/>
      </c>
      <c r="GJH30" t="str">
        <f t="shared" si="81"/>
        <v/>
      </c>
      <c r="GJI30" t="str">
        <f t="shared" si="81"/>
        <v/>
      </c>
      <c r="GJJ30" t="str">
        <f t="shared" si="81"/>
        <v/>
      </c>
      <c r="GJK30" t="str">
        <f t="shared" si="81"/>
        <v/>
      </c>
      <c r="GJL30" t="str">
        <f t="shared" si="81"/>
        <v/>
      </c>
      <c r="GJM30" t="str">
        <f t="shared" si="81"/>
        <v/>
      </c>
      <c r="GJN30" t="str">
        <f t="shared" si="81"/>
        <v/>
      </c>
      <c r="GJO30" t="str">
        <f t="shared" si="81"/>
        <v/>
      </c>
      <c r="GJP30" t="str">
        <f t="shared" ref="GJP30:GMA30" si="82">TRIM(GKB11)</f>
        <v/>
      </c>
      <c r="GJQ30" t="str">
        <f t="shared" si="82"/>
        <v/>
      </c>
      <c r="GJR30" t="str">
        <f t="shared" si="82"/>
        <v/>
      </c>
      <c r="GJS30" t="str">
        <f t="shared" si="82"/>
        <v/>
      </c>
      <c r="GJT30" t="str">
        <f t="shared" si="82"/>
        <v/>
      </c>
      <c r="GJU30" t="str">
        <f t="shared" si="82"/>
        <v/>
      </c>
      <c r="GJV30" t="str">
        <f t="shared" si="82"/>
        <v/>
      </c>
      <c r="GJW30" t="str">
        <f t="shared" si="82"/>
        <v/>
      </c>
      <c r="GJX30" t="str">
        <f t="shared" si="82"/>
        <v/>
      </c>
      <c r="GJY30" t="str">
        <f t="shared" si="82"/>
        <v/>
      </c>
      <c r="GJZ30" t="str">
        <f t="shared" si="82"/>
        <v/>
      </c>
      <c r="GKA30" t="str">
        <f t="shared" si="82"/>
        <v/>
      </c>
      <c r="GKB30" t="str">
        <f t="shared" si="82"/>
        <v/>
      </c>
      <c r="GKC30" t="str">
        <f t="shared" si="82"/>
        <v/>
      </c>
      <c r="GKD30" t="str">
        <f t="shared" si="82"/>
        <v/>
      </c>
      <c r="GKE30" t="str">
        <f t="shared" si="82"/>
        <v/>
      </c>
      <c r="GKF30" t="str">
        <f t="shared" si="82"/>
        <v/>
      </c>
      <c r="GKG30" t="str">
        <f t="shared" si="82"/>
        <v/>
      </c>
      <c r="GKH30" t="str">
        <f t="shared" si="82"/>
        <v/>
      </c>
      <c r="GKI30" t="str">
        <f t="shared" si="82"/>
        <v/>
      </c>
      <c r="GKJ30" t="str">
        <f t="shared" si="82"/>
        <v/>
      </c>
      <c r="GKK30" t="str">
        <f t="shared" si="82"/>
        <v/>
      </c>
      <c r="GKL30" t="str">
        <f t="shared" si="82"/>
        <v/>
      </c>
      <c r="GKM30" t="str">
        <f t="shared" si="82"/>
        <v/>
      </c>
      <c r="GKN30" t="str">
        <f t="shared" si="82"/>
        <v/>
      </c>
      <c r="GKO30" t="str">
        <f t="shared" si="82"/>
        <v/>
      </c>
      <c r="GKP30" t="str">
        <f t="shared" si="82"/>
        <v/>
      </c>
      <c r="GKQ30" t="str">
        <f t="shared" si="82"/>
        <v/>
      </c>
      <c r="GKR30" t="str">
        <f t="shared" si="82"/>
        <v/>
      </c>
      <c r="GKS30" t="str">
        <f t="shared" si="82"/>
        <v/>
      </c>
      <c r="GKT30" t="str">
        <f t="shared" si="82"/>
        <v/>
      </c>
      <c r="GKU30" t="str">
        <f t="shared" si="82"/>
        <v/>
      </c>
      <c r="GKV30" t="str">
        <f t="shared" si="82"/>
        <v/>
      </c>
      <c r="GKW30" t="str">
        <f t="shared" si="82"/>
        <v/>
      </c>
      <c r="GKX30" t="str">
        <f t="shared" si="82"/>
        <v/>
      </c>
      <c r="GKY30" t="str">
        <f t="shared" si="82"/>
        <v/>
      </c>
      <c r="GKZ30" t="str">
        <f t="shared" si="82"/>
        <v/>
      </c>
      <c r="GLA30" t="str">
        <f t="shared" si="82"/>
        <v/>
      </c>
      <c r="GLB30" t="str">
        <f t="shared" si="82"/>
        <v/>
      </c>
      <c r="GLC30" t="str">
        <f t="shared" si="82"/>
        <v/>
      </c>
      <c r="GLD30" t="str">
        <f t="shared" si="82"/>
        <v/>
      </c>
      <c r="GLE30" t="str">
        <f t="shared" si="82"/>
        <v/>
      </c>
      <c r="GLF30" t="str">
        <f t="shared" si="82"/>
        <v/>
      </c>
      <c r="GLG30" t="str">
        <f t="shared" si="82"/>
        <v/>
      </c>
      <c r="GLH30" t="str">
        <f t="shared" si="82"/>
        <v/>
      </c>
      <c r="GLI30" t="str">
        <f t="shared" si="82"/>
        <v/>
      </c>
      <c r="GLJ30" t="str">
        <f t="shared" si="82"/>
        <v/>
      </c>
      <c r="GLK30" t="str">
        <f t="shared" si="82"/>
        <v/>
      </c>
      <c r="GLL30" t="str">
        <f t="shared" si="82"/>
        <v/>
      </c>
      <c r="GLM30" t="str">
        <f t="shared" si="82"/>
        <v/>
      </c>
      <c r="GLN30" t="str">
        <f t="shared" si="82"/>
        <v/>
      </c>
      <c r="GLO30" t="str">
        <f t="shared" si="82"/>
        <v/>
      </c>
      <c r="GLP30" t="str">
        <f t="shared" si="82"/>
        <v/>
      </c>
      <c r="GLQ30" t="str">
        <f t="shared" si="82"/>
        <v/>
      </c>
      <c r="GLR30" t="str">
        <f t="shared" si="82"/>
        <v/>
      </c>
      <c r="GLS30" t="str">
        <f t="shared" si="82"/>
        <v/>
      </c>
      <c r="GLT30" t="str">
        <f t="shared" si="82"/>
        <v/>
      </c>
      <c r="GLU30" t="str">
        <f t="shared" si="82"/>
        <v/>
      </c>
      <c r="GLV30" t="str">
        <f t="shared" si="82"/>
        <v/>
      </c>
      <c r="GLW30" t="str">
        <f t="shared" si="82"/>
        <v/>
      </c>
      <c r="GLX30" t="str">
        <f t="shared" si="82"/>
        <v/>
      </c>
      <c r="GLY30" t="str">
        <f t="shared" si="82"/>
        <v/>
      </c>
      <c r="GLZ30" t="str">
        <f t="shared" si="82"/>
        <v/>
      </c>
      <c r="GMA30" t="str">
        <f t="shared" si="82"/>
        <v/>
      </c>
      <c r="GMB30" t="str">
        <f t="shared" ref="GMB30:GOM30" si="83">TRIM(GMN11)</f>
        <v/>
      </c>
      <c r="GMC30" t="str">
        <f t="shared" si="83"/>
        <v/>
      </c>
      <c r="GMD30" t="str">
        <f t="shared" si="83"/>
        <v/>
      </c>
      <c r="GME30" t="str">
        <f t="shared" si="83"/>
        <v/>
      </c>
      <c r="GMF30" t="str">
        <f t="shared" si="83"/>
        <v/>
      </c>
      <c r="GMG30" t="str">
        <f t="shared" si="83"/>
        <v/>
      </c>
      <c r="GMH30" t="str">
        <f t="shared" si="83"/>
        <v/>
      </c>
      <c r="GMI30" t="str">
        <f t="shared" si="83"/>
        <v/>
      </c>
      <c r="GMJ30" t="str">
        <f t="shared" si="83"/>
        <v/>
      </c>
      <c r="GMK30" t="str">
        <f t="shared" si="83"/>
        <v/>
      </c>
      <c r="GML30" t="str">
        <f t="shared" si="83"/>
        <v/>
      </c>
      <c r="GMM30" t="str">
        <f t="shared" si="83"/>
        <v/>
      </c>
      <c r="GMN30" t="str">
        <f t="shared" si="83"/>
        <v/>
      </c>
      <c r="GMO30" t="str">
        <f t="shared" si="83"/>
        <v/>
      </c>
      <c r="GMP30" t="str">
        <f t="shared" si="83"/>
        <v/>
      </c>
      <c r="GMQ30" t="str">
        <f t="shared" si="83"/>
        <v/>
      </c>
      <c r="GMR30" t="str">
        <f t="shared" si="83"/>
        <v/>
      </c>
      <c r="GMS30" t="str">
        <f t="shared" si="83"/>
        <v/>
      </c>
      <c r="GMT30" t="str">
        <f t="shared" si="83"/>
        <v/>
      </c>
      <c r="GMU30" t="str">
        <f t="shared" si="83"/>
        <v/>
      </c>
      <c r="GMV30" t="str">
        <f t="shared" si="83"/>
        <v/>
      </c>
      <c r="GMW30" t="str">
        <f t="shared" si="83"/>
        <v/>
      </c>
      <c r="GMX30" t="str">
        <f t="shared" si="83"/>
        <v/>
      </c>
      <c r="GMY30" t="str">
        <f t="shared" si="83"/>
        <v/>
      </c>
      <c r="GMZ30" t="str">
        <f t="shared" si="83"/>
        <v/>
      </c>
      <c r="GNA30" t="str">
        <f t="shared" si="83"/>
        <v/>
      </c>
      <c r="GNB30" t="str">
        <f t="shared" si="83"/>
        <v/>
      </c>
      <c r="GNC30" t="str">
        <f t="shared" si="83"/>
        <v/>
      </c>
      <c r="GND30" t="str">
        <f t="shared" si="83"/>
        <v/>
      </c>
      <c r="GNE30" t="str">
        <f t="shared" si="83"/>
        <v/>
      </c>
      <c r="GNF30" t="str">
        <f t="shared" si="83"/>
        <v/>
      </c>
      <c r="GNG30" t="str">
        <f t="shared" si="83"/>
        <v/>
      </c>
      <c r="GNH30" t="str">
        <f t="shared" si="83"/>
        <v/>
      </c>
      <c r="GNI30" t="str">
        <f t="shared" si="83"/>
        <v/>
      </c>
      <c r="GNJ30" t="str">
        <f t="shared" si="83"/>
        <v/>
      </c>
      <c r="GNK30" t="str">
        <f t="shared" si="83"/>
        <v/>
      </c>
      <c r="GNL30" t="str">
        <f t="shared" si="83"/>
        <v/>
      </c>
      <c r="GNM30" t="str">
        <f t="shared" si="83"/>
        <v/>
      </c>
      <c r="GNN30" t="str">
        <f t="shared" si="83"/>
        <v/>
      </c>
      <c r="GNO30" t="str">
        <f t="shared" si="83"/>
        <v/>
      </c>
      <c r="GNP30" t="str">
        <f t="shared" si="83"/>
        <v/>
      </c>
      <c r="GNQ30" t="str">
        <f t="shared" si="83"/>
        <v/>
      </c>
      <c r="GNR30" t="str">
        <f t="shared" si="83"/>
        <v/>
      </c>
      <c r="GNS30" t="str">
        <f t="shared" si="83"/>
        <v/>
      </c>
      <c r="GNT30" t="str">
        <f t="shared" si="83"/>
        <v/>
      </c>
      <c r="GNU30" t="str">
        <f t="shared" si="83"/>
        <v/>
      </c>
      <c r="GNV30" t="str">
        <f t="shared" si="83"/>
        <v/>
      </c>
      <c r="GNW30" t="str">
        <f t="shared" si="83"/>
        <v/>
      </c>
      <c r="GNX30" t="str">
        <f t="shared" si="83"/>
        <v/>
      </c>
      <c r="GNY30" t="str">
        <f t="shared" si="83"/>
        <v/>
      </c>
      <c r="GNZ30" t="str">
        <f t="shared" si="83"/>
        <v/>
      </c>
      <c r="GOA30" t="str">
        <f t="shared" si="83"/>
        <v/>
      </c>
      <c r="GOB30" t="str">
        <f t="shared" si="83"/>
        <v/>
      </c>
      <c r="GOC30" t="str">
        <f t="shared" si="83"/>
        <v/>
      </c>
      <c r="GOD30" t="str">
        <f t="shared" si="83"/>
        <v/>
      </c>
      <c r="GOE30" t="str">
        <f t="shared" si="83"/>
        <v/>
      </c>
      <c r="GOF30" t="str">
        <f t="shared" si="83"/>
        <v/>
      </c>
      <c r="GOG30" t="str">
        <f t="shared" si="83"/>
        <v/>
      </c>
      <c r="GOH30" t="str">
        <f t="shared" si="83"/>
        <v/>
      </c>
      <c r="GOI30" t="str">
        <f t="shared" si="83"/>
        <v/>
      </c>
      <c r="GOJ30" t="str">
        <f t="shared" si="83"/>
        <v/>
      </c>
      <c r="GOK30" t="str">
        <f t="shared" si="83"/>
        <v/>
      </c>
      <c r="GOL30" t="str">
        <f t="shared" si="83"/>
        <v/>
      </c>
      <c r="GOM30" t="str">
        <f t="shared" si="83"/>
        <v/>
      </c>
      <c r="GON30" t="str">
        <f t="shared" ref="GON30:GQY30" si="84">TRIM(GOZ11)</f>
        <v/>
      </c>
      <c r="GOO30" t="str">
        <f t="shared" si="84"/>
        <v/>
      </c>
      <c r="GOP30" t="str">
        <f t="shared" si="84"/>
        <v/>
      </c>
      <c r="GOQ30" t="str">
        <f t="shared" si="84"/>
        <v/>
      </c>
      <c r="GOR30" t="str">
        <f t="shared" si="84"/>
        <v/>
      </c>
      <c r="GOS30" t="str">
        <f t="shared" si="84"/>
        <v/>
      </c>
      <c r="GOT30" t="str">
        <f t="shared" si="84"/>
        <v/>
      </c>
      <c r="GOU30" t="str">
        <f t="shared" si="84"/>
        <v/>
      </c>
      <c r="GOV30" t="str">
        <f t="shared" si="84"/>
        <v/>
      </c>
      <c r="GOW30" t="str">
        <f t="shared" si="84"/>
        <v/>
      </c>
      <c r="GOX30" t="str">
        <f t="shared" si="84"/>
        <v/>
      </c>
      <c r="GOY30" t="str">
        <f t="shared" si="84"/>
        <v/>
      </c>
      <c r="GOZ30" t="str">
        <f t="shared" si="84"/>
        <v/>
      </c>
      <c r="GPA30" t="str">
        <f t="shared" si="84"/>
        <v/>
      </c>
      <c r="GPB30" t="str">
        <f t="shared" si="84"/>
        <v/>
      </c>
      <c r="GPC30" t="str">
        <f t="shared" si="84"/>
        <v/>
      </c>
      <c r="GPD30" t="str">
        <f t="shared" si="84"/>
        <v/>
      </c>
      <c r="GPE30" t="str">
        <f t="shared" si="84"/>
        <v/>
      </c>
      <c r="GPF30" t="str">
        <f t="shared" si="84"/>
        <v/>
      </c>
      <c r="GPG30" t="str">
        <f t="shared" si="84"/>
        <v/>
      </c>
      <c r="GPH30" t="str">
        <f t="shared" si="84"/>
        <v/>
      </c>
      <c r="GPI30" t="str">
        <f t="shared" si="84"/>
        <v/>
      </c>
      <c r="GPJ30" t="str">
        <f t="shared" si="84"/>
        <v/>
      </c>
      <c r="GPK30" t="str">
        <f t="shared" si="84"/>
        <v/>
      </c>
      <c r="GPL30" t="str">
        <f t="shared" si="84"/>
        <v/>
      </c>
      <c r="GPM30" t="str">
        <f t="shared" si="84"/>
        <v/>
      </c>
      <c r="GPN30" t="str">
        <f t="shared" si="84"/>
        <v/>
      </c>
      <c r="GPO30" t="str">
        <f t="shared" si="84"/>
        <v/>
      </c>
      <c r="GPP30" t="str">
        <f t="shared" si="84"/>
        <v/>
      </c>
      <c r="GPQ30" t="str">
        <f t="shared" si="84"/>
        <v/>
      </c>
      <c r="GPR30" t="str">
        <f t="shared" si="84"/>
        <v/>
      </c>
      <c r="GPS30" t="str">
        <f t="shared" si="84"/>
        <v/>
      </c>
      <c r="GPT30" t="str">
        <f t="shared" si="84"/>
        <v/>
      </c>
      <c r="GPU30" t="str">
        <f t="shared" si="84"/>
        <v/>
      </c>
      <c r="GPV30" t="str">
        <f t="shared" si="84"/>
        <v/>
      </c>
      <c r="GPW30" t="str">
        <f t="shared" si="84"/>
        <v/>
      </c>
      <c r="GPX30" t="str">
        <f t="shared" si="84"/>
        <v/>
      </c>
      <c r="GPY30" t="str">
        <f t="shared" si="84"/>
        <v/>
      </c>
      <c r="GPZ30" t="str">
        <f t="shared" si="84"/>
        <v/>
      </c>
      <c r="GQA30" t="str">
        <f t="shared" si="84"/>
        <v/>
      </c>
      <c r="GQB30" t="str">
        <f t="shared" si="84"/>
        <v/>
      </c>
      <c r="GQC30" t="str">
        <f t="shared" si="84"/>
        <v/>
      </c>
      <c r="GQD30" t="str">
        <f t="shared" si="84"/>
        <v/>
      </c>
      <c r="GQE30" t="str">
        <f t="shared" si="84"/>
        <v/>
      </c>
      <c r="GQF30" t="str">
        <f t="shared" si="84"/>
        <v/>
      </c>
      <c r="GQG30" t="str">
        <f t="shared" si="84"/>
        <v/>
      </c>
      <c r="GQH30" t="str">
        <f t="shared" si="84"/>
        <v/>
      </c>
      <c r="GQI30" t="str">
        <f t="shared" si="84"/>
        <v/>
      </c>
      <c r="GQJ30" t="str">
        <f t="shared" si="84"/>
        <v/>
      </c>
      <c r="GQK30" t="str">
        <f t="shared" si="84"/>
        <v/>
      </c>
      <c r="GQL30" t="str">
        <f t="shared" si="84"/>
        <v/>
      </c>
      <c r="GQM30" t="str">
        <f t="shared" si="84"/>
        <v/>
      </c>
      <c r="GQN30" t="str">
        <f t="shared" si="84"/>
        <v/>
      </c>
      <c r="GQO30" t="str">
        <f t="shared" si="84"/>
        <v/>
      </c>
      <c r="GQP30" t="str">
        <f t="shared" si="84"/>
        <v/>
      </c>
      <c r="GQQ30" t="str">
        <f t="shared" si="84"/>
        <v/>
      </c>
      <c r="GQR30" t="str">
        <f t="shared" si="84"/>
        <v/>
      </c>
      <c r="GQS30" t="str">
        <f t="shared" si="84"/>
        <v/>
      </c>
      <c r="GQT30" t="str">
        <f t="shared" si="84"/>
        <v/>
      </c>
      <c r="GQU30" t="str">
        <f t="shared" si="84"/>
        <v/>
      </c>
      <c r="GQV30" t="str">
        <f t="shared" si="84"/>
        <v/>
      </c>
      <c r="GQW30" t="str">
        <f t="shared" si="84"/>
        <v/>
      </c>
      <c r="GQX30" t="str">
        <f t="shared" si="84"/>
        <v/>
      </c>
      <c r="GQY30" t="str">
        <f t="shared" si="84"/>
        <v/>
      </c>
      <c r="GQZ30" t="str">
        <f t="shared" ref="GQZ30:GTK30" si="85">TRIM(GRL11)</f>
        <v/>
      </c>
      <c r="GRA30" t="str">
        <f t="shared" si="85"/>
        <v/>
      </c>
      <c r="GRB30" t="str">
        <f t="shared" si="85"/>
        <v/>
      </c>
      <c r="GRC30" t="str">
        <f t="shared" si="85"/>
        <v/>
      </c>
      <c r="GRD30" t="str">
        <f t="shared" si="85"/>
        <v/>
      </c>
      <c r="GRE30" t="str">
        <f t="shared" si="85"/>
        <v/>
      </c>
      <c r="GRF30" t="str">
        <f t="shared" si="85"/>
        <v/>
      </c>
      <c r="GRG30" t="str">
        <f t="shared" si="85"/>
        <v/>
      </c>
      <c r="GRH30" t="str">
        <f t="shared" si="85"/>
        <v/>
      </c>
      <c r="GRI30" t="str">
        <f t="shared" si="85"/>
        <v/>
      </c>
      <c r="GRJ30" t="str">
        <f t="shared" si="85"/>
        <v/>
      </c>
      <c r="GRK30" t="str">
        <f t="shared" si="85"/>
        <v/>
      </c>
      <c r="GRL30" t="str">
        <f t="shared" si="85"/>
        <v/>
      </c>
      <c r="GRM30" t="str">
        <f t="shared" si="85"/>
        <v/>
      </c>
      <c r="GRN30" t="str">
        <f t="shared" si="85"/>
        <v/>
      </c>
      <c r="GRO30" t="str">
        <f t="shared" si="85"/>
        <v/>
      </c>
      <c r="GRP30" t="str">
        <f t="shared" si="85"/>
        <v/>
      </c>
      <c r="GRQ30" t="str">
        <f t="shared" si="85"/>
        <v/>
      </c>
      <c r="GRR30" t="str">
        <f t="shared" si="85"/>
        <v/>
      </c>
      <c r="GRS30" t="str">
        <f t="shared" si="85"/>
        <v/>
      </c>
      <c r="GRT30" t="str">
        <f t="shared" si="85"/>
        <v/>
      </c>
      <c r="GRU30" t="str">
        <f t="shared" si="85"/>
        <v/>
      </c>
      <c r="GRV30" t="str">
        <f t="shared" si="85"/>
        <v/>
      </c>
      <c r="GRW30" t="str">
        <f t="shared" si="85"/>
        <v/>
      </c>
      <c r="GRX30" t="str">
        <f t="shared" si="85"/>
        <v/>
      </c>
      <c r="GRY30" t="str">
        <f t="shared" si="85"/>
        <v/>
      </c>
      <c r="GRZ30" t="str">
        <f t="shared" si="85"/>
        <v/>
      </c>
      <c r="GSA30" t="str">
        <f t="shared" si="85"/>
        <v/>
      </c>
      <c r="GSB30" t="str">
        <f t="shared" si="85"/>
        <v/>
      </c>
      <c r="GSC30" t="str">
        <f t="shared" si="85"/>
        <v/>
      </c>
      <c r="GSD30" t="str">
        <f t="shared" si="85"/>
        <v/>
      </c>
      <c r="GSE30" t="str">
        <f t="shared" si="85"/>
        <v/>
      </c>
      <c r="GSF30" t="str">
        <f t="shared" si="85"/>
        <v/>
      </c>
      <c r="GSG30" t="str">
        <f t="shared" si="85"/>
        <v/>
      </c>
      <c r="GSH30" t="str">
        <f t="shared" si="85"/>
        <v/>
      </c>
      <c r="GSI30" t="str">
        <f t="shared" si="85"/>
        <v/>
      </c>
      <c r="GSJ30" t="str">
        <f t="shared" si="85"/>
        <v/>
      </c>
      <c r="GSK30" t="str">
        <f t="shared" si="85"/>
        <v/>
      </c>
      <c r="GSL30" t="str">
        <f t="shared" si="85"/>
        <v/>
      </c>
      <c r="GSM30" t="str">
        <f t="shared" si="85"/>
        <v/>
      </c>
      <c r="GSN30" t="str">
        <f t="shared" si="85"/>
        <v/>
      </c>
      <c r="GSO30" t="str">
        <f t="shared" si="85"/>
        <v/>
      </c>
      <c r="GSP30" t="str">
        <f t="shared" si="85"/>
        <v/>
      </c>
      <c r="GSQ30" t="str">
        <f t="shared" si="85"/>
        <v/>
      </c>
      <c r="GSR30" t="str">
        <f t="shared" si="85"/>
        <v/>
      </c>
      <c r="GSS30" t="str">
        <f t="shared" si="85"/>
        <v/>
      </c>
      <c r="GST30" t="str">
        <f t="shared" si="85"/>
        <v/>
      </c>
      <c r="GSU30" t="str">
        <f t="shared" si="85"/>
        <v/>
      </c>
      <c r="GSV30" t="str">
        <f t="shared" si="85"/>
        <v/>
      </c>
      <c r="GSW30" t="str">
        <f t="shared" si="85"/>
        <v/>
      </c>
      <c r="GSX30" t="str">
        <f t="shared" si="85"/>
        <v/>
      </c>
      <c r="GSY30" t="str">
        <f t="shared" si="85"/>
        <v/>
      </c>
      <c r="GSZ30" t="str">
        <f t="shared" si="85"/>
        <v/>
      </c>
      <c r="GTA30" t="str">
        <f t="shared" si="85"/>
        <v/>
      </c>
      <c r="GTB30" t="str">
        <f t="shared" si="85"/>
        <v/>
      </c>
      <c r="GTC30" t="str">
        <f t="shared" si="85"/>
        <v/>
      </c>
      <c r="GTD30" t="str">
        <f t="shared" si="85"/>
        <v/>
      </c>
      <c r="GTE30" t="str">
        <f t="shared" si="85"/>
        <v/>
      </c>
      <c r="GTF30" t="str">
        <f t="shared" si="85"/>
        <v/>
      </c>
      <c r="GTG30" t="str">
        <f t="shared" si="85"/>
        <v/>
      </c>
      <c r="GTH30" t="str">
        <f t="shared" si="85"/>
        <v/>
      </c>
      <c r="GTI30" t="str">
        <f t="shared" si="85"/>
        <v/>
      </c>
      <c r="GTJ30" t="str">
        <f t="shared" si="85"/>
        <v/>
      </c>
      <c r="GTK30" t="str">
        <f t="shared" si="85"/>
        <v/>
      </c>
      <c r="GTL30" t="str">
        <f t="shared" ref="GTL30:GVW30" si="86">TRIM(GTX11)</f>
        <v/>
      </c>
      <c r="GTM30" t="str">
        <f t="shared" si="86"/>
        <v/>
      </c>
      <c r="GTN30" t="str">
        <f t="shared" si="86"/>
        <v/>
      </c>
      <c r="GTO30" t="str">
        <f t="shared" si="86"/>
        <v/>
      </c>
      <c r="GTP30" t="str">
        <f t="shared" si="86"/>
        <v/>
      </c>
      <c r="GTQ30" t="str">
        <f t="shared" si="86"/>
        <v/>
      </c>
      <c r="GTR30" t="str">
        <f t="shared" si="86"/>
        <v/>
      </c>
      <c r="GTS30" t="str">
        <f t="shared" si="86"/>
        <v/>
      </c>
      <c r="GTT30" t="str">
        <f t="shared" si="86"/>
        <v/>
      </c>
      <c r="GTU30" t="str">
        <f t="shared" si="86"/>
        <v/>
      </c>
      <c r="GTV30" t="str">
        <f t="shared" si="86"/>
        <v/>
      </c>
      <c r="GTW30" t="str">
        <f t="shared" si="86"/>
        <v/>
      </c>
      <c r="GTX30" t="str">
        <f t="shared" si="86"/>
        <v/>
      </c>
      <c r="GTY30" t="str">
        <f t="shared" si="86"/>
        <v/>
      </c>
      <c r="GTZ30" t="str">
        <f t="shared" si="86"/>
        <v/>
      </c>
      <c r="GUA30" t="str">
        <f t="shared" si="86"/>
        <v/>
      </c>
      <c r="GUB30" t="str">
        <f t="shared" si="86"/>
        <v/>
      </c>
      <c r="GUC30" t="str">
        <f t="shared" si="86"/>
        <v/>
      </c>
      <c r="GUD30" t="str">
        <f t="shared" si="86"/>
        <v/>
      </c>
      <c r="GUE30" t="str">
        <f t="shared" si="86"/>
        <v/>
      </c>
      <c r="GUF30" t="str">
        <f t="shared" si="86"/>
        <v/>
      </c>
      <c r="GUG30" t="str">
        <f t="shared" si="86"/>
        <v/>
      </c>
      <c r="GUH30" t="str">
        <f t="shared" si="86"/>
        <v/>
      </c>
      <c r="GUI30" t="str">
        <f t="shared" si="86"/>
        <v/>
      </c>
      <c r="GUJ30" t="str">
        <f t="shared" si="86"/>
        <v/>
      </c>
      <c r="GUK30" t="str">
        <f t="shared" si="86"/>
        <v/>
      </c>
      <c r="GUL30" t="str">
        <f t="shared" si="86"/>
        <v/>
      </c>
      <c r="GUM30" t="str">
        <f t="shared" si="86"/>
        <v/>
      </c>
      <c r="GUN30" t="str">
        <f t="shared" si="86"/>
        <v/>
      </c>
      <c r="GUO30" t="str">
        <f t="shared" si="86"/>
        <v/>
      </c>
      <c r="GUP30" t="str">
        <f t="shared" si="86"/>
        <v/>
      </c>
      <c r="GUQ30" t="str">
        <f t="shared" si="86"/>
        <v/>
      </c>
      <c r="GUR30" t="str">
        <f t="shared" si="86"/>
        <v/>
      </c>
      <c r="GUS30" t="str">
        <f t="shared" si="86"/>
        <v/>
      </c>
      <c r="GUT30" t="str">
        <f t="shared" si="86"/>
        <v/>
      </c>
      <c r="GUU30" t="str">
        <f t="shared" si="86"/>
        <v/>
      </c>
      <c r="GUV30" t="str">
        <f t="shared" si="86"/>
        <v/>
      </c>
      <c r="GUW30" t="str">
        <f t="shared" si="86"/>
        <v/>
      </c>
      <c r="GUX30" t="str">
        <f t="shared" si="86"/>
        <v/>
      </c>
      <c r="GUY30" t="str">
        <f t="shared" si="86"/>
        <v/>
      </c>
      <c r="GUZ30" t="str">
        <f t="shared" si="86"/>
        <v/>
      </c>
      <c r="GVA30" t="str">
        <f t="shared" si="86"/>
        <v/>
      </c>
      <c r="GVB30" t="str">
        <f t="shared" si="86"/>
        <v/>
      </c>
      <c r="GVC30" t="str">
        <f t="shared" si="86"/>
        <v/>
      </c>
      <c r="GVD30" t="str">
        <f t="shared" si="86"/>
        <v/>
      </c>
      <c r="GVE30" t="str">
        <f t="shared" si="86"/>
        <v/>
      </c>
      <c r="GVF30" t="str">
        <f t="shared" si="86"/>
        <v/>
      </c>
      <c r="GVG30" t="str">
        <f t="shared" si="86"/>
        <v/>
      </c>
      <c r="GVH30" t="str">
        <f t="shared" si="86"/>
        <v/>
      </c>
      <c r="GVI30" t="str">
        <f t="shared" si="86"/>
        <v/>
      </c>
      <c r="GVJ30" t="str">
        <f t="shared" si="86"/>
        <v/>
      </c>
      <c r="GVK30" t="str">
        <f t="shared" si="86"/>
        <v/>
      </c>
      <c r="GVL30" t="str">
        <f t="shared" si="86"/>
        <v/>
      </c>
      <c r="GVM30" t="str">
        <f t="shared" si="86"/>
        <v/>
      </c>
      <c r="GVN30" t="str">
        <f t="shared" si="86"/>
        <v/>
      </c>
      <c r="GVO30" t="str">
        <f t="shared" si="86"/>
        <v/>
      </c>
      <c r="GVP30" t="str">
        <f t="shared" si="86"/>
        <v/>
      </c>
      <c r="GVQ30" t="str">
        <f t="shared" si="86"/>
        <v/>
      </c>
      <c r="GVR30" t="str">
        <f t="shared" si="86"/>
        <v/>
      </c>
      <c r="GVS30" t="str">
        <f t="shared" si="86"/>
        <v/>
      </c>
      <c r="GVT30" t="str">
        <f t="shared" si="86"/>
        <v/>
      </c>
      <c r="GVU30" t="str">
        <f t="shared" si="86"/>
        <v/>
      </c>
      <c r="GVV30" t="str">
        <f t="shared" si="86"/>
        <v/>
      </c>
      <c r="GVW30" t="str">
        <f t="shared" si="86"/>
        <v/>
      </c>
      <c r="GVX30" t="str">
        <f t="shared" ref="GVX30:GYI30" si="87">TRIM(GWJ11)</f>
        <v/>
      </c>
      <c r="GVY30" t="str">
        <f t="shared" si="87"/>
        <v/>
      </c>
      <c r="GVZ30" t="str">
        <f t="shared" si="87"/>
        <v/>
      </c>
      <c r="GWA30" t="str">
        <f t="shared" si="87"/>
        <v/>
      </c>
      <c r="GWB30" t="str">
        <f t="shared" si="87"/>
        <v/>
      </c>
      <c r="GWC30" t="str">
        <f t="shared" si="87"/>
        <v/>
      </c>
      <c r="GWD30" t="str">
        <f t="shared" si="87"/>
        <v/>
      </c>
      <c r="GWE30" t="str">
        <f t="shared" si="87"/>
        <v/>
      </c>
      <c r="GWF30" t="str">
        <f t="shared" si="87"/>
        <v/>
      </c>
      <c r="GWG30" t="str">
        <f t="shared" si="87"/>
        <v/>
      </c>
      <c r="GWH30" t="str">
        <f t="shared" si="87"/>
        <v/>
      </c>
      <c r="GWI30" t="str">
        <f t="shared" si="87"/>
        <v/>
      </c>
      <c r="GWJ30" t="str">
        <f t="shared" si="87"/>
        <v/>
      </c>
      <c r="GWK30" t="str">
        <f t="shared" si="87"/>
        <v/>
      </c>
      <c r="GWL30" t="str">
        <f t="shared" si="87"/>
        <v/>
      </c>
      <c r="GWM30" t="str">
        <f t="shared" si="87"/>
        <v/>
      </c>
      <c r="GWN30" t="str">
        <f t="shared" si="87"/>
        <v/>
      </c>
      <c r="GWO30" t="str">
        <f t="shared" si="87"/>
        <v/>
      </c>
      <c r="GWP30" t="str">
        <f t="shared" si="87"/>
        <v/>
      </c>
      <c r="GWQ30" t="str">
        <f t="shared" si="87"/>
        <v/>
      </c>
      <c r="GWR30" t="str">
        <f t="shared" si="87"/>
        <v/>
      </c>
      <c r="GWS30" t="str">
        <f t="shared" si="87"/>
        <v/>
      </c>
      <c r="GWT30" t="str">
        <f t="shared" si="87"/>
        <v/>
      </c>
      <c r="GWU30" t="str">
        <f t="shared" si="87"/>
        <v/>
      </c>
      <c r="GWV30" t="str">
        <f t="shared" si="87"/>
        <v/>
      </c>
      <c r="GWW30" t="str">
        <f t="shared" si="87"/>
        <v/>
      </c>
      <c r="GWX30" t="str">
        <f t="shared" si="87"/>
        <v/>
      </c>
      <c r="GWY30" t="str">
        <f t="shared" si="87"/>
        <v/>
      </c>
      <c r="GWZ30" t="str">
        <f t="shared" si="87"/>
        <v/>
      </c>
      <c r="GXA30" t="str">
        <f t="shared" si="87"/>
        <v/>
      </c>
      <c r="GXB30" t="str">
        <f t="shared" si="87"/>
        <v/>
      </c>
      <c r="GXC30" t="str">
        <f t="shared" si="87"/>
        <v/>
      </c>
      <c r="GXD30" t="str">
        <f t="shared" si="87"/>
        <v/>
      </c>
      <c r="GXE30" t="str">
        <f t="shared" si="87"/>
        <v/>
      </c>
      <c r="GXF30" t="str">
        <f t="shared" si="87"/>
        <v/>
      </c>
      <c r="GXG30" t="str">
        <f t="shared" si="87"/>
        <v/>
      </c>
      <c r="GXH30" t="str">
        <f t="shared" si="87"/>
        <v/>
      </c>
      <c r="GXI30" t="str">
        <f t="shared" si="87"/>
        <v/>
      </c>
      <c r="GXJ30" t="str">
        <f t="shared" si="87"/>
        <v/>
      </c>
      <c r="GXK30" t="str">
        <f t="shared" si="87"/>
        <v/>
      </c>
      <c r="GXL30" t="str">
        <f t="shared" si="87"/>
        <v/>
      </c>
      <c r="GXM30" t="str">
        <f t="shared" si="87"/>
        <v/>
      </c>
      <c r="GXN30" t="str">
        <f t="shared" si="87"/>
        <v/>
      </c>
      <c r="GXO30" t="str">
        <f t="shared" si="87"/>
        <v/>
      </c>
      <c r="GXP30" t="str">
        <f t="shared" si="87"/>
        <v/>
      </c>
      <c r="GXQ30" t="str">
        <f t="shared" si="87"/>
        <v/>
      </c>
      <c r="GXR30" t="str">
        <f t="shared" si="87"/>
        <v/>
      </c>
      <c r="GXS30" t="str">
        <f t="shared" si="87"/>
        <v/>
      </c>
      <c r="GXT30" t="str">
        <f t="shared" si="87"/>
        <v/>
      </c>
      <c r="GXU30" t="str">
        <f t="shared" si="87"/>
        <v/>
      </c>
      <c r="GXV30" t="str">
        <f t="shared" si="87"/>
        <v/>
      </c>
      <c r="GXW30" t="str">
        <f t="shared" si="87"/>
        <v/>
      </c>
      <c r="GXX30" t="str">
        <f t="shared" si="87"/>
        <v/>
      </c>
      <c r="GXY30" t="str">
        <f t="shared" si="87"/>
        <v/>
      </c>
      <c r="GXZ30" t="str">
        <f t="shared" si="87"/>
        <v/>
      </c>
      <c r="GYA30" t="str">
        <f t="shared" si="87"/>
        <v/>
      </c>
      <c r="GYB30" t="str">
        <f t="shared" si="87"/>
        <v/>
      </c>
      <c r="GYC30" t="str">
        <f t="shared" si="87"/>
        <v/>
      </c>
      <c r="GYD30" t="str">
        <f t="shared" si="87"/>
        <v/>
      </c>
      <c r="GYE30" t="str">
        <f t="shared" si="87"/>
        <v/>
      </c>
      <c r="GYF30" t="str">
        <f t="shared" si="87"/>
        <v/>
      </c>
      <c r="GYG30" t="str">
        <f t="shared" si="87"/>
        <v/>
      </c>
      <c r="GYH30" t="str">
        <f t="shared" si="87"/>
        <v/>
      </c>
      <c r="GYI30" t="str">
        <f t="shared" si="87"/>
        <v/>
      </c>
      <c r="GYJ30" t="str">
        <f t="shared" ref="GYJ30:HAU30" si="88">TRIM(GYV11)</f>
        <v/>
      </c>
      <c r="GYK30" t="str">
        <f t="shared" si="88"/>
        <v/>
      </c>
      <c r="GYL30" t="str">
        <f t="shared" si="88"/>
        <v/>
      </c>
      <c r="GYM30" t="str">
        <f t="shared" si="88"/>
        <v/>
      </c>
      <c r="GYN30" t="str">
        <f t="shared" si="88"/>
        <v/>
      </c>
      <c r="GYO30" t="str">
        <f t="shared" si="88"/>
        <v/>
      </c>
      <c r="GYP30" t="str">
        <f t="shared" si="88"/>
        <v/>
      </c>
      <c r="GYQ30" t="str">
        <f t="shared" si="88"/>
        <v/>
      </c>
      <c r="GYR30" t="str">
        <f t="shared" si="88"/>
        <v/>
      </c>
      <c r="GYS30" t="str">
        <f t="shared" si="88"/>
        <v/>
      </c>
      <c r="GYT30" t="str">
        <f t="shared" si="88"/>
        <v/>
      </c>
      <c r="GYU30" t="str">
        <f t="shared" si="88"/>
        <v/>
      </c>
      <c r="GYV30" t="str">
        <f t="shared" si="88"/>
        <v/>
      </c>
      <c r="GYW30" t="str">
        <f t="shared" si="88"/>
        <v/>
      </c>
      <c r="GYX30" t="str">
        <f t="shared" si="88"/>
        <v/>
      </c>
      <c r="GYY30" t="str">
        <f t="shared" si="88"/>
        <v/>
      </c>
      <c r="GYZ30" t="str">
        <f t="shared" si="88"/>
        <v/>
      </c>
      <c r="GZA30" t="str">
        <f t="shared" si="88"/>
        <v/>
      </c>
      <c r="GZB30" t="str">
        <f t="shared" si="88"/>
        <v/>
      </c>
      <c r="GZC30" t="str">
        <f t="shared" si="88"/>
        <v/>
      </c>
      <c r="GZD30" t="str">
        <f t="shared" si="88"/>
        <v/>
      </c>
      <c r="GZE30" t="str">
        <f t="shared" si="88"/>
        <v/>
      </c>
      <c r="GZF30" t="str">
        <f t="shared" si="88"/>
        <v/>
      </c>
      <c r="GZG30" t="str">
        <f t="shared" si="88"/>
        <v/>
      </c>
      <c r="GZH30" t="str">
        <f t="shared" si="88"/>
        <v/>
      </c>
      <c r="GZI30" t="str">
        <f t="shared" si="88"/>
        <v/>
      </c>
      <c r="GZJ30" t="str">
        <f t="shared" si="88"/>
        <v/>
      </c>
      <c r="GZK30" t="str">
        <f t="shared" si="88"/>
        <v/>
      </c>
      <c r="GZL30" t="str">
        <f t="shared" si="88"/>
        <v/>
      </c>
      <c r="GZM30" t="str">
        <f t="shared" si="88"/>
        <v/>
      </c>
      <c r="GZN30" t="str">
        <f t="shared" si="88"/>
        <v/>
      </c>
      <c r="GZO30" t="str">
        <f t="shared" si="88"/>
        <v/>
      </c>
      <c r="GZP30" t="str">
        <f t="shared" si="88"/>
        <v/>
      </c>
      <c r="GZQ30" t="str">
        <f t="shared" si="88"/>
        <v/>
      </c>
      <c r="GZR30" t="str">
        <f t="shared" si="88"/>
        <v/>
      </c>
      <c r="GZS30" t="str">
        <f t="shared" si="88"/>
        <v/>
      </c>
      <c r="GZT30" t="str">
        <f t="shared" si="88"/>
        <v/>
      </c>
      <c r="GZU30" t="str">
        <f t="shared" si="88"/>
        <v/>
      </c>
      <c r="GZV30" t="str">
        <f t="shared" si="88"/>
        <v/>
      </c>
      <c r="GZW30" t="str">
        <f t="shared" si="88"/>
        <v/>
      </c>
      <c r="GZX30" t="str">
        <f t="shared" si="88"/>
        <v/>
      </c>
      <c r="GZY30" t="str">
        <f t="shared" si="88"/>
        <v/>
      </c>
      <c r="GZZ30" t="str">
        <f t="shared" si="88"/>
        <v/>
      </c>
      <c r="HAA30" t="str">
        <f t="shared" si="88"/>
        <v/>
      </c>
      <c r="HAB30" t="str">
        <f t="shared" si="88"/>
        <v/>
      </c>
      <c r="HAC30" t="str">
        <f t="shared" si="88"/>
        <v/>
      </c>
      <c r="HAD30" t="str">
        <f t="shared" si="88"/>
        <v/>
      </c>
      <c r="HAE30" t="str">
        <f t="shared" si="88"/>
        <v/>
      </c>
      <c r="HAF30" t="str">
        <f t="shared" si="88"/>
        <v/>
      </c>
      <c r="HAG30" t="str">
        <f t="shared" si="88"/>
        <v/>
      </c>
      <c r="HAH30" t="str">
        <f t="shared" si="88"/>
        <v/>
      </c>
      <c r="HAI30" t="str">
        <f t="shared" si="88"/>
        <v/>
      </c>
      <c r="HAJ30" t="str">
        <f t="shared" si="88"/>
        <v/>
      </c>
      <c r="HAK30" t="str">
        <f t="shared" si="88"/>
        <v/>
      </c>
      <c r="HAL30" t="str">
        <f t="shared" si="88"/>
        <v/>
      </c>
      <c r="HAM30" t="str">
        <f t="shared" si="88"/>
        <v/>
      </c>
      <c r="HAN30" t="str">
        <f t="shared" si="88"/>
        <v/>
      </c>
      <c r="HAO30" t="str">
        <f t="shared" si="88"/>
        <v/>
      </c>
      <c r="HAP30" t="str">
        <f t="shared" si="88"/>
        <v/>
      </c>
      <c r="HAQ30" t="str">
        <f t="shared" si="88"/>
        <v/>
      </c>
      <c r="HAR30" t="str">
        <f t="shared" si="88"/>
        <v/>
      </c>
      <c r="HAS30" t="str">
        <f t="shared" si="88"/>
        <v/>
      </c>
      <c r="HAT30" t="str">
        <f t="shared" si="88"/>
        <v/>
      </c>
      <c r="HAU30" t="str">
        <f t="shared" si="88"/>
        <v/>
      </c>
      <c r="HAV30" t="str">
        <f t="shared" ref="HAV30:HDG30" si="89">TRIM(HBH11)</f>
        <v/>
      </c>
      <c r="HAW30" t="str">
        <f t="shared" si="89"/>
        <v/>
      </c>
      <c r="HAX30" t="str">
        <f t="shared" si="89"/>
        <v/>
      </c>
      <c r="HAY30" t="str">
        <f t="shared" si="89"/>
        <v/>
      </c>
      <c r="HAZ30" t="str">
        <f t="shared" si="89"/>
        <v/>
      </c>
      <c r="HBA30" t="str">
        <f t="shared" si="89"/>
        <v/>
      </c>
      <c r="HBB30" t="str">
        <f t="shared" si="89"/>
        <v/>
      </c>
      <c r="HBC30" t="str">
        <f t="shared" si="89"/>
        <v/>
      </c>
      <c r="HBD30" t="str">
        <f t="shared" si="89"/>
        <v/>
      </c>
      <c r="HBE30" t="str">
        <f t="shared" si="89"/>
        <v/>
      </c>
      <c r="HBF30" t="str">
        <f t="shared" si="89"/>
        <v/>
      </c>
      <c r="HBG30" t="str">
        <f t="shared" si="89"/>
        <v/>
      </c>
      <c r="HBH30" t="str">
        <f t="shared" si="89"/>
        <v/>
      </c>
      <c r="HBI30" t="str">
        <f t="shared" si="89"/>
        <v/>
      </c>
      <c r="HBJ30" t="str">
        <f t="shared" si="89"/>
        <v/>
      </c>
      <c r="HBK30" t="str">
        <f t="shared" si="89"/>
        <v/>
      </c>
      <c r="HBL30" t="str">
        <f t="shared" si="89"/>
        <v/>
      </c>
      <c r="HBM30" t="str">
        <f t="shared" si="89"/>
        <v/>
      </c>
      <c r="HBN30" t="str">
        <f t="shared" si="89"/>
        <v/>
      </c>
      <c r="HBO30" t="str">
        <f t="shared" si="89"/>
        <v/>
      </c>
      <c r="HBP30" t="str">
        <f t="shared" si="89"/>
        <v/>
      </c>
      <c r="HBQ30" t="str">
        <f t="shared" si="89"/>
        <v/>
      </c>
      <c r="HBR30" t="str">
        <f t="shared" si="89"/>
        <v/>
      </c>
      <c r="HBS30" t="str">
        <f t="shared" si="89"/>
        <v/>
      </c>
      <c r="HBT30" t="str">
        <f t="shared" si="89"/>
        <v/>
      </c>
      <c r="HBU30" t="str">
        <f t="shared" si="89"/>
        <v/>
      </c>
      <c r="HBV30" t="str">
        <f t="shared" si="89"/>
        <v/>
      </c>
      <c r="HBW30" t="str">
        <f t="shared" si="89"/>
        <v/>
      </c>
      <c r="HBX30" t="str">
        <f t="shared" si="89"/>
        <v/>
      </c>
      <c r="HBY30" t="str">
        <f t="shared" si="89"/>
        <v/>
      </c>
      <c r="HBZ30" t="str">
        <f t="shared" si="89"/>
        <v/>
      </c>
      <c r="HCA30" t="str">
        <f t="shared" si="89"/>
        <v/>
      </c>
      <c r="HCB30" t="str">
        <f t="shared" si="89"/>
        <v/>
      </c>
      <c r="HCC30" t="str">
        <f t="shared" si="89"/>
        <v/>
      </c>
      <c r="HCD30" t="str">
        <f t="shared" si="89"/>
        <v/>
      </c>
      <c r="HCE30" t="str">
        <f t="shared" si="89"/>
        <v/>
      </c>
      <c r="HCF30" t="str">
        <f t="shared" si="89"/>
        <v/>
      </c>
      <c r="HCG30" t="str">
        <f t="shared" si="89"/>
        <v/>
      </c>
      <c r="HCH30" t="str">
        <f t="shared" si="89"/>
        <v/>
      </c>
      <c r="HCI30" t="str">
        <f t="shared" si="89"/>
        <v/>
      </c>
      <c r="HCJ30" t="str">
        <f t="shared" si="89"/>
        <v/>
      </c>
      <c r="HCK30" t="str">
        <f t="shared" si="89"/>
        <v/>
      </c>
      <c r="HCL30" t="str">
        <f t="shared" si="89"/>
        <v/>
      </c>
      <c r="HCM30" t="str">
        <f t="shared" si="89"/>
        <v/>
      </c>
      <c r="HCN30" t="str">
        <f t="shared" si="89"/>
        <v/>
      </c>
      <c r="HCO30" t="str">
        <f t="shared" si="89"/>
        <v/>
      </c>
      <c r="HCP30" t="str">
        <f t="shared" si="89"/>
        <v/>
      </c>
      <c r="HCQ30" t="str">
        <f t="shared" si="89"/>
        <v/>
      </c>
      <c r="HCR30" t="str">
        <f t="shared" si="89"/>
        <v/>
      </c>
      <c r="HCS30" t="str">
        <f t="shared" si="89"/>
        <v/>
      </c>
      <c r="HCT30" t="str">
        <f t="shared" si="89"/>
        <v/>
      </c>
      <c r="HCU30" t="str">
        <f t="shared" si="89"/>
        <v/>
      </c>
      <c r="HCV30" t="str">
        <f t="shared" si="89"/>
        <v/>
      </c>
      <c r="HCW30" t="str">
        <f t="shared" si="89"/>
        <v/>
      </c>
      <c r="HCX30" t="str">
        <f t="shared" si="89"/>
        <v/>
      </c>
      <c r="HCY30" t="str">
        <f t="shared" si="89"/>
        <v/>
      </c>
      <c r="HCZ30" t="str">
        <f t="shared" si="89"/>
        <v/>
      </c>
      <c r="HDA30" t="str">
        <f t="shared" si="89"/>
        <v/>
      </c>
      <c r="HDB30" t="str">
        <f t="shared" si="89"/>
        <v/>
      </c>
      <c r="HDC30" t="str">
        <f t="shared" si="89"/>
        <v/>
      </c>
      <c r="HDD30" t="str">
        <f t="shared" si="89"/>
        <v/>
      </c>
      <c r="HDE30" t="str">
        <f t="shared" si="89"/>
        <v/>
      </c>
      <c r="HDF30" t="str">
        <f t="shared" si="89"/>
        <v/>
      </c>
      <c r="HDG30" t="str">
        <f t="shared" si="89"/>
        <v/>
      </c>
      <c r="HDH30" t="str">
        <f t="shared" ref="HDH30:HFS30" si="90">TRIM(HDT11)</f>
        <v/>
      </c>
      <c r="HDI30" t="str">
        <f t="shared" si="90"/>
        <v/>
      </c>
      <c r="HDJ30" t="str">
        <f t="shared" si="90"/>
        <v/>
      </c>
      <c r="HDK30" t="str">
        <f t="shared" si="90"/>
        <v/>
      </c>
      <c r="HDL30" t="str">
        <f t="shared" si="90"/>
        <v/>
      </c>
      <c r="HDM30" t="str">
        <f t="shared" si="90"/>
        <v/>
      </c>
      <c r="HDN30" t="str">
        <f t="shared" si="90"/>
        <v/>
      </c>
      <c r="HDO30" t="str">
        <f t="shared" si="90"/>
        <v/>
      </c>
      <c r="HDP30" t="str">
        <f t="shared" si="90"/>
        <v/>
      </c>
      <c r="HDQ30" t="str">
        <f t="shared" si="90"/>
        <v/>
      </c>
      <c r="HDR30" t="str">
        <f t="shared" si="90"/>
        <v/>
      </c>
      <c r="HDS30" t="str">
        <f t="shared" si="90"/>
        <v/>
      </c>
      <c r="HDT30" t="str">
        <f t="shared" si="90"/>
        <v/>
      </c>
      <c r="HDU30" t="str">
        <f t="shared" si="90"/>
        <v/>
      </c>
      <c r="HDV30" t="str">
        <f t="shared" si="90"/>
        <v/>
      </c>
      <c r="HDW30" t="str">
        <f t="shared" si="90"/>
        <v/>
      </c>
      <c r="HDX30" t="str">
        <f t="shared" si="90"/>
        <v/>
      </c>
      <c r="HDY30" t="str">
        <f t="shared" si="90"/>
        <v/>
      </c>
      <c r="HDZ30" t="str">
        <f t="shared" si="90"/>
        <v/>
      </c>
      <c r="HEA30" t="str">
        <f t="shared" si="90"/>
        <v/>
      </c>
      <c r="HEB30" t="str">
        <f t="shared" si="90"/>
        <v/>
      </c>
      <c r="HEC30" t="str">
        <f t="shared" si="90"/>
        <v/>
      </c>
      <c r="HED30" t="str">
        <f t="shared" si="90"/>
        <v/>
      </c>
      <c r="HEE30" t="str">
        <f t="shared" si="90"/>
        <v/>
      </c>
      <c r="HEF30" t="str">
        <f t="shared" si="90"/>
        <v/>
      </c>
      <c r="HEG30" t="str">
        <f t="shared" si="90"/>
        <v/>
      </c>
      <c r="HEH30" t="str">
        <f t="shared" si="90"/>
        <v/>
      </c>
      <c r="HEI30" t="str">
        <f t="shared" si="90"/>
        <v/>
      </c>
      <c r="HEJ30" t="str">
        <f t="shared" si="90"/>
        <v/>
      </c>
      <c r="HEK30" t="str">
        <f t="shared" si="90"/>
        <v/>
      </c>
      <c r="HEL30" t="str">
        <f t="shared" si="90"/>
        <v/>
      </c>
      <c r="HEM30" t="str">
        <f t="shared" si="90"/>
        <v/>
      </c>
      <c r="HEN30" t="str">
        <f t="shared" si="90"/>
        <v/>
      </c>
      <c r="HEO30" t="str">
        <f t="shared" si="90"/>
        <v/>
      </c>
      <c r="HEP30" t="str">
        <f t="shared" si="90"/>
        <v/>
      </c>
      <c r="HEQ30" t="str">
        <f t="shared" si="90"/>
        <v/>
      </c>
      <c r="HER30" t="str">
        <f t="shared" si="90"/>
        <v/>
      </c>
      <c r="HES30" t="str">
        <f t="shared" si="90"/>
        <v/>
      </c>
      <c r="HET30" t="str">
        <f t="shared" si="90"/>
        <v/>
      </c>
      <c r="HEU30" t="str">
        <f t="shared" si="90"/>
        <v/>
      </c>
      <c r="HEV30" t="str">
        <f t="shared" si="90"/>
        <v/>
      </c>
      <c r="HEW30" t="str">
        <f t="shared" si="90"/>
        <v/>
      </c>
      <c r="HEX30" t="str">
        <f t="shared" si="90"/>
        <v/>
      </c>
      <c r="HEY30" t="str">
        <f t="shared" si="90"/>
        <v/>
      </c>
      <c r="HEZ30" t="str">
        <f t="shared" si="90"/>
        <v/>
      </c>
      <c r="HFA30" t="str">
        <f t="shared" si="90"/>
        <v/>
      </c>
      <c r="HFB30" t="str">
        <f t="shared" si="90"/>
        <v/>
      </c>
      <c r="HFC30" t="str">
        <f t="shared" si="90"/>
        <v/>
      </c>
      <c r="HFD30" t="str">
        <f t="shared" si="90"/>
        <v/>
      </c>
      <c r="HFE30" t="str">
        <f t="shared" si="90"/>
        <v/>
      </c>
      <c r="HFF30" t="str">
        <f t="shared" si="90"/>
        <v/>
      </c>
      <c r="HFG30" t="str">
        <f t="shared" si="90"/>
        <v/>
      </c>
      <c r="HFH30" t="str">
        <f t="shared" si="90"/>
        <v/>
      </c>
      <c r="HFI30" t="str">
        <f t="shared" si="90"/>
        <v/>
      </c>
      <c r="HFJ30" t="str">
        <f t="shared" si="90"/>
        <v/>
      </c>
      <c r="HFK30" t="str">
        <f t="shared" si="90"/>
        <v/>
      </c>
      <c r="HFL30" t="str">
        <f t="shared" si="90"/>
        <v/>
      </c>
      <c r="HFM30" t="str">
        <f t="shared" si="90"/>
        <v/>
      </c>
      <c r="HFN30" t="str">
        <f t="shared" si="90"/>
        <v/>
      </c>
      <c r="HFO30" t="str">
        <f t="shared" si="90"/>
        <v/>
      </c>
      <c r="HFP30" t="str">
        <f t="shared" si="90"/>
        <v/>
      </c>
      <c r="HFQ30" t="str">
        <f t="shared" si="90"/>
        <v/>
      </c>
      <c r="HFR30" t="str">
        <f t="shared" si="90"/>
        <v/>
      </c>
      <c r="HFS30" t="str">
        <f t="shared" si="90"/>
        <v/>
      </c>
      <c r="HFT30" t="str">
        <f t="shared" ref="HFT30:HIE30" si="91">TRIM(HGF11)</f>
        <v/>
      </c>
      <c r="HFU30" t="str">
        <f t="shared" si="91"/>
        <v/>
      </c>
      <c r="HFV30" t="str">
        <f t="shared" si="91"/>
        <v/>
      </c>
      <c r="HFW30" t="str">
        <f t="shared" si="91"/>
        <v/>
      </c>
      <c r="HFX30" t="str">
        <f t="shared" si="91"/>
        <v/>
      </c>
      <c r="HFY30" t="str">
        <f t="shared" si="91"/>
        <v/>
      </c>
      <c r="HFZ30" t="str">
        <f t="shared" si="91"/>
        <v/>
      </c>
      <c r="HGA30" t="str">
        <f t="shared" si="91"/>
        <v/>
      </c>
      <c r="HGB30" t="str">
        <f t="shared" si="91"/>
        <v/>
      </c>
      <c r="HGC30" t="str">
        <f t="shared" si="91"/>
        <v/>
      </c>
      <c r="HGD30" t="str">
        <f t="shared" si="91"/>
        <v/>
      </c>
      <c r="HGE30" t="str">
        <f t="shared" si="91"/>
        <v/>
      </c>
      <c r="HGF30" t="str">
        <f t="shared" si="91"/>
        <v/>
      </c>
      <c r="HGG30" t="str">
        <f t="shared" si="91"/>
        <v/>
      </c>
      <c r="HGH30" t="str">
        <f t="shared" si="91"/>
        <v/>
      </c>
      <c r="HGI30" t="str">
        <f t="shared" si="91"/>
        <v/>
      </c>
      <c r="HGJ30" t="str">
        <f t="shared" si="91"/>
        <v/>
      </c>
      <c r="HGK30" t="str">
        <f t="shared" si="91"/>
        <v/>
      </c>
      <c r="HGL30" t="str">
        <f t="shared" si="91"/>
        <v/>
      </c>
      <c r="HGM30" t="str">
        <f t="shared" si="91"/>
        <v/>
      </c>
      <c r="HGN30" t="str">
        <f t="shared" si="91"/>
        <v/>
      </c>
      <c r="HGO30" t="str">
        <f t="shared" si="91"/>
        <v/>
      </c>
      <c r="HGP30" t="str">
        <f t="shared" si="91"/>
        <v/>
      </c>
      <c r="HGQ30" t="str">
        <f t="shared" si="91"/>
        <v/>
      </c>
      <c r="HGR30" t="str">
        <f t="shared" si="91"/>
        <v/>
      </c>
      <c r="HGS30" t="str">
        <f t="shared" si="91"/>
        <v/>
      </c>
      <c r="HGT30" t="str">
        <f t="shared" si="91"/>
        <v/>
      </c>
      <c r="HGU30" t="str">
        <f t="shared" si="91"/>
        <v/>
      </c>
      <c r="HGV30" t="str">
        <f t="shared" si="91"/>
        <v/>
      </c>
      <c r="HGW30" t="str">
        <f t="shared" si="91"/>
        <v/>
      </c>
      <c r="HGX30" t="str">
        <f t="shared" si="91"/>
        <v/>
      </c>
      <c r="HGY30" t="str">
        <f t="shared" si="91"/>
        <v/>
      </c>
      <c r="HGZ30" t="str">
        <f t="shared" si="91"/>
        <v/>
      </c>
      <c r="HHA30" t="str">
        <f t="shared" si="91"/>
        <v/>
      </c>
      <c r="HHB30" t="str">
        <f t="shared" si="91"/>
        <v/>
      </c>
      <c r="HHC30" t="str">
        <f t="shared" si="91"/>
        <v/>
      </c>
      <c r="HHD30" t="str">
        <f t="shared" si="91"/>
        <v/>
      </c>
      <c r="HHE30" t="str">
        <f t="shared" si="91"/>
        <v/>
      </c>
      <c r="HHF30" t="str">
        <f t="shared" si="91"/>
        <v/>
      </c>
      <c r="HHG30" t="str">
        <f t="shared" si="91"/>
        <v/>
      </c>
      <c r="HHH30" t="str">
        <f t="shared" si="91"/>
        <v/>
      </c>
      <c r="HHI30" t="str">
        <f t="shared" si="91"/>
        <v/>
      </c>
      <c r="HHJ30" t="str">
        <f t="shared" si="91"/>
        <v/>
      </c>
      <c r="HHK30" t="str">
        <f t="shared" si="91"/>
        <v/>
      </c>
      <c r="HHL30" t="str">
        <f t="shared" si="91"/>
        <v/>
      </c>
      <c r="HHM30" t="str">
        <f t="shared" si="91"/>
        <v/>
      </c>
      <c r="HHN30" t="str">
        <f t="shared" si="91"/>
        <v/>
      </c>
      <c r="HHO30" t="str">
        <f t="shared" si="91"/>
        <v/>
      </c>
      <c r="HHP30" t="str">
        <f t="shared" si="91"/>
        <v/>
      </c>
      <c r="HHQ30" t="str">
        <f t="shared" si="91"/>
        <v/>
      </c>
      <c r="HHR30" t="str">
        <f t="shared" si="91"/>
        <v/>
      </c>
      <c r="HHS30" t="str">
        <f t="shared" si="91"/>
        <v/>
      </c>
      <c r="HHT30" t="str">
        <f t="shared" si="91"/>
        <v/>
      </c>
      <c r="HHU30" t="str">
        <f t="shared" si="91"/>
        <v/>
      </c>
      <c r="HHV30" t="str">
        <f t="shared" si="91"/>
        <v/>
      </c>
      <c r="HHW30" t="str">
        <f t="shared" si="91"/>
        <v/>
      </c>
      <c r="HHX30" t="str">
        <f t="shared" si="91"/>
        <v/>
      </c>
      <c r="HHY30" t="str">
        <f t="shared" si="91"/>
        <v/>
      </c>
      <c r="HHZ30" t="str">
        <f t="shared" si="91"/>
        <v/>
      </c>
      <c r="HIA30" t="str">
        <f t="shared" si="91"/>
        <v/>
      </c>
      <c r="HIB30" t="str">
        <f t="shared" si="91"/>
        <v/>
      </c>
      <c r="HIC30" t="str">
        <f t="shared" si="91"/>
        <v/>
      </c>
      <c r="HID30" t="str">
        <f t="shared" si="91"/>
        <v/>
      </c>
      <c r="HIE30" t="str">
        <f t="shared" si="91"/>
        <v/>
      </c>
      <c r="HIF30" t="str">
        <f t="shared" ref="HIF30:HKQ30" si="92">TRIM(HIR11)</f>
        <v/>
      </c>
      <c r="HIG30" t="str">
        <f t="shared" si="92"/>
        <v/>
      </c>
      <c r="HIH30" t="str">
        <f t="shared" si="92"/>
        <v/>
      </c>
      <c r="HII30" t="str">
        <f t="shared" si="92"/>
        <v/>
      </c>
      <c r="HIJ30" t="str">
        <f t="shared" si="92"/>
        <v/>
      </c>
      <c r="HIK30" t="str">
        <f t="shared" si="92"/>
        <v/>
      </c>
      <c r="HIL30" t="str">
        <f t="shared" si="92"/>
        <v/>
      </c>
      <c r="HIM30" t="str">
        <f t="shared" si="92"/>
        <v/>
      </c>
      <c r="HIN30" t="str">
        <f t="shared" si="92"/>
        <v/>
      </c>
      <c r="HIO30" t="str">
        <f t="shared" si="92"/>
        <v/>
      </c>
      <c r="HIP30" t="str">
        <f t="shared" si="92"/>
        <v/>
      </c>
      <c r="HIQ30" t="str">
        <f t="shared" si="92"/>
        <v/>
      </c>
      <c r="HIR30" t="str">
        <f t="shared" si="92"/>
        <v/>
      </c>
      <c r="HIS30" t="str">
        <f t="shared" si="92"/>
        <v/>
      </c>
      <c r="HIT30" t="str">
        <f t="shared" si="92"/>
        <v/>
      </c>
      <c r="HIU30" t="str">
        <f t="shared" si="92"/>
        <v/>
      </c>
      <c r="HIV30" t="str">
        <f t="shared" si="92"/>
        <v/>
      </c>
      <c r="HIW30" t="str">
        <f t="shared" si="92"/>
        <v/>
      </c>
      <c r="HIX30" t="str">
        <f t="shared" si="92"/>
        <v/>
      </c>
      <c r="HIY30" t="str">
        <f t="shared" si="92"/>
        <v/>
      </c>
      <c r="HIZ30" t="str">
        <f t="shared" si="92"/>
        <v/>
      </c>
      <c r="HJA30" t="str">
        <f t="shared" si="92"/>
        <v/>
      </c>
      <c r="HJB30" t="str">
        <f t="shared" si="92"/>
        <v/>
      </c>
      <c r="HJC30" t="str">
        <f t="shared" si="92"/>
        <v/>
      </c>
      <c r="HJD30" t="str">
        <f t="shared" si="92"/>
        <v/>
      </c>
      <c r="HJE30" t="str">
        <f t="shared" si="92"/>
        <v/>
      </c>
      <c r="HJF30" t="str">
        <f t="shared" si="92"/>
        <v/>
      </c>
      <c r="HJG30" t="str">
        <f t="shared" si="92"/>
        <v/>
      </c>
      <c r="HJH30" t="str">
        <f t="shared" si="92"/>
        <v/>
      </c>
      <c r="HJI30" t="str">
        <f t="shared" si="92"/>
        <v/>
      </c>
      <c r="HJJ30" t="str">
        <f t="shared" si="92"/>
        <v/>
      </c>
      <c r="HJK30" t="str">
        <f t="shared" si="92"/>
        <v/>
      </c>
      <c r="HJL30" t="str">
        <f t="shared" si="92"/>
        <v/>
      </c>
      <c r="HJM30" t="str">
        <f t="shared" si="92"/>
        <v/>
      </c>
      <c r="HJN30" t="str">
        <f t="shared" si="92"/>
        <v/>
      </c>
      <c r="HJO30" t="str">
        <f t="shared" si="92"/>
        <v/>
      </c>
      <c r="HJP30" t="str">
        <f t="shared" si="92"/>
        <v/>
      </c>
      <c r="HJQ30" t="str">
        <f t="shared" si="92"/>
        <v/>
      </c>
      <c r="HJR30" t="str">
        <f t="shared" si="92"/>
        <v/>
      </c>
      <c r="HJS30" t="str">
        <f t="shared" si="92"/>
        <v/>
      </c>
      <c r="HJT30" t="str">
        <f t="shared" si="92"/>
        <v/>
      </c>
      <c r="HJU30" t="str">
        <f t="shared" si="92"/>
        <v/>
      </c>
      <c r="HJV30" t="str">
        <f t="shared" si="92"/>
        <v/>
      </c>
      <c r="HJW30" t="str">
        <f t="shared" si="92"/>
        <v/>
      </c>
      <c r="HJX30" t="str">
        <f t="shared" si="92"/>
        <v/>
      </c>
      <c r="HJY30" t="str">
        <f t="shared" si="92"/>
        <v/>
      </c>
      <c r="HJZ30" t="str">
        <f t="shared" si="92"/>
        <v/>
      </c>
      <c r="HKA30" t="str">
        <f t="shared" si="92"/>
        <v/>
      </c>
      <c r="HKB30" t="str">
        <f t="shared" si="92"/>
        <v/>
      </c>
      <c r="HKC30" t="str">
        <f t="shared" si="92"/>
        <v/>
      </c>
      <c r="HKD30" t="str">
        <f t="shared" si="92"/>
        <v/>
      </c>
      <c r="HKE30" t="str">
        <f t="shared" si="92"/>
        <v/>
      </c>
      <c r="HKF30" t="str">
        <f t="shared" si="92"/>
        <v/>
      </c>
      <c r="HKG30" t="str">
        <f t="shared" si="92"/>
        <v/>
      </c>
      <c r="HKH30" t="str">
        <f t="shared" si="92"/>
        <v/>
      </c>
      <c r="HKI30" t="str">
        <f t="shared" si="92"/>
        <v/>
      </c>
      <c r="HKJ30" t="str">
        <f t="shared" si="92"/>
        <v/>
      </c>
      <c r="HKK30" t="str">
        <f t="shared" si="92"/>
        <v/>
      </c>
      <c r="HKL30" t="str">
        <f t="shared" si="92"/>
        <v/>
      </c>
      <c r="HKM30" t="str">
        <f t="shared" si="92"/>
        <v/>
      </c>
      <c r="HKN30" t="str">
        <f t="shared" si="92"/>
        <v/>
      </c>
      <c r="HKO30" t="str">
        <f t="shared" si="92"/>
        <v/>
      </c>
      <c r="HKP30" t="str">
        <f t="shared" si="92"/>
        <v/>
      </c>
      <c r="HKQ30" t="str">
        <f t="shared" si="92"/>
        <v/>
      </c>
      <c r="HKR30" t="str">
        <f t="shared" ref="HKR30:HNC30" si="93">TRIM(HLD11)</f>
        <v/>
      </c>
      <c r="HKS30" t="str">
        <f t="shared" si="93"/>
        <v/>
      </c>
      <c r="HKT30" t="str">
        <f t="shared" si="93"/>
        <v/>
      </c>
      <c r="HKU30" t="str">
        <f t="shared" si="93"/>
        <v/>
      </c>
      <c r="HKV30" t="str">
        <f t="shared" si="93"/>
        <v/>
      </c>
      <c r="HKW30" t="str">
        <f t="shared" si="93"/>
        <v/>
      </c>
      <c r="HKX30" t="str">
        <f t="shared" si="93"/>
        <v/>
      </c>
      <c r="HKY30" t="str">
        <f t="shared" si="93"/>
        <v/>
      </c>
      <c r="HKZ30" t="str">
        <f t="shared" si="93"/>
        <v/>
      </c>
      <c r="HLA30" t="str">
        <f t="shared" si="93"/>
        <v/>
      </c>
      <c r="HLB30" t="str">
        <f t="shared" si="93"/>
        <v/>
      </c>
      <c r="HLC30" t="str">
        <f t="shared" si="93"/>
        <v/>
      </c>
      <c r="HLD30" t="str">
        <f t="shared" si="93"/>
        <v/>
      </c>
      <c r="HLE30" t="str">
        <f t="shared" si="93"/>
        <v/>
      </c>
      <c r="HLF30" t="str">
        <f t="shared" si="93"/>
        <v/>
      </c>
      <c r="HLG30" t="str">
        <f t="shared" si="93"/>
        <v/>
      </c>
      <c r="HLH30" t="str">
        <f t="shared" si="93"/>
        <v/>
      </c>
      <c r="HLI30" t="str">
        <f t="shared" si="93"/>
        <v/>
      </c>
      <c r="HLJ30" t="str">
        <f t="shared" si="93"/>
        <v/>
      </c>
      <c r="HLK30" t="str">
        <f t="shared" si="93"/>
        <v/>
      </c>
      <c r="HLL30" t="str">
        <f t="shared" si="93"/>
        <v/>
      </c>
      <c r="HLM30" t="str">
        <f t="shared" si="93"/>
        <v/>
      </c>
      <c r="HLN30" t="str">
        <f t="shared" si="93"/>
        <v/>
      </c>
      <c r="HLO30" t="str">
        <f t="shared" si="93"/>
        <v/>
      </c>
      <c r="HLP30" t="str">
        <f t="shared" si="93"/>
        <v/>
      </c>
      <c r="HLQ30" t="str">
        <f t="shared" si="93"/>
        <v/>
      </c>
      <c r="HLR30" t="str">
        <f t="shared" si="93"/>
        <v/>
      </c>
      <c r="HLS30" t="str">
        <f t="shared" si="93"/>
        <v/>
      </c>
      <c r="HLT30" t="str">
        <f t="shared" si="93"/>
        <v/>
      </c>
      <c r="HLU30" t="str">
        <f t="shared" si="93"/>
        <v/>
      </c>
      <c r="HLV30" t="str">
        <f t="shared" si="93"/>
        <v/>
      </c>
      <c r="HLW30" t="str">
        <f t="shared" si="93"/>
        <v/>
      </c>
      <c r="HLX30" t="str">
        <f t="shared" si="93"/>
        <v/>
      </c>
      <c r="HLY30" t="str">
        <f t="shared" si="93"/>
        <v/>
      </c>
      <c r="HLZ30" t="str">
        <f t="shared" si="93"/>
        <v/>
      </c>
      <c r="HMA30" t="str">
        <f t="shared" si="93"/>
        <v/>
      </c>
      <c r="HMB30" t="str">
        <f t="shared" si="93"/>
        <v/>
      </c>
      <c r="HMC30" t="str">
        <f t="shared" si="93"/>
        <v/>
      </c>
      <c r="HMD30" t="str">
        <f t="shared" si="93"/>
        <v/>
      </c>
      <c r="HME30" t="str">
        <f t="shared" si="93"/>
        <v/>
      </c>
      <c r="HMF30" t="str">
        <f t="shared" si="93"/>
        <v/>
      </c>
      <c r="HMG30" t="str">
        <f t="shared" si="93"/>
        <v/>
      </c>
      <c r="HMH30" t="str">
        <f t="shared" si="93"/>
        <v/>
      </c>
      <c r="HMI30" t="str">
        <f t="shared" si="93"/>
        <v/>
      </c>
      <c r="HMJ30" t="str">
        <f t="shared" si="93"/>
        <v/>
      </c>
      <c r="HMK30" t="str">
        <f t="shared" si="93"/>
        <v/>
      </c>
      <c r="HML30" t="str">
        <f t="shared" si="93"/>
        <v/>
      </c>
      <c r="HMM30" t="str">
        <f t="shared" si="93"/>
        <v/>
      </c>
      <c r="HMN30" t="str">
        <f t="shared" si="93"/>
        <v/>
      </c>
      <c r="HMO30" t="str">
        <f t="shared" si="93"/>
        <v/>
      </c>
      <c r="HMP30" t="str">
        <f t="shared" si="93"/>
        <v/>
      </c>
      <c r="HMQ30" t="str">
        <f t="shared" si="93"/>
        <v/>
      </c>
      <c r="HMR30" t="str">
        <f t="shared" si="93"/>
        <v/>
      </c>
      <c r="HMS30" t="str">
        <f t="shared" si="93"/>
        <v/>
      </c>
      <c r="HMT30" t="str">
        <f t="shared" si="93"/>
        <v/>
      </c>
      <c r="HMU30" t="str">
        <f t="shared" si="93"/>
        <v/>
      </c>
      <c r="HMV30" t="str">
        <f t="shared" si="93"/>
        <v/>
      </c>
      <c r="HMW30" t="str">
        <f t="shared" si="93"/>
        <v/>
      </c>
      <c r="HMX30" t="str">
        <f t="shared" si="93"/>
        <v/>
      </c>
      <c r="HMY30" t="str">
        <f t="shared" si="93"/>
        <v/>
      </c>
      <c r="HMZ30" t="str">
        <f t="shared" si="93"/>
        <v/>
      </c>
      <c r="HNA30" t="str">
        <f t="shared" si="93"/>
        <v/>
      </c>
      <c r="HNB30" t="str">
        <f t="shared" si="93"/>
        <v/>
      </c>
      <c r="HNC30" t="str">
        <f t="shared" si="93"/>
        <v/>
      </c>
      <c r="HND30" t="str">
        <f t="shared" ref="HND30:HPO30" si="94">TRIM(HNP11)</f>
        <v/>
      </c>
      <c r="HNE30" t="str">
        <f t="shared" si="94"/>
        <v/>
      </c>
      <c r="HNF30" t="str">
        <f t="shared" si="94"/>
        <v/>
      </c>
      <c r="HNG30" t="str">
        <f t="shared" si="94"/>
        <v/>
      </c>
      <c r="HNH30" t="str">
        <f t="shared" si="94"/>
        <v/>
      </c>
      <c r="HNI30" t="str">
        <f t="shared" si="94"/>
        <v/>
      </c>
      <c r="HNJ30" t="str">
        <f t="shared" si="94"/>
        <v/>
      </c>
      <c r="HNK30" t="str">
        <f t="shared" si="94"/>
        <v/>
      </c>
      <c r="HNL30" t="str">
        <f t="shared" si="94"/>
        <v/>
      </c>
      <c r="HNM30" t="str">
        <f t="shared" si="94"/>
        <v/>
      </c>
      <c r="HNN30" t="str">
        <f t="shared" si="94"/>
        <v/>
      </c>
      <c r="HNO30" t="str">
        <f t="shared" si="94"/>
        <v/>
      </c>
      <c r="HNP30" t="str">
        <f t="shared" si="94"/>
        <v/>
      </c>
      <c r="HNQ30" t="str">
        <f t="shared" si="94"/>
        <v/>
      </c>
      <c r="HNR30" t="str">
        <f t="shared" si="94"/>
        <v/>
      </c>
      <c r="HNS30" t="str">
        <f t="shared" si="94"/>
        <v/>
      </c>
      <c r="HNT30" t="str">
        <f t="shared" si="94"/>
        <v/>
      </c>
      <c r="HNU30" t="str">
        <f t="shared" si="94"/>
        <v/>
      </c>
      <c r="HNV30" t="str">
        <f t="shared" si="94"/>
        <v/>
      </c>
      <c r="HNW30" t="str">
        <f t="shared" si="94"/>
        <v/>
      </c>
      <c r="HNX30" t="str">
        <f t="shared" si="94"/>
        <v/>
      </c>
      <c r="HNY30" t="str">
        <f t="shared" si="94"/>
        <v/>
      </c>
      <c r="HNZ30" t="str">
        <f t="shared" si="94"/>
        <v/>
      </c>
      <c r="HOA30" t="str">
        <f t="shared" si="94"/>
        <v/>
      </c>
      <c r="HOB30" t="str">
        <f t="shared" si="94"/>
        <v/>
      </c>
      <c r="HOC30" t="str">
        <f t="shared" si="94"/>
        <v/>
      </c>
      <c r="HOD30" t="str">
        <f t="shared" si="94"/>
        <v/>
      </c>
      <c r="HOE30" t="str">
        <f t="shared" si="94"/>
        <v/>
      </c>
      <c r="HOF30" t="str">
        <f t="shared" si="94"/>
        <v/>
      </c>
      <c r="HOG30" t="str">
        <f t="shared" si="94"/>
        <v/>
      </c>
      <c r="HOH30" t="str">
        <f t="shared" si="94"/>
        <v/>
      </c>
      <c r="HOI30" t="str">
        <f t="shared" si="94"/>
        <v/>
      </c>
      <c r="HOJ30" t="str">
        <f t="shared" si="94"/>
        <v/>
      </c>
      <c r="HOK30" t="str">
        <f t="shared" si="94"/>
        <v/>
      </c>
      <c r="HOL30" t="str">
        <f t="shared" si="94"/>
        <v/>
      </c>
      <c r="HOM30" t="str">
        <f t="shared" si="94"/>
        <v/>
      </c>
      <c r="HON30" t="str">
        <f t="shared" si="94"/>
        <v/>
      </c>
      <c r="HOO30" t="str">
        <f t="shared" si="94"/>
        <v/>
      </c>
      <c r="HOP30" t="str">
        <f t="shared" si="94"/>
        <v/>
      </c>
      <c r="HOQ30" t="str">
        <f t="shared" si="94"/>
        <v/>
      </c>
      <c r="HOR30" t="str">
        <f t="shared" si="94"/>
        <v/>
      </c>
      <c r="HOS30" t="str">
        <f t="shared" si="94"/>
        <v/>
      </c>
      <c r="HOT30" t="str">
        <f t="shared" si="94"/>
        <v/>
      </c>
      <c r="HOU30" t="str">
        <f t="shared" si="94"/>
        <v/>
      </c>
      <c r="HOV30" t="str">
        <f t="shared" si="94"/>
        <v/>
      </c>
      <c r="HOW30" t="str">
        <f t="shared" si="94"/>
        <v/>
      </c>
      <c r="HOX30" t="str">
        <f t="shared" si="94"/>
        <v/>
      </c>
      <c r="HOY30" t="str">
        <f t="shared" si="94"/>
        <v/>
      </c>
      <c r="HOZ30" t="str">
        <f t="shared" si="94"/>
        <v/>
      </c>
      <c r="HPA30" t="str">
        <f t="shared" si="94"/>
        <v/>
      </c>
      <c r="HPB30" t="str">
        <f t="shared" si="94"/>
        <v/>
      </c>
      <c r="HPC30" t="str">
        <f t="shared" si="94"/>
        <v/>
      </c>
      <c r="HPD30" t="str">
        <f t="shared" si="94"/>
        <v/>
      </c>
      <c r="HPE30" t="str">
        <f t="shared" si="94"/>
        <v/>
      </c>
      <c r="HPF30" t="str">
        <f t="shared" si="94"/>
        <v/>
      </c>
      <c r="HPG30" t="str">
        <f t="shared" si="94"/>
        <v/>
      </c>
      <c r="HPH30" t="str">
        <f t="shared" si="94"/>
        <v/>
      </c>
      <c r="HPI30" t="str">
        <f t="shared" si="94"/>
        <v/>
      </c>
      <c r="HPJ30" t="str">
        <f t="shared" si="94"/>
        <v/>
      </c>
      <c r="HPK30" t="str">
        <f t="shared" si="94"/>
        <v/>
      </c>
      <c r="HPL30" t="str">
        <f t="shared" si="94"/>
        <v/>
      </c>
      <c r="HPM30" t="str">
        <f t="shared" si="94"/>
        <v/>
      </c>
      <c r="HPN30" t="str">
        <f t="shared" si="94"/>
        <v/>
      </c>
      <c r="HPO30" t="str">
        <f t="shared" si="94"/>
        <v/>
      </c>
      <c r="HPP30" t="str">
        <f t="shared" ref="HPP30:HSA30" si="95">TRIM(HQB11)</f>
        <v/>
      </c>
      <c r="HPQ30" t="str">
        <f t="shared" si="95"/>
        <v/>
      </c>
      <c r="HPR30" t="str">
        <f t="shared" si="95"/>
        <v/>
      </c>
      <c r="HPS30" t="str">
        <f t="shared" si="95"/>
        <v/>
      </c>
      <c r="HPT30" t="str">
        <f t="shared" si="95"/>
        <v/>
      </c>
      <c r="HPU30" t="str">
        <f t="shared" si="95"/>
        <v/>
      </c>
      <c r="HPV30" t="str">
        <f t="shared" si="95"/>
        <v/>
      </c>
      <c r="HPW30" t="str">
        <f t="shared" si="95"/>
        <v/>
      </c>
      <c r="HPX30" t="str">
        <f t="shared" si="95"/>
        <v/>
      </c>
      <c r="HPY30" t="str">
        <f t="shared" si="95"/>
        <v/>
      </c>
      <c r="HPZ30" t="str">
        <f t="shared" si="95"/>
        <v/>
      </c>
      <c r="HQA30" t="str">
        <f t="shared" si="95"/>
        <v/>
      </c>
      <c r="HQB30" t="str">
        <f t="shared" si="95"/>
        <v/>
      </c>
      <c r="HQC30" t="str">
        <f t="shared" si="95"/>
        <v/>
      </c>
      <c r="HQD30" t="str">
        <f t="shared" si="95"/>
        <v/>
      </c>
      <c r="HQE30" t="str">
        <f t="shared" si="95"/>
        <v/>
      </c>
      <c r="HQF30" t="str">
        <f t="shared" si="95"/>
        <v/>
      </c>
      <c r="HQG30" t="str">
        <f t="shared" si="95"/>
        <v/>
      </c>
      <c r="HQH30" t="str">
        <f t="shared" si="95"/>
        <v/>
      </c>
      <c r="HQI30" t="str">
        <f t="shared" si="95"/>
        <v/>
      </c>
      <c r="HQJ30" t="str">
        <f t="shared" si="95"/>
        <v/>
      </c>
      <c r="HQK30" t="str">
        <f t="shared" si="95"/>
        <v/>
      </c>
      <c r="HQL30" t="str">
        <f t="shared" si="95"/>
        <v/>
      </c>
      <c r="HQM30" t="str">
        <f t="shared" si="95"/>
        <v/>
      </c>
      <c r="HQN30" t="str">
        <f t="shared" si="95"/>
        <v/>
      </c>
      <c r="HQO30" t="str">
        <f t="shared" si="95"/>
        <v/>
      </c>
      <c r="HQP30" t="str">
        <f t="shared" si="95"/>
        <v/>
      </c>
      <c r="HQQ30" t="str">
        <f t="shared" si="95"/>
        <v/>
      </c>
      <c r="HQR30" t="str">
        <f t="shared" si="95"/>
        <v/>
      </c>
      <c r="HQS30" t="str">
        <f t="shared" si="95"/>
        <v/>
      </c>
      <c r="HQT30" t="str">
        <f t="shared" si="95"/>
        <v/>
      </c>
      <c r="HQU30" t="str">
        <f t="shared" si="95"/>
        <v/>
      </c>
      <c r="HQV30" t="str">
        <f t="shared" si="95"/>
        <v/>
      </c>
      <c r="HQW30" t="str">
        <f t="shared" si="95"/>
        <v/>
      </c>
      <c r="HQX30" t="str">
        <f t="shared" si="95"/>
        <v/>
      </c>
      <c r="HQY30" t="str">
        <f t="shared" si="95"/>
        <v/>
      </c>
      <c r="HQZ30" t="str">
        <f t="shared" si="95"/>
        <v/>
      </c>
      <c r="HRA30" t="str">
        <f t="shared" si="95"/>
        <v/>
      </c>
      <c r="HRB30" t="str">
        <f t="shared" si="95"/>
        <v/>
      </c>
      <c r="HRC30" t="str">
        <f t="shared" si="95"/>
        <v/>
      </c>
      <c r="HRD30" t="str">
        <f t="shared" si="95"/>
        <v/>
      </c>
      <c r="HRE30" t="str">
        <f t="shared" si="95"/>
        <v/>
      </c>
      <c r="HRF30" t="str">
        <f t="shared" si="95"/>
        <v/>
      </c>
      <c r="HRG30" t="str">
        <f t="shared" si="95"/>
        <v/>
      </c>
      <c r="HRH30" t="str">
        <f t="shared" si="95"/>
        <v/>
      </c>
      <c r="HRI30" t="str">
        <f t="shared" si="95"/>
        <v/>
      </c>
      <c r="HRJ30" t="str">
        <f t="shared" si="95"/>
        <v/>
      </c>
      <c r="HRK30" t="str">
        <f t="shared" si="95"/>
        <v/>
      </c>
      <c r="HRL30" t="str">
        <f t="shared" si="95"/>
        <v/>
      </c>
      <c r="HRM30" t="str">
        <f t="shared" si="95"/>
        <v/>
      </c>
      <c r="HRN30" t="str">
        <f t="shared" si="95"/>
        <v/>
      </c>
      <c r="HRO30" t="str">
        <f t="shared" si="95"/>
        <v/>
      </c>
      <c r="HRP30" t="str">
        <f t="shared" si="95"/>
        <v/>
      </c>
      <c r="HRQ30" t="str">
        <f t="shared" si="95"/>
        <v/>
      </c>
      <c r="HRR30" t="str">
        <f t="shared" si="95"/>
        <v/>
      </c>
      <c r="HRS30" t="str">
        <f t="shared" si="95"/>
        <v/>
      </c>
      <c r="HRT30" t="str">
        <f t="shared" si="95"/>
        <v/>
      </c>
      <c r="HRU30" t="str">
        <f t="shared" si="95"/>
        <v/>
      </c>
      <c r="HRV30" t="str">
        <f t="shared" si="95"/>
        <v/>
      </c>
      <c r="HRW30" t="str">
        <f t="shared" si="95"/>
        <v/>
      </c>
      <c r="HRX30" t="str">
        <f t="shared" si="95"/>
        <v/>
      </c>
      <c r="HRY30" t="str">
        <f t="shared" si="95"/>
        <v/>
      </c>
      <c r="HRZ30" t="str">
        <f t="shared" si="95"/>
        <v/>
      </c>
      <c r="HSA30" t="str">
        <f t="shared" si="95"/>
        <v/>
      </c>
      <c r="HSB30" t="str">
        <f t="shared" ref="HSB30:HUM30" si="96">TRIM(HSN11)</f>
        <v/>
      </c>
      <c r="HSC30" t="str">
        <f t="shared" si="96"/>
        <v/>
      </c>
      <c r="HSD30" t="str">
        <f t="shared" si="96"/>
        <v/>
      </c>
      <c r="HSE30" t="str">
        <f t="shared" si="96"/>
        <v/>
      </c>
      <c r="HSF30" t="str">
        <f t="shared" si="96"/>
        <v/>
      </c>
      <c r="HSG30" t="str">
        <f t="shared" si="96"/>
        <v/>
      </c>
      <c r="HSH30" t="str">
        <f t="shared" si="96"/>
        <v/>
      </c>
      <c r="HSI30" t="str">
        <f t="shared" si="96"/>
        <v/>
      </c>
      <c r="HSJ30" t="str">
        <f t="shared" si="96"/>
        <v/>
      </c>
      <c r="HSK30" t="str">
        <f t="shared" si="96"/>
        <v/>
      </c>
      <c r="HSL30" t="str">
        <f t="shared" si="96"/>
        <v/>
      </c>
      <c r="HSM30" t="str">
        <f t="shared" si="96"/>
        <v/>
      </c>
      <c r="HSN30" t="str">
        <f t="shared" si="96"/>
        <v/>
      </c>
      <c r="HSO30" t="str">
        <f t="shared" si="96"/>
        <v/>
      </c>
      <c r="HSP30" t="str">
        <f t="shared" si="96"/>
        <v/>
      </c>
      <c r="HSQ30" t="str">
        <f t="shared" si="96"/>
        <v/>
      </c>
      <c r="HSR30" t="str">
        <f t="shared" si="96"/>
        <v/>
      </c>
      <c r="HSS30" t="str">
        <f t="shared" si="96"/>
        <v/>
      </c>
      <c r="HST30" t="str">
        <f t="shared" si="96"/>
        <v/>
      </c>
      <c r="HSU30" t="str">
        <f t="shared" si="96"/>
        <v/>
      </c>
      <c r="HSV30" t="str">
        <f t="shared" si="96"/>
        <v/>
      </c>
      <c r="HSW30" t="str">
        <f t="shared" si="96"/>
        <v/>
      </c>
      <c r="HSX30" t="str">
        <f t="shared" si="96"/>
        <v/>
      </c>
      <c r="HSY30" t="str">
        <f t="shared" si="96"/>
        <v/>
      </c>
      <c r="HSZ30" t="str">
        <f t="shared" si="96"/>
        <v/>
      </c>
      <c r="HTA30" t="str">
        <f t="shared" si="96"/>
        <v/>
      </c>
      <c r="HTB30" t="str">
        <f t="shared" si="96"/>
        <v/>
      </c>
      <c r="HTC30" t="str">
        <f t="shared" si="96"/>
        <v/>
      </c>
      <c r="HTD30" t="str">
        <f t="shared" si="96"/>
        <v/>
      </c>
      <c r="HTE30" t="str">
        <f t="shared" si="96"/>
        <v/>
      </c>
      <c r="HTF30" t="str">
        <f t="shared" si="96"/>
        <v/>
      </c>
      <c r="HTG30" t="str">
        <f t="shared" si="96"/>
        <v/>
      </c>
      <c r="HTH30" t="str">
        <f t="shared" si="96"/>
        <v/>
      </c>
      <c r="HTI30" t="str">
        <f t="shared" si="96"/>
        <v/>
      </c>
      <c r="HTJ30" t="str">
        <f t="shared" si="96"/>
        <v/>
      </c>
      <c r="HTK30" t="str">
        <f t="shared" si="96"/>
        <v/>
      </c>
      <c r="HTL30" t="str">
        <f t="shared" si="96"/>
        <v/>
      </c>
      <c r="HTM30" t="str">
        <f t="shared" si="96"/>
        <v/>
      </c>
      <c r="HTN30" t="str">
        <f t="shared" si="96"/>
        <v/>
      </c>
      <c r="HTO30" t="str">
        <f t="shared" si="96"/>
        <v/>
      </c>
      <c r="HTP30" t="str">
        <f t="shared" si="96"/>
        <v/>
      </c>
      <c r="HTQ30" t="str">
        <f t="shared" si="96"/>
        <v/>
      </c>
      <c r="HTR30" t="str">
        <f t="shared" si="96"/>
        <v/>
      </c>
      <c r="HTS30" t="str">
        <f t="shared" si="96"/>
        <v/>
      </c>
      <c r="HTT30" t="str">
        <f t="shared" si="96"/>
        <v/>
      </c>
      <c r="HTU30" t="str">
        <f t="shared" si="96"/>
        <v/>
      </c>
      <c r="HTV30" t="str">
        <f t="shared" si="96"/>
        <v/>
      </c>
      <c r="HTW30" t="str">
        <f t="shared" si="96"/>
        <v/>
      </c>
      <c r="HTX30" t="str">
        <f t="shared" si="96"/>
        <v/>
      </c>
      <c r="HTY30" t="str">
        <f t="shared" si="96"/>
        <v/>
      </c>
      <c r="HTZ30" t="str">
        <f t="shared" si="96"/>
        <v/>
      </c>
      <c r="HUA30" t="str">
        <f t="shared" si="96"/>
        <v/>
      </c>
      <c r="HUB30" t="str">
        <f t="shared" si="96"/>
        <v/>
      </c>
      <c r="HUC30" t="str">
        <f t="shared" si="96"/>
        <v/>
      </c>
      <c r="HUD30" t="str">
        <f t="shared" si="96"/>
        <v/>
      </c>
      <c r="HUE30" t="str">
        <f t="shared" si="96"/>
        <v/>
      </c>
      <c r="HUF30" t="str">
        <f t="shared" si="96"/>
        <v/>
      </c>
      <c r="HUG30" t="str">
        <f t="shared" si="96"/>
        <v/>
      </c>
      <c r="HUH30" t="str">
        <f t="shared" si="96"/>
        <v/>
      </c>
      <c r="HUI30" t="str">
        <f t="shared" si="96"/>
        <v/>
      </c>
      <c r="HUJ30" t="str">
        <f t="shared" si="96"/>
        <v/>
      </c>
      <c r="HUK30" t="str">
        <f t="shared" si="96"/>
        <v/>
      </c>
      <c r="HUL30" t="str">
        <f t="shared" si="96"/>
        <v/>
      </c>
      <c r="HUM30" t="str">
        <f t="shared" si="96"/>
        <v/>
      </c>
      <c r="HUN30" t="str">
        <f t="shared" ref="HUN30:HWY30" si="97">TRIM(HUZ11)</f>
        <v/>
      </c>
      <c r="HUO30" t="str">
        <f t="shared" si="97"/>
        <v/>
      </c>
      <c r="HUP30" t="str">
        <f t="shared" si="97"/>
        <v/>
      </c>
      <c r="HUQ30" t="str">
        <f t="shared" si="97"/>
        <v/>
      </c>
      <c r="HUR30" t="str">
        <f t="shared" si="97"/>
        <v/>
      </c>
      <c r="HUS30" t="str">
        <f t="shared" si="97"/>
        <v/>
      </c>
      <c r="HUT30" t="str">
        <f t="shared" si="97"/>
        <v/>
      </c>
      <c r="HUU30" t="str">
        <f t="shared" si="97"/>
        <v/>
      </c>
      <c r="HUV30" t="str">
        <f t="shared" si="97"/>
        <v/>
      </c>
      <c r="HUW30" t="str">
        <f t="shared" si="97"/>
        <v/>
      </c>
      <c r="HUX30" t="str">
        <f t="shared" si="97"/>
        <v/>
      </c>
      <c r="HUY30" t="str">
        <f t="shared" si="97"/>
        <v/>
      </c>
      <c r="HUZ30" t="str">
        <f t="shared" si="97"/>
        <v/>
      </c>
      <c r="HVA30" t="str">
        <f t="shared" si="97"/>
        <v/>
      </c>
      <c r="HVB30" t="str">
        <f t="shared" si="97"/>
        <v/>
      </c>
      <c r="HVC30" t="str">
        <f t="shared" si="97"/>
        <v/>
      </c>
      <c r="HVD30" t="str">
        <f t="shared" si="97"/>
        <v/>
      </c>
      <c r="HVE30" t="str">
        <f t="shared" si="97"/>
        <v/>
      </c>
      <c r="HVF30" t="str">
        <f t="shared" si="97"/>
        <v/>
      </c>
      <c r="HVG30" t="str">
        <f t="shared" si="97"/>
        <v/>
      </c>
      <c r="HVH30" t="str">
        <f t="shared" si="97"/>
        <v/>
      </c>
      <c r="HVI30" t="str">
        <f t="shared" si="97"/>
        <v/>
      </c>
      <c r="HVJ30" t="str">
        <f t="shared" si="97"/>
        <v/>
      </c>
      <c r="HVK30" t="str">
        <f t="shared" si="97"/>
        <v/>
      </c>
      <c r="HVL30" t="str">
        <f t="shared" si="97"/>
        <v/>
      </c>
      <c r="HVM30" t="str">
        <f t="shared" si="97"/>
        <v/>
      </c>
      <c r="HVN30" t="str">
        <f t="shared" si="97"/>
        <v/>
      </c>
      <c r="HVO30" t="str">
        <f t="shared" si="97"/>
        <v/>
      </c>
      <c r="HVP30" t="str">
        <f t="shared" si="97"/>
        <v/>
      </c>
      <c r="HVQ30" t="str">
        <f t="shared" si="97"/>
        <v/>
      </c>
      <c r="HVR30" t="str">
        <f t="shared" si="97"/>
        <v/>
      </c>
      <c r="HVS30" t="str">
        <f t="shared" si="97"/>
        <v/>
      </c>
      <c r="HVT30" t="str">
        <f t="shared" si="97"/>
        <v/>
      </c>
      <c r="HVU30" t="str">
        <f t="shared" si="97"/>
        <v/>
      </c>
      <c r="HVV30" t="str">
        <f t="shared" si="97"/>
        <v/>
      </c>
      <c r="HVW30" t="str">
        <f t="shared" si="97"/>
        <v/>
      </c>
      <c r="HVX30" t="str">
        <f t="shared" si="97"/>
        <v/>
      </c>
      <c r="HVY30" t="str">
        <f t="shared" si="97"/>
        <v/>
      </c>
      <c r="HVZ30" t="str">
        <f t="shared" si="97"/>
        <v/>
      </c>
      <c r="HWA30" t="str">
        <f t="shared" si="97"/>
        <v/>
      </c>
      <c r="HWB30" t="str">
        <f t="shared" si="97"/>
        <v/>
      </c>
      <c r="HWC30" t="str">
        <f t="shared" si="97"/>
        <v/>
      </c>
      <c r="HWD30" t="str">
        <f t="shared" si="97"/>
        <v/>
      </c>
      <c r="HWE30" t="str">
        <f t="shared" si="97"/>
        <v/>
      </c>
      <c r="HWF30" t="str">
        <f t="shared" si="97"/>
        <v/>
      </c>
      <c r="HWG30" t="str">
        <f t="shared" si="97"/>
        <v/>
      </c>
      <c r="HWH30" t="str">
        <f t="shared" si="97"/>
        <v/>
      </c>
      <c r="HWI30" t="str">
        <f t="shared" si="97"/>
        <v/>
      </c>
      <c r="HWJ30" t="str">
        <f t="shared" si="97"/>
        <v/>
      </c>
      <c r="HWK30" t="str">
        <f t="shared" si="97"/>
        <v/>
      </c>
      <c r="HWL30" t="str">
        <f t="shared" si="97"/>
        <v/>
      </c>
      <c r="HWM30" t="str">
        <f t="shared" si="97"/>
        <v/>
      </c>
      <c r="HWN30" t="str">
        <f t="shared" si="97"/>
        <v/>
      </c>
      <c r="HWO30" t="str">
        <f t="shared" si="97"/>
        <v/>
      </c>
      <c r="HWP30" t="str">
        <f t="shared" si="97"/>
        <v/>
      </c>
      <c r="HWQ30" t="str">
        <f t="shared" si="97"/>
        <v/>
      </c>
      <c r="HWR30" t="str">
        <f t="shared" si="97"/>
        <v/>
      </c>
      <c r="HWS30" t="str">
        <f t="shared" si="97"/>
        <v/>
      </c>
      <c r="HWT30" t="str">
        <f t="shared" si="97"/>
        <v/>
      </c>
      <c r="HWU30" t="str">
        <f t="shared" si="97"/>
        <v/>
      </c>
      <c r="HWV30" t="str">
        <f t="shared" si="97"/>
        <v/>
      </c>
      <c r="HWW30" t="str">
        <f t="shared" si="97"/>
        <v/>
      </c>
      <c r="HWX30" t="str">
        <f t="shared" si="97"/>
        <v/>
      </c>
      <c r="HWY30" t="str">
        <f t="shared" si="97"/>
        <v/>
      </c>
      <c r="HWZ30" t="str">
        <f t="shared" ref="HWZ30:HZK30" si="98">TRIM(HXL11)</f>
        <v/>
      </c>
      <c r="HXA30" t="str">
        <f t="shared" si="98"/>
        <v/>
      </c>
      <c r="HXB30" t="str">
        <f t="shared" si="98"/>
        <v/>
      </c>
      <c r="HXC30" t="str">
        <f t="shared" si="98"/>
        <v/>
      </c>
      <c r="HXD30" t="str">
        <f t="shared" si="98"/>
        <v/>
      </c>
      <c r="HXE30" t="str">
        <f t="shared" si="98"/>
        <v/>
      </c>
      <c r="HXF30" t="str">
        <f t="shared" si="98"/>
        <v/>
      </c>
      <c r="HXG30" t="str">
        <f t="shared" si="98"/>
        <v/>
      </c>
      <c r="HXH30" t="str">
        <f t="shared" si="98"/>
        <v/>
      </c>
      <c r="HXI30" t="str">
        <f t="shared" si="98"/>
        <v/>
      </c>
      <c r="HXJ30" t="str">
        <f t="shared" si="98"/>
        <v/>
      </c>
      <c r="HXK30" t="str">
        <f t="shared" si="98"/>
        <v/>
      </c>
      <c r="HXL30" t="str">
        <f t="shared" si="98"/>
        <v/>
      </c>
      <c r="HXM30" t="str">
        <f t="shared" si="98"/>
        <v/>
      </c>
      <c r="HXN30" t="str">
        <f t="shared" si="98"/>
        <v/>
      </c>
      <c r="HXO30" t="str">
        <f t="shared" si="98"/>
        <v/>
      </c>
      <c r="HXP30" t="str">
        <f t="shared" si="98"/>
        <v/>
      </c>
      <c r="HXQ30" t="str">
        <f t="shared" si="98"/>
        <v/>
      </c>
      <c r="HXR30" t="str">
        <f t="shared" si="98"/>
        <v/>
      </c>
      <c r="HXS30" t="str">
        <f t="shared" si="98"/>
        <v/>
      </c>
      <c r="HXT30" t="str">
        <f t="shared" si="98"/>
        <v/>
      </c>
      <c r="HXU30" t="str">
        <f t="shared" si="98"/>
        <v/>
      </c>
      <c r="HXV30" t="str">
        <f t="shared" si="98"/>
        <v/>
      </c>
      <c r="HXW30" t="str">
        <f t="shared" si="98"/>
        <v/>
      </c>
      <c r="HXX30" t="str">
        <f t="shared" si="98"/>
        <v/>
      </c>
      <c r="HXY30" t="str">
        <f t="shared" si="98"/>
        <v/>
      </c>
      <c r="HXZ30" t="str">
        <f t="shared" si="98"/>
        <v/>
      </c>
      <c r="HYA30" t="str">
        <f t="shared" si="98"/>
        <v/>
      </c>
      <c r="HYB30" t="str">
        <f t="shared" si="98"/>
        <v/>
      </c>
      <c r="HYC30" t="str">
        <f t="shared" si="98"/>
        <v/>
      </c>
      <c r="HYD30" t="str">
        <f t="shared" si="98"/>
        <v/>
      </c>
      <c r="HYE30" t="str">
        <f t="shared" si="98"/>
        <v/>
      </c>
      <c r="HYF30" t="str">
        <f t="shared" si="98"/>
        <v/>
      </c>
      <c r="HYG30" t="str">
        <f t="shared" si="98"/>
        <v/>
      </c>
      <c r="HYH30" t="str">
        <f t="shared" si="98"/>
        <v/>
      </c>
      <c r="HYI30" t="str">
        <f t="shared" si="98"/>
        <v/>
      </c>
      <c r="HYJ30" t="str">
        <f t="shared" si="98"/>
        <v/>
      </c>
      <c r="HYK30" t="str">
        <f t="shared" si="98"/>
        <v/>
      </c>
      <c r="HYL30" t="str">
        <f t="shared" si="98"/>
        <v/>
      </c>
      <c r="HYM30" t="str">
        <f t="shared" si="98"/>
        <v/>
      </c>
      <c r="HYN30" t="str">
        <f t="shared" si="98"/>
        <v/>
      </c>
      <c r="HYO30" t="str">
        <f t="shared" si="98"/>
        <v/>
      </c>
      <c r="HYP30" t="str">
        <f t="shared" si="98"/>
        <v/>
      </c>
      <c r="HYQ30" t="str">
        <f t="shared" si="98"/>
        <v/>
      </c>
      <c r="HYR30" t="str">
        <f t="shared" si="98"/>
        <v/>
      </c>
      <c r="HYS30" t="str">
        <f t="shared" si="98"/>
        <v/>
      </c>
      <c r="HYT30" t="str">
        <f t="shared" si="98"/>
        <v/>
      </c>
      <c r="HYU30" t="str">
        <f t="shared" si="98"/>
        <v/>
      </c>
      <c r="HYV30" t="str">
        <f t="shared" si="98"/>
        <v/>
      </c>
      <c r="HYW30" t="str">
        <f t="shared" si="98"/>
        <v/>
      </c>
      <c r="HYX30" t="str">
        <f t="shared" si="98"/>
        <v/>
      </c>
      <c r="HYY30" t="str">
        <f t="shared" si="98"/>
        <v/>
      </c>
      <c r="HYZ30" t="str">
        <f t="shared" si="98"/>
        <v/>
      </c>
      <c r="HZA30" t="str">
        <f t="shared" si="98"/>
        <v/>
      </c>
      <c r="HZB30" t="str">
        <f t="shared" si="98"/>
        <v/>
      </c>
      <c r="HZC30" t="str">
        <f t="shared" si="98"/>
        <v/>
      </c>
      <c r="HZD30" t="str">
        <f t="shared" si="98"/>
        <v/>
      </c>
      <c r="HZE30" t="str">
        <f t="shared" si="98"/>
        <v/>
      </c>
      <c r="HZF30" t="str">
        <f t="shared" si="98"/>
        <v/>
      </c>
      <c r="HZG30" t="str">
        <f t="shared" si="98"/>
        <v/>
      </c>
      <c r="HZH30" t="str">
        <f t="shared" si="98"/>
        <v/>
      </c>
      <c r="HZI30" t="str">
        <f t="shared" si="98"/>
        <v/>
      </c>
      <c r="HZJ30" t="str">
        <f t="shared" si="98"/>
        <v/>
      </c>
      <c r="HZK30" t="str">
        <f t="shared" si="98"/>
        <v/>
      </c>
      <c r="HZL30" t="str">
        <f t="shared" ref="HZL30:IBW30" si="99">TRIM(HZX11)</f>
        <v/>
      </c>
      <c r="HZM30" t="str">
        <f t="shared" si="99"/>
        <v/>
      </c>
      <c r="HZN30" t="str">
        <f t="shared" si="99"/>
        <v/>
      </c>
      <c r="HZO30" t="str">
        <f t="shared" si="99"/>
        <v/>
      </c>
      <c r="HZP30" t="str">
        <f t="shared" si="99"/>
        <v/>
      </c>
      <c r="HZQ30" t="str">
        <f t="shared" si="99"/>
        <v/>
      </c>
      <c r="HZR30" t="str">
        <f t="shared" si="99"/>
        <v/>
      </c>
      <c r="HZS30" t="str">
        <f t="shared" si="99"/>
        <v/>
      </c>
      <c r="HZT30" t="str">
        <f t="shared" si="99"/>
        <v/>
      </c>
      <c r="HZU30" t="str">
        <f t="shared" si="99"/>
        <v/>
      </c>
      <c r="HZV30" t="str">
        <f t="shared" si="99"/>
        <v/>
      </c>
      <c r="HZW30" t="str">
        <f t="shared" si="99"/>
        <v/>
      </c>
      <c r="HZX30" t="str">
        <f t="shared" si="99"/>
        <v/>
      </c>
      <c r="HZY30" t="str">
        <f t="shared" si="99"/>
        <v/>
      </c>
      <c r="HZZ30" t="str">
        <f t="shared" si="99"/>
        <v/>
      </c>
      <c r="IAA30" t="str">
        <f t="shared" si="99"/>
        <v/>
      </c>
      <c r="IAB30" t="str">
        <f t="shared" si="99"/>
        <v/>
      </c>
      <c r="IAC30" t="str">
        <f t="shared" si="99"/>
        <v/>
      </c>
      <c r="IAD30" t="str">
        <f t="shared" si="99"/>
        <v/>
      </c>
      <c r="IAE30" t="str">
        <f t="shared" si="99"/>
        <v/>
      </c>
      <c r="IAF30" t="str">
        <f t="shared" si="99"/>
        <v/>
      </c>
      <c r="IAG30" t="str">
        <f t="shared" si="99"/>
        <v/>
      </c>
      <c r="IAH30" t="str">
        <f t="shared" si="99"/>
        <v/>
      </c>
      <c r="IAI30" t="str">
        <f t="shared" si="99"/>
        <v/>
      </c>
      <c r="IAJ30" t="str">
        <f t="shared" si="99"/>
        <v/>
      </c>
      <c r="IAK30" t="str">
        <f t="shared" si="99"/>
        <v/>
      </c>
      <c r="IAL30" t="str">
        <f t="shared" si="99"/>
        <v/>
      </c>
      <c r="IAM30" t="str">
        <f t="shared" si="99"/>
        <v/>
      </c>
      <c r="IAN30" t="str">
        <f t="shared" si="99"/>
        <v/>
      </c>
      <c r="IAO30" t="str">
        <f t="shared" si="99"/>
        <v/>
      </c>
      <c r="IAP30" t="str">
        <f t="shared" si="99"/>
        <v/>
      </c>
      <c r="IAQ30" t="str">
        <f t="shared" si="99"/>
        <v/>
      </c>
      <c r="IAR30" t="str">
        <f t="shared" si="99"/>
        <v/>
      </c>
      <c r="IAS30" t="str">
        <f t="shared" si="99"/>
        <v/>
      </c>
      <c r="IAT30" t="str">
        <f t="shared" si="99"/>
        <v/>
      </c>
      <c r="IAU30" t="str">
        <f t="shared" si="99"/>
        <v/>
      </c>
      <c r="IAV30" t="str">
        <f t="shared" si="99"/>
        <v/>
      </c>
      <c r="IAW30" t="str">
        <f t="shared" si="99"/>
        <v/>
      </c>
      <c r="IAX30" t="str">
        <f t="shared" si="99"/>
        <v/>
      </c>
      <c r="IAY30" t="str">
        <f t="shared" si="99"/>
        <v/>
      </c>
      <c r="IAZ30" t="str">
        <f t="shared" si="99"/>
        <v/>
      </c>
      <c r="IBA30" t="str">
        <f t="shared" si="99"/>
        <v/>
      </c>
      <c r="IBB30" t="str">
        <f t="shared" si="99"/>
        <v/>
      </c>
      <c r="IBC30" t="str">
        <f t="shared" si="99"/>
        <v/>
      </c>
      <c r="IBD30" t="str">
        <f t="shared" si="99"/>
        <v/>
      </c>
      <c r="IBE30" t="str">
        <f t="shared" si="99"/>
        <v/>
      </c>
      <c r="IBF30" t="str">
        <f t="shared" si="99"/>
        <v/>
      </c>
      <c r="IBG30" t="str">
        <f t="shared" si="99"/>
        <v/>
      </c>
      <c r="IBH30" t="str">
        <f t="shared" si="99"/>
        <v/>
      </c>
      <c r="IBI30" t="str">
        <f t="shared" si="99"/>
        <v/>
      </c>
      <c r="IBJ30" t="str">
        <f t="shared" si="99"/>
        <v/>
      </c>
      <c r="IBK30" t="str">
        <f t="shared" si="99"/>
        <v/>
      </c>
      <c r="IBL30" t="str">
        <f t="shared" si="99"/>
        <v/>
      </c>
      <c r="IBM30" t="str">
        <f t="shared" si="99"/>
        <v/>
      </c>
      <c r="IBN30" t="str">
        <f t="shared" si="99"/>
        <v/>
      </c>
      <c r="IBO30" t="str">
        <f t="shared" si="99"/>
        <v/>
      </c>
      <c r="IBP30" t="str">
        <f t="shared" si="99"/>
        <v/>
      </c>
      <c r="IBQ30" t="str">
        <f t="shared" si="99"/>
        <v/>
      </c>
      <c r="IBR30" t="str">
        <f t="shared" si="99"/>
        <v/>
      </c>
      <c r="IBS30" t="str">
        <f t="shared" si="99"/>
        <v/>
      </c>
      <c r="IBT30" t="str">
        <f t="shared" si="99"/>
        <v/>
      </c>
      <c r="IBU30" t="str">
        <f t="shared" si="99"/>
        <v/>
      </c>
      <c r="IBV30" t="str">
        <f t="shared" si="99"/>
        <v/>
      </c>
      <c r="IBW30" t="str">
        <f t="shared" si="99"/>
        <v/>
      </c>
      <c r="IBX30" t="str">
        <f t="shared" ref="IBX30:IEI30" si="100">TRIM(ICJ11)</f>
        <v/>
      </c>
      <c r="IBY30" t="str">
        <f t="shared" si="100"/>
        <v/>
      </c>
      <c r="IBZ30" t="str">
        <f t="shared" si="100"/>
        <v/>
      </c>
      <c r="ICA30" t="str">
        <f t="shared" si="100"/>
        <v/>
      </c>
      <c r="ICB30" t="str">
        <f t="shared" si="100"/>
        <v/>
      </c>
      <c r="ICC30" t="str">
        <f t="shared" si="100"/>
        <v/>
      </c>
      <c r="ICD30" t="str">
        <f t="shared" si="100"/>
        <v/>
      </c>
      <c r="ICE30" t="str">
        <f t="shared" si="100"/>
        <v/>
      </c>
      <c r="ICF30" t="str">
        <f t="shared" si="100"/>
        <v/>
      </c>
      <c r="ICG30" t="str">
        <f t="shared" si="100"/>
        <v/>
      </c>
      <c r="ICH30" t="str">
        <f t="shared" si="100"/>
        <v/>
      </c>
      <c r="ICI30" t="str">
        <f t="shared" si="100"/>
        <v/>
      </c>
      <c r="ICJ30" t="str">
        <f t="shared" si="100"/>
        <v/>
      </c>
      <c r="ICK30" t="str">
        <f t="shared" si="100"/>
        <v/>
      </c>
      <c r="ICL30" t="str">
        <f t="shared" si="100"/>
        <v/>
      </c>
      <c r="ICM30" t="str">
        <f t="shared" si="100"/>
        <v/>
      </c>
      <c r="ICN30" t="str">
        <f t="shared" si="100"/>
        <v/>
      </c>
      <c r="ICO30" t="str">
        <f t="shared" si="100"/>
        <v/>
      </c>
      <c r="ICP30" t="str">
        <f t="shared" si="100"/>
        <v/>
      </c>
      <c r="ICQ30" t="str">
        <f t="shared" si="100"/>
        <v/>
      </c>
      <c r="ICR30" t="str">
        <f t="shared" si="100"/>
        <v/>
      </c>
      <c r="ICS30" t="str">
        <f t="shared" si="100"/>
        <v/>
      </c>
      <c r="ICT30" t="str">
        <f t="shared" si="100"/>
        <v/>
      </c>
      <c r="ICU30" t="str">
        <f t="shared" si="100"/>
        <v/>
      </c>
      <c r="ICV30" t="str">
        <f t="shared" si="100"/>
        <v/>
      </c>
      <c r="ICW30" t="str">
        <f t="shared" si="100"/>
        <v/>
      </c>
      <c r="ICX30" t="str">
        <f t="shared" si="100"/>
        <v/>
      </c>
      <c r="ICY30" t="str">
        <f t="shared" si="100"/>
        <v/>
      </c>
      <c r="ICZ30" t="str">
        <f t="shared" si="100"/>
        <v/>
      </c>
      <c r="IDA30" t="str">
        <f t="shared" si="100"/>
        <v/>
      </c>
      <c r="IDB30" t="str">
        <f t="shared" si="100"/>
        <v/>
      </c>
      <c r="IDC30" t="str">
        <f t="shared" si="100"/>
        <v/>
      </c>
      <c r="IDD30" t="str">
        <f t="shared" si="100"/>
        <v/>
      </c>
      <c r="IDE30" t="str">
        <f t="shared" si="100"/>
        <v/>
      </c>
      <c r="IDF30" t="str">
        <f t="shared" si="100"/>
        <v/>
      </c>
      <c r="IDG30" t="str">
        <f t="shared" si="100"/>
        <v/>
      </c>
      <c r="IDH30" t="str">
        <f t="shared" si="100"/>
        <v/>
      </c>
      <c r="IDI30" t="str">
        <f t="shared" si="100"/>
        <v/>
      </c>
      <c r="IDJ30" t="str">
        <f t="shared" si="100"/>
        <v/>
      </c>
      <c r="IDK30" t="str">
        <f t="shared" si="100"/>
        <v/>
      </c>
      <c r="IDL30" t="str">
        <f t="shared" si="100"/>
        <v/>
      </c>
      <c r="IDM30" t="str">
        <f t="shared" si="100"/>
        <v/>
      </c>
      <c r="IDN30" t="str">
        <f t="shared" si="100"/>
        <v/>
      </c>
      <c r="IDO30" t="str">
        <f t="shared" si="100"/>
        <v/>
      </c>
      <c r="IDP30" t="str">
        <f t="shared" si="100"/>
        <v/>
      </c>
      <c r="IDQ30" t="str">
        <f t="shared" si="100"/>
        <v/>
      </c>
      <c r="IDR30" t="str">
        <f t="shared" si="100"/>
        <v/>
      </c>
      <c r="IDS30" t="str">
        <f t="shared" si="100"/>
        <v/>
      </c>
      <c r="IDT30" t="str">
        <f t="shared" si="100"/>
        <v/>
      </c>
      <c r="IDU30" t="str">
        <f t="shared" si="100"/>
        <v/>
      </c>
      <c r="IDV30" t="str">
        <f t="shared" si="100"/>
        <v/>
      </c>
      <c r="IDW30" t="str">
        <f t="shared" si="100"/>
        <v/>
      </c>
      <c r="IDX30" t="str">
        <f t="shared" si="100"/>
        <v/>
      </c>
      <c r="IDY30" t="str">
        <f t="shared" si="100"/>
        <v/>
      </c>
      <c r="IDZ30" t="str">
        <f t="shared" si="100"/>
        <v/>
      </c>
      <c r="IEA30" t="str">
        <f t="shared" si="100"/>
        <v/>
      </c>
      <c r="IEB30" t="str">
        <f t="shared" si="100"/>
        <v/>
      </c>
      <c r="IEC30" t="str">
        <f t="shared" si="100"/>
        <v/>
      </c>
      <c r="IED30" t="str">
        <f t="shared" si="100"/>
        <v/>
      </c>
      <c r="IEE30" t="str">
        <f t="shared" si="100"/>
        <v/>
      </c>
      <c r="IEF30" t="str">
        <f t="shared" si="100"/>
        <v/>
      </c>
      <c r="IEG30" t="str">
        <f t="shared" si="100"/>
        <v/>
      </c>
      <c r="IEH30" t="str">
        <f t="shared" si="100"/>
        <v/>
      </c>
      <c r="IEI30" t="str">
        <f t="shared" si="100"/>
        <v/>
      </c>
      <c r="IEJ30" t="str">
        <f t="shared" ref="IEJ30:IGU30" si="101">TRIM(IEV11)</f>
        <v/>
      </c>
      <c r="IEK30" t="str">
        <f t="shared" si="101"/>
        <v/>
      </c>
      <c r="IEL30" t="str">
        <f t="shared" si="101"/>
        <v/>
      </c>
      <c r="IEM30" t="str">
        <f t="shared" si="101"/>
        <v/>
      </c>
      <c r="IEN30" t="str">
        <f t="shared" si="101"/>
        <v/>
      </c>
      <c r="IEO30" t="str">
        <f t="shared" si="101"/>
        <v/>
      </c>
      <c r="IEP30" t="str">
        <f t="shared" si="101"/>
        <v/>
      </c>
      <c r="IEQ30" t="str">
        <f t="shared" si="101"/>
        <v/>
      </c>
      <c r="IER30" t="str">
        <f t="shared" si="101"/>
        <v/>
      </c>
      <c r="IES30" t="str">
        <f t="shared" si="101"/>
        <v/>
      </c>
      <c r="IET30" t="str">
        <f t="shared" si="101"/>
        <v/>
      </c>
      <c r="IEU30" t="str">
        <f t="shared" si="101"/>
        <v/>
      </c>
      <c r="IEV30" t="str">
        <f t="shared" si="101"/>
        <v/>
      </c>
      <c r="IEW30" t="str">
        <f t="shared" si="101"/>
        <v/>
      </c>
      <c r="IEX30" t="str">
        <f t="shared" si="101"/>
        <v/>
      </c>
      <c r="IEY30" t="str">
        <f t="shared" si="101"/>
        <v/>
      </c>
      <c r="IEZ30" t="str">
        <f t="shared" si="101"/>
        <v/>
      </c>
      <c r="IFA30" t="str">
        <f t="shared" si="101"/>
        <v/>
      </c>
      <c r="IFB30" t="str">
        <f t="shared" si="101"/>
        <v/>
      </c>
      <c r="IFC30" t="str">
        <f t="shared" si="101"/>
        <v/>
      </c>
      <c r="IFD30" t="str">
        <f t="shared" si="101"/>
        <v/>
      </c>
      <c r="IFE30" t="str">
        <f t="shared" si="101"/>
        <v/>
      </c>
      <c r="IFF30" t="str">
        <f t="shared" si="101"/>
        <v/>
      </c>
      <c r="IFG30" t="str">
        <f t="shared" si="101"/>
        <v/>
      </c>
      <c r="IFH30" t="str">
        <f t="shared" si="101"/>
        <v/>
      </c>
      <c r="IFI30" t="str">
        <f t="shared" si="101"/>
        <v/>
      </c>
      <c r="IFJ30" t="str">
        <f t="shared" si="101"/>
        <v/>
      </c>
      <c r="IFK30" t="str">
        <f t="shared" si="101"/>
        <v/>
      </c>
      <c r="IFL30" t="str">
        <f t="shared" si="101"/>
        <v/>
      </c>
      <c r="IFM30" t="str">
        <f t="shared" si="101"/>
        <v/>
      </c>
      <c r="IFN30" t="str">
        <f t="shared" si="101"/>
        <v/>
      </c>
      <c r="IFO30" t="str">
        <f t="shared" si="101"/>
        <v/>
      </c>
      <c r="IFP30" t="str">
        <f t="shared" si="101"/>
        <v/>
      </c>
      <c r="IFQ30" t="str">
        <f t="shared" si="101"/>
        <v/>
      </c>
      <c r="IFR30" t="str">
        <f t="shared" si="101"/>
        <v/>
      </c>
      <c r="IFS30" t="str">
        <f t="shared" si="101"/>
        <v/>
      </c>
      <c r="IFT30" t="str">
        <f t="shared" si="101"/>
        <v/>
      </c>
      <c r="IFU30" t="str">
        <f t="shared" si="101"/>
        <v/>
      </c>
      <c r="IFV30" t="str">
        <f t="shared" si="101"/>
        <v/>
      </c>
      <c r="IFW30" t="str">
        <f t="shared" si="101"/>
        <v/>
      </c>
      <c r="IFX30" t="str">
        <f t="shared" si="101"/>
        <v/>
      </c>
      <c r="IFY30" t="str">
        <f t="shared" si="101"/>
        <v/>
      </c>
      <c r="IFZ30" t="str">
        <f t="shared" si="101"/>
        <v/>
      </c>
      <c r="IGA30" t="str">
        <f t="shared" si="101"/>
        <v/>
      </c>
      <c r="IGB30" t="str">
        <f t="shared" si="101"/>
        <v/>
      </c>
      <c r="IGC30" t="str">
        <f t="shared" si="101"/>
        <v/>
      </c>
      <c r="IGD30" t="str">
        <f t="shared" si="101"/>
        <v/>
      </c>
      <c r="IGE30" t="str">
        <f t="shared" si="101"/>
        <v/>
      </c>
      <c r="IGF30" t="str">
        <f t="shared" si="101"/>
        <v/>
      </c>
      <c r="IGG30" t="str">
        <f t="shared" si="101"/>
        <v/>
      </c>
      <c r="IGH30" t="str">
        <f t="shared" si="101"/>
        <v/>
      </c>
      <c r="IGI30" t="str">
        <f t="shared" si="101"/>
        <v/>
      </c>
      <c r="IGJ30" t="str">
        <f t="shared" si="101"/>
        <v/>
      </c>
      <c r="IGK30" t="str">
        <f t="shared" si="101"/>
        <v/>
      </c>
      <c r="IGL30" t="str">
        <f t="shared" si="101"/>
        <v/>
      </c>
      <c r="IGM30" t="str">
        <f t="shared" si="101"/>
        <v/>
      </c>
      <c r="IGN30" t="str">
        <f t="shared" si="101"/>
        <v/>
      </c>
      <c r="IGO30" t="str">
        <f t="shared" si="101"/>
        <v/>
      </c>
      <c r="IGP30" t="str">
        <f t="shared" si="101"/>
        <v/>
      </c>
      <c r="IGQ30" t="str">
        <f t="shared" si="101"/>
        <v/>
      </c>
      <c r="IGR30" t="str">
        <f t="shared" si="101"/>
        <v/>
      </c>
      <c r="IGS30" t="str">
        <f t="shared" si="101"/>
        <v/>
      </c>
      <c r="IGT30" t="str">
        <f t="shared" si="101"/>
        <v/>
      </c>
      <c r="IGU30" t="str">
        <f t="shared" si="101"/>
        <v/>
      </c>
      <c r="IGV30" t="str">
        <f t="shared" ref="IGV30:IJG30" si="102">TRIM(IHH11)</f>
        <v/>
      </c>
      <c r="IGW30" t="str">
        <f t="shared" si="102"/>
        <v/>
      </c>
      <c r="IGX30" t="str">
        <f t="shared" si="102"/>
        <v/>
      </c>
      <c r="IGY30" t="str">
        <f t="shared" si="102"/>
        <v/>
      </c>
      <c r="IGZ30" t="str">
        <f t="shared" si="102"/>
        <v/>
      </c>
      <c r="IHA30" t="str">
        <f t="shared" si="102"/>
        <v/>
      </c>
      <c r="IHB30" t="str">
        <f t="shared" si="102"/>
        <v/>
      </c>
      <c r="IHC30" t="str">
        <f t="shared" si="102"/>
        <v/>
      </c>
      <c r="IHD30" t="str">
        <f t="shared" si="102"/>
        <v/>
      </c>
      <c r="IHE30" t="str">
        <f t="shared" si="102"/>
        <v/>
      </c>
      <c r="IHF30" t="str">
        <f t="shared" si="102"/>
        <v/>
      </c>
      <c r="IHG30" t="str">
        <f t="shared" si="102"/>
        <v/>
      </c>
      <c r="IHH30" t="str">
        <f t="shared" si="102"/>
        <v/>
      </c>
      <c r="IHI30" t="str">
        <f t="shared" si="102"/>
        <v/>
      </c>
      <c r="IHJ30" t="str">
        <f t="shared" si="102"/>
        <v/>
      </c>
      <c r="IHK30" t="str">
        <f t="shared" si="102"/>
        <v/>
      </c>
      <c r="IHL30" t="str">
        <f t="shared" si="102"/>
        <v/>
      </c>
      <c r="IHM30" t="str">
        <f t="shared" si="102"/>
        <v/>
      </c>
      <c r="IHN30" t="str">
        <f t="shared" si="102"/>
        <v/>
      </c>
      <c r="IHO30" t="str">
        <f t="shared" si="102"/>
        <v/>
      </c>
      <c r="IHP30" t="str">
        <f t="shared" si="102"/>
        <v/>
      </c>
      <c r="IHQ30" t="str">
        <f t="shared" si="102"/>
        <v/>
      </c>
      <c r="IHR30" t="str">
        <f t="shared" si="102"/>
        <v/>
      </c>
      <c r="IHS30" t="str">
        <f t="shared" si="102"/>
        <v/>
      </c>
      <c r="IHT30" t="str">
        <f t="shared" si="102"/>
        <v/>
      </c>
      <c r="IHU30" t="str">
        <f t="shared" si="102"/>
        <v/>
      </c>
      <c r="IHV30" t="str">
        <f t="shared" si="102"/>
        <v/>
      </c>
      <c r="IHW30" t="str">
        <f t="shared" si="102"/>
        <v/>
      </c>
      <c r="IHX30" t="str">
        <f t="shared" si="102"/>
        <v/>
      </c>
      <c r="IHY30" t="str">
        <f t="shared" si="102"/>
        <v/>
      </c>
      <c r="IHZ30" t="str">
        <f t="shared" si="102"/>
        <v/>
      </c>
      <c r="IIA30" t="str">
        <f t="shared" si="102"/>
        <v/>
      </c>
      <c r="IIB30" t="str">
        <f t="shared" si="102"/>
        <v/>
      </c>
      <c r="IIC30" t="str">
        <f t="shared" si="102"/>
        <v/>
      </c>
      <c r="IID30" t="str">
        <f t="shared" si="102"/>
        <v/>
      </c>
      <c r="IIE30" t="str">
        <f t="shared" si="102"/>
        <v/>
      </c>
      <c r="IIF30" t="str">
        <f t="shared" si="102"/>
        <v/>
      </c>
      <c r="IIG30" t="str">
        <f t="shared" si="102"/>
        <v/>
      </c>
      <c r="IIH30" t="str">
        <f t="shared" si="102"/>
        <v/>
      </c>
      <c r="III30" t="str">
        <f t="shared" si="102"/>
        <v/>
      </c>
      <c r="IIJ30" t="str">
        <f t="shared" si="102"/>
        <v/>
      </c>
      <c r="IIK30" t="str">
        <f t="shared" si="102"/>
        <v/>
      </c>
      <c r="IIL30" t="str">
        <f t="shared" si="102"/>
        <v/>
      </c>
      <c r="IIM30" t="str">
        <f t="shared" si="102"/>
        <v/>
      </c>
      <c r="IIN30" t="str">
        <f t="shared" si="102"/>
        <v/>
      </c>
      <c r="IIO30" t="str">
        <f t="shared" si="102"/>
        <v/>
      </c>
      <c r="IIP30" t="str">
        <f t="shared" si="102"/>
        <v/>
      </c>
      <c r="IIQ30" t="str">
        <f t="shared" si="102"/>
        <v/>
      </c>
      <c r="IIR30" t="str">
        <f t="shared" si="102"/>
        <v/>
      </c>
      <c r="IIS30" t="str">
        <f t="shared" si="102"/>
        <v/>
      </c>
      <c r="IIT30" t="str">
        <f t="shared" si="102"/>
        <v/>
      </c>
      <c r="IIU30" t="str">
        <f t="shared" si="102"/>
        <v/>
      </c>
      <c r="IIV30" t="str">
        <f t="shared" si="102"/>
        <v/>
      </c>
      <c r="IIW30" t="str">
        <f t="shared" si="102"/>
        <v/>
      </c>
      <c r="IIX30" t="str">
        <f t="shared" si="102"/>
        <v/>
      </c>
      <c r="IIY30" t="str">
        <f t="shared" si="102"/>
        <v/>
      </c>
      <c r="IIZ30" t="str">
        <f t="shared" si="102"/>
        <v/>
      </c>
      <c r="IJA30" t="str">
        <f t="shared" si="102"/>
        <v/>
      </c>
      <c r="IJB30" t="str">
        <f t="shared" si="102"/>
        <v/>
      </c>
      <c r="IJC30" t="str">
        <f t="shared" si="102"/>
        <v/>
      </c>
      <c r="IJD30" t="str">
        <f t="shared" si="102"/>
        <v/>
      </c>
      <c r="IJE30" t="str">
        <f t="shared" si="102"/>
        <v/>
      </c>
      <c r="IJF30" t="str">
        <f t="shared" si="102"/>
        <v/>
      </c>
      <c r="IJG30" t="str">
        <f t="shared" si="102"/>
        <v/>
      </c>
      <c r="IJH30" t="str">
        <f t="shared" ref="IJH30:ILS30" si="103">TRIM(IJT11)</f>
        <v/>
      </c>
      <c r="IJI30" t="str">
        <f t="shared" si="103"/>
        <v/>
      </c>
      <c r="IJJ30" t="str">
        <f t="shared" si="103"/>
        <v/>
      </c>
      <c r="IJK30" t="str">
        <f t="shared" si="103"/>
        <v/>
      </c>
      <c r="IJL30" t="str">
        <f t="shared" si="103"/>
        <v/>
      </c>
      <c r="IJM30" t="str">
        <f t="shared" si="103"/>
        <v/>
      </c>
      <c r="IJN30" t="str">
        <f t="shared" si="103"/>
        <v/>
      </c>
      <c r="IJO30" t="str">
        <f t="shared" si="103"/>
        <v/>
      </c>
      <c r="IJP30" t="str">
        <f t="shared" si="103"/>
        <v/>
      </c>
      <c r="IJQ30" t="str">
        <f t="shared" si="103"/>
        <v/>
      </c>
      <c r="IJR30" t="str">
        <f t="shared" si="103"/>
        <v/>
      </c>
      <c r="IJS30" t="str">
        <f t="shared" si="103"/>
        <v/>
      </c>
      <c r="IJT30" t="str">
        <f t="shared" si="103"/>
        <v/>
      </c>
      <c r="IJU30" t="str">
        <f t="shared" si="103"/>
        <v/>
      </c>
      <c r="IJV30" t="str">
        <f t="shared" si="103"/>
        <v/>
      </c>
      <c r="IJW30" t="str">
        <f t="shared" si="103"/>
        <v/>
      </c>
      <c r="IJX30" t="str">
        <f t="shared" si="103"/>
        <v/>
      </c>
      <c r="IJY30" t="str">
        <f t="shared" si="103"/>
        <v/>
      </c>
      <c r="IJZ30" t="str">
        <f t="shared" si="103"/>
        <v/>
      </c>
      <c r="IKA30" t="str">
        <f t="shared" si="103"/>
        <v/>
      </c>
      <c r="IKB30" t="str">
        <f t="shared" si="103"/>
        <v/>
      </c>
      <c r="IKC30" t="str">
        <f t="shared" si="103"/>
        <v/>
      </c>
      <c r="IKD30" t="str">
        <f t="shared" si="103"/>
        <v/>
      </c>
      <c r="IKE30" t="str">
        <f t="shared" si="103"/>
        <v/>
      </c>
      <c r="IKF30" t="str">
        <f t="shared" si="103"/>
        <v/>
      </c>
      <c r="IKG30" t="str">
        <f t="shared" si="103"/>
        <v/>
      </c>
      <c r="IKH30" t="str">
        <f t="shared" si="103"/>
        <v/>
      </c>
      <c r="IKI30" t="str">
        <f t="shared" si="103"/>
        <v/>
      </c>
      <c r="IKJ30" t="str">
        <f t="shared" si="103"/>
        <v/>
      </c>
      <c r="IKK30" t="str">
        <f t="shared" si="103"/>
        <v/>
      </c>
      <c r="IKL30" t="str">
        <f t="shared" si="103"/>
        <v/>
      </c>
      <c r="IKM30" t="str">
        <f t="shared" si="103"/>
        <v/>
      </c>
      <c r="IKN30" t="str">
        <f t="shared" si="103"/>
        <v/>
      </c>
      <c r="IKO30" t="str">
        <f t="shared" si="103"/>
        <v/>
      </c>
      <c r="IKP30" t="str">
        <f t="shared" si="103"/>
        <v/>
      </c>
      <c r="IKQ30" t="str">
        <f t="shared" si="103"/>
        <v/>
      </c>
      <c r="IKR30" t="str">
        <f t="shared" si="103"/>
        <v/>
      </c>
      <c r="IKS30" t="str">
        <f t="shared" si="103"/>
        <v/>
      </c>
      <c r="IKT30" t="str">
        <f t="shared" si="103"/>
        <v/>
      </c>
      <c r="IKU30" t="str">
        <f t="shared" si="103"/>
        <v/>
      </c>
      <c r="IKV30" t="str">
        <f t="shared" si="103"/>
        <v/>
      </c>
      <c r="IKW30" t="str">
        <f t="shared" si="103"/>
        <v/>
      </c>
      <c r="IKX30" t="str">
        <f t="shared" si="103"/>
        <v/>
      </c>
      <c r="IKY30" t="str">
        <f t="shared" si="103"/>
        <v/>
      </c>
      <c r="IKZ30" t="str">
        <f t="shared" si="103"/>
        <v/>
      </c>
      <c r="ILA30" t="str">
        <f t="shared" si="103"/>
        <v/>
      </c>
      <c r="ILB30" t="str">
        <f t="shared" si="103"/>
        <v/>
      </c>
      <c r="ILC30" t="str">
        <f t="shared" si="103"/>
        <v/>
      </c>
      <c r="ILD30" t="str">
        <f t="shared" si="103"/>
        <v/>
      </c>
      <c r="ILE30" t="str">
        <f t="shared" si="103"/>
        <v/>
      </c>
      <c r="ILF30" t="str">
        <f t="shared" si="103"/>
        <v/>
      </c>
      <c r="ILG30" t="str">
        <f t="shared" si="103"/>
        <v/>
      </c>
      <c r="ILH30" t="str">
        <f t="shared" si="103"/>
        <v/>
      </c>
      <c r="ILI30" t="str">
        <f t="shared" si="103"/>
        <v/>
      </c>
      <c r="ILJ30" t="str">
        <f t="shared" si="103"/>
        <v/>
      </c>
      <c r="ILK30" t="str">
        <f t="shared" si="103"/>
        <v/>
      </c>
      <c r="ILL30" t="str">
        <f t="shared" si="103"/>
        <v/>
      </c>
      <c r="ILM30" t="str">
        <f t="shared" si="103"/>
        <v/>
      </c>
      <c r="ILN30" t="str">
        <f t="shared" si="103"/>
        <v/>
      </c>
      <c r="ILO30" t="str">
        <f t="shared" si="103"/>
        <v/>
      </c>
      <c r="ILP30" t="str">
        <f t="shared" si="103"/>
        <v/>
      </c>
      <c r="ILQ30" t="str">
        <f t="shared" si="103"/>
        <v/>
      </c>
      <c r="ILR30" t="str">
        <f t="shared" si="103"/>
        <v/>
      </c>
      <c r="ILS30" t="str">
        <f t="shared" si="103"/>
        <v/>
      </c>
      <c r="ILT30" t="str">
        <f t="shared" ref="ILT30:IOE30" si="104">TRIM(IMF11)</f>
        <v/>
      </c>
      <c r="ILU30" t="str">
        <f t="shared" si="104"/>
        <v/>
      </c>
      <c r="ILV30" t="str">
        <f t="shared" si="104"/>
        <v/>
      </c>
      <c r="ILW30" t="str">
        <f t="shared" si="104"/>
        <v/>
      </c>
      <c r="ILX30" t="str">
        <f t="shared" si="104"/>
        <v/>
      </c>
      <c r="ILY30" t="str">
        <f t="shared" si="104"/>
        <v/>
      </c>
      <c r="ILZ30" t="str">
        <f t="shared" si="104"/>
        <v/>
      </c>
      <c r="IMA30" t="str">
        <f t="shared" si="104"/>
        <v/>
      </c>
      <c r="IMB30" t="str">
        <f t="shared" si="104"/>
        <v/>
      </c>
      <c r="IMC30" t="str">
        <f t="shared" si="104"/>
        <v/>
      </c>
      <c r="IMD30" t="str">
        <f t="shared" si="104"/>
        <v/>
      </c>
      <c r="IME30" t="str">
        <f t="shared" si="104"/>
        <v/>
      </c>
      <c r="IMF30" t="str">
        <f t="shared" si="104"/>
        <v/>
      </c>
      <c r="IMG30" t="str">
        <f t="shared" si="104"/>
        <v/>
      </c>
      <c r="IMH30" t="str">
        <f t="shared" si="104"/>
        <v/>
      </c>
      <c r="IMI30" t="str">
        <f t="shared" si="104"/>
        <v/>
      </c>
      <c r="IMJ30" t="str">
        <f t="shared" si="104"/>
        <v/>
      </c>
      <c r="IMK30" t="str">
        <f t="shared" si="104"/>
        <v/>
      </c>
      <c r="IML30" t="str">
        <f t="shared" si="104"/>
        <v/>
      </c>
      <c r="IMM30" t="str">
        <f t="shared" si="104"/>
        <v/>
      </c>
      <c r="IMN30" t="str">
        <f t="shared" si="104"/>
        <v/>
      </c>
      <c r="IMO30" t="str">
        <f t="shared" si="104"/>
        <v/>
      </c>
      <c r="IMP30" t="str">
        <f t="shared" si="104"/>
        <v/>
      </c>
      <c r="IMQ30" t="str">
        <f t="shared" si="104"/>
        <v/>
      </c>
      <c r="IMR30" t="str">
        <f t="shared" si="104"/>
        <v/>
      </c>
      <c r="IMS30" t="str">
        <f t="shared" si="104"/>
        <v/>
      </c>
      <c r="IMT30" t="str">
        <f t="shared" si="104"/>
        <v/>
      </c>
      <c r="IMU30" t="str">
        <f t="shared" si="104"/>
        <v/>
      </c>
      <c r="IMV30" t="str">
        <f t="shared" si="104"/>
        <v/>
      </c>
      <c r="IMW30" t="str">
        <f t="shared" si="104"/>
        <v/>
      </c>
      <c r="IMX30" t="str">
        <f t="shared" si="104"/>
        <v/>
      </c>
      <c r="IMY30" t="str">
        <f t="shared" si="104"/>
        <v/>
      </c>
      <c r="IMZ30" t="str">
        <f t="shared" si="104"/>
        <v/>
      </c>
      <c r="INA30" t="str">
        <f t="shared" si="104"/>
        <v/>
      </c>
      <c r="INB30" t="str">
        <f t="shared" si="104"/>
        <v/>
      </c>
      <c r="INC30" t="str">
        <f t="shared" si="104"/>
        <v/>
      </c>
      <c r="IND30" t="str">
        <f t="shared" si="104"/>
        <v/>
      </c>
      <c r="INE30" t="str">
        <f t="shared" si="104"/>
        <v/>
      </c>
      <c r="INF30" t="str">
        <f t="shared" si="104"/>
        <v/>
      </c>
      <c r="ING30" t="str">
        <f t="shared" si="104"/>
        <v/>
      </c>
      <c r="INH30" t="str">
        <f t="shared" si="104"/>
        <v/>
      </c>
      <c r="INI30" t="str">
        <f t="shared" si="104"/>
        <v/>
      </c>
      <c r="INJ30" t="str">
        <f t="shared" si="104"/>
        <v/>
      </c>
      <c r="INK30" t="str">
        <f t="shared" si="104"/>
        <v/>
      </c>
      <c r="INL30" t="str">
        <f t="shared" si="104"/>
        <v/>
      </c>
      <c r="INM30" t="str">
        <f t="shared" si="104"/>
        <v/>
      </c>
      <c r="INN30" t="str">
        <f t="shared" si="104"/>
        <v/>
      </c>
      <c r="INO30" t="str">
        <f t="shared" si="104"/>
        <v/>
      </c>
      <c r="INP30" t="str">
        <f t="shared" si="104"/>
        <v/>
      </c>
      <c r="INQ30" t="str">
        <f t="shared" si="104"/>
        <v/>
      </c>
      <c r="INR30" t="str">
        <f t="shared" si="104"/>
        <v/>
      </c>
      <c r="INS30" t="str">
        <f t="shared" si="104"/>
        <v/>
      </c>
      <c r="INT30" t="str">
        <f t="shared" si="104"/>
        <v/>
      </c>
      <c r="INU30" t="str">
        <f t="shared" si="104"/>
        <v/>
      </c>
      <c r="INV30" t="str">
        <f t="shared" si="104"/>
        <v/>
      </c>
      <c r="INW30" t="str">
        <f t="shared" si="104"/>
        <v/>
      </c>
      <c r="INX30" t="str">
        <f t="shared" si="104"/>
        <v/>
      </c>
      <c r="INY30" t="str">
        <f t="shared" si="104"/>
        <v/>
      </c>
      <c r="INZ30" t="str">
        <f t="shared" si="104"/>
        <v/>
      </c>
      <c r="IOA30" t="str">
        <f t="shared" si="104"/>
        <v/>
      </c>
      <c r="IOB30" t="str">
        <f t="shared" si="104"/>
        <v/>
      </c>
      <c r="IOC30" t="str">
        <f t="shared" si="104"/>
        <v/>
      </c>
      <c r="IOD30" t="str">
        <f t="shared" si="104"/>
        <v/>
      </c>
      <c r="IOE30" t="str">
        <f t="shared" si="104"/>
        <v/>
      </c>
      <c r="IOF30" t="str">
        <f t="shared" ref="IOF30:IQQ30" si="105">TRIM(IOR11)</f>
        <v/>
      </c>
      <c r="IOG30" t="str">
        <f t="shared" si="105"/>
        <v/>
      </c>
      <c r="IOH30" t="str">
        <f t="shared" si="105"/>
        <v/>
      </c>
      <c r="IOI30" t="str">
        <f t="shared" si="105"/>
        <v/>
      </c>
      <c r="IOJ30" t="str">
        <f t="shared" si="105"/>
        <v/>
      </c>
      <c r="IOK30" t="str">
        <f t="shared" si="105"/>
        <v/>
      </c>
      <c r="IOL30" t="str">
        <f t="shared" si="105"/>
        <v/>
      </c>
      <c r="IOM30" t="str">
        <f t="shared" si="105"/>
        <v/>
      </c>
      <c r="ION30" t="str">
        <f t="shared" si="105"/>
        <v/>
      </c>
      <c r="IOO30" t="str">
        <f t="shared" si="105"/>
        <v/>
      </c>
      <c r="IOP30" t="str">
        <f t="shared" si="105"/>
        <v/>
      </c>
      <c r="IOQ30" t="str">
        <f t="shared" si="105"/>
        <v/>
      </c>
      <c r="IOR30" t="str">
        <f t="shared" si="105"/>
        <v/>
      </c>
      <c r="IOS30" t="str">
        <f t="shared" si="105"/>
        <v/>
      </c>
      <c r="IOT30" t="str">
        <f t="shared" si="105"/>
        <v/>
      </c>
      <c r="IOU30" t="str">
        <f t="shared" si="105"/>
        <v/>
      </c>
      <c r="IOV30" t="str">
        <f t="shared" si="105"/>
        <v/>
      </c>
      <c r="IOW30" t="str">
        <f t="shared" si="105"/>
        <v/>
      </c>
      <c r="IOX30" t="str">
        <f t="shared" si="105"/>
        <v/>
      </c>
      <c r="IOY30" t="str">
        <f t="shared" si="105"/>
        <v/>
      </c>
      <c r="IOZ30" t="str">
        <f t="shared" si="105"/>
        <v/>
      </c>
      <c r="IPA30" t="str">
        <f t="shared" si="105"/>
        <v/>
      </c>
      <c r="IPB30" t="str">
        <f t="shared" si="105"/>
        <v/>
      </c>
      <c r="IPC30" t="str">
        <f t="shared" si="105"/>
        <v/>
      </c>
      <c r="IPD30" t="str">
        <f t="shared" si="105"/>
        <v/>
      </c>
      <c r="IPE30" t="str">
        <f t="shared" si="105"/>
        <v/>
      </c>
      <c r="IPF30" t="str">
        <f t="shared" si="105"/>
        <v/>
      </c>
      <c r="IPG30" t="str">
        <f t="shared" si="105"/>
        <v/>
      </c>
      <c r="IPH30" t="str">
        <f t="shared" si="105"/>
        <v/>
      </c>
      <c r="IPI30" t="str">
        <f t="shared" si="105"/>
        <v/>
      </c>
      <c r="IPJ30" t="str">
        <f t="shared" si="105"/>
        <v/>
      </c>
      <c r="IPK30" t="str">
        <f t="shared" si="105"/>
        <v/>
      </c>
      <c r="IPL30" t="str">
        <f t="shared" si="105"/>
        <v/>
      </c>
      <c r="IPM30" t="str">
        <f t="shared" si="105"/>
        <v/>
      </c>
      <c r="IPN30" t="str">
        <f t="shared" si="105"/>
        <v/>
      </c>
      <c r="IPO30" t="str">
        <f t="shared" si="105"/>
        <v/>
      </c>
      <c r="IPP30" t="str">
        <f t="shared" si="105"/>
        <v/>
      </c>
      <c r="IPQ30" t="str">
        <f t="shared" si="105"/>
        <v/>
      </c>
      <c r="IPR30" t="str">
        <f t="shared" si="105"/>
        <v/>
      </c>
      <c r="IPS30" t="str">
        <f t="shared" si="105"/>
        <v/>
      </c>
      <c r="IPT30" t="str">
        <f t="shared" si="105"/>
        <v/>
      </c>
      <c r="IPU30" t="str">
        <f t="shared" si="105"/>
        <v/>
      </c>
      <c r="IPV30" t="str">
        <f t="shared" si="105"/>
        <v/>
      </c>
      <c r="IPW30" t="str">
        <f t="shared" si="105"/>
        <v/>
      </c>
      <c r="IPX30" t="str">
        <f t="shared" si="105"/>
        <v/>
      </c>
      <c r="IPY30" t="str">
        <f t="shared" si="105"/>
        <v/>
      </c>
      <c r="IPZ30" t="str">
        <f t="shared" si="105"/>
        <v/>
      </c>
      <c r="IQA30" t="str">
        <f t="shared" si="105"/>
        <v/>
      </c>
      <c r="IQB30" t="str">
        <f t="shared" si="105"/>
        <v/>
      </c>
      <c r="IQC30" t="str">
        <f t="shared" si="105"/>
        <v/>
      </c>
      <c r="IQD30" t="str">
        <f t="shared" si="105"/>
        <v/>
      </c>
      <c r="IQE30" t="str">
        <f t="shared" si="105"/>
        <v/>
      </c>
      <c r="IQF30" t="str">
        <f t="shared" si="105"/>
        <v/>
      </c>
      <c r="IQG30" t="str">
        <f t="shared" si="105"/>
        <v/>
      </c>
      <c r="IQH30" t="str">
        <f t="shared" si="105"/>
        <v/>
      </c>
      <c r="IQI30" t="str">
        <f t="shared" si="105"/>
        <v/>
      </c>
      <c r="IQJ30" t="str">
        <f t="shared" si="105"/>
        <v/>
      </c>
      <c r="IQK30" t="str">
        <f t="shared" si="105"/>
        <v/>
      </c>
      <c r="IQL30" t="str">
        <f t="shared" si="105"/>
        <v/>
      </c>
      <c r="IQM30" t="str">
        <f t="shared" si="105"/>
        <v/>
      </c>
      <c r="IQN30" t="str">
        <f t="shared" si="105"/>
        <v/>
      </c>
      <c r="IQO30" t="str">
        <f t="shared" si="105"/>
        <v/>
      </c>
      <c r="IQP30" t="str">
        <f t="shared" si="105"/>
        <v/>
      </c>
      <c r="IQQ30" t="str">
        <f t="shared" si="105"/>
        <v/>
      </c>
      <c r="IQR30" t="str">
        <f t="shared" ref="IQR30:ITC30" si="106">TRIM(IRD11)</f>
        <v/>
      </c>
      <c r="IQS30" t="str">
        <f t="shared" si="106"/>
        <v/>
      </c>
      <c r="IQT30" t="str">
        <f t="shared" si="106"/>
        <v/>
      </c>
      <c r="IQU30" t="str">
        <f t="shared" si="106"/>
        <v/>
      </c>
      <c r="IQV30" t="str">
        <f t="shared" si="106"/>
        <v/>
      </c>
      <c r="IQW30" t="str">
        <f t="shared" si="106"/>
        <v/>
      </c>
      <c r="IQX30" t="str">
        <f t="shared" si="106"/>
        <v/>
      </c>
      <c r="IQY30" t="str">
        <f t="shared" si="106"/>
        <v/>
      </c>
      <c r="IQZ30" t="str">
        <f t="shared" si="106"/>
        <v/>
      </c>
      <c r="IRA30" t="str">
        <f t="shared" si="106"/>
        <v/>
      </c>
      <c r="IRB30" t="str">
        <f t="shared" si="106"/>
        <v/>
      </c>
      <c r="IRC30" t="str">
        <f t="shared" si="106"/>
        <v/>
      </c>
      <c r="IRD30" t="str">
        <f t="shared" si="106"/>
        <v/>
      </c>
      <c r="IRE30" t="str">
        <f t="shared" si="106"/>
        <v/>
      </c>
      <c r="IRF30" t="str">
        <f t="shared" si="106"/>
        <v/>
      </c>
      <c r="IRG30" t="str">
        <f t="shared" si="106"/>
        <v/>
      </c>
      <c r="IRH30" t="str">
        <f t="shared" si="106"/>
        <v/>
      </c>
      <c r="IRI30" t="str">
        <f t="shared" si="106"/>
        <v/>
      </c>
      <c r="IRJ30" t="str">
        <f t="shared" si="106"/>
        <v/>
      </c>
      <c r="IRK30" t="str">
        <f t="shared" si="106"/>
        <v/>
      </c>
      <c r="IRL30" t="str">
        <f t="shared" si="106"/>
        <v/>
      </c>
      <c r="IRM30" t="str">
        <f t="shared" si="106"/>
        <v/>
      </c>
      <c r="IRN30" t="str">
        <f t="shared" si="106"/>
        <v/>
      </c>
      <c r="IRO30" t="str">
        <f t="shared" si="106"/>
        <v/>
      </c>
      <c r="IRP30" t="str">
        <f t="shared" si="106"/>
        <v/>
      </c>
      <c r="IRQ30" t="str">
        <f t="shared" si="106"/>
        <v/>
      </c>
      <c r="IRR30" t="str">
        <f t="shared" si="106"/>
        <v/>
      </c>
      <c r="IRS30" t="str">
        <f t="shared" si="106"/>
        <v/>
      </c>
      <c r="IRT30" t="str">
        <f t="shared" si="106"/>
        <v/>
      </c>
      <c r="IRU30" t="str">
        <f t="shared" si="106"/>
        <v/>
      </c>
      <c r="IRV30" t="str">
        <f t="shared" si="106"/>
        <v/>
      </c>
      <c r="IRW30" t="str">
        <f t="shared" si="106"/>
        <v/>
      </c>
      <c r="IRX30" t="str">
        <f t="shared" si="106"/>
        <v/>
      </c>
      <c r="IRY30" t="str">
        <f t="shared" si="106"/>
        <v/>
      </c>
      <c r="IRZ30" t="str">
        <f t="shared" si="106"/>
        <v/>
      </c>
      <c r="ISA30" t="str">
        <f t="shared" si="106"/>
        <v/>
      </c>
      <c r="ISB30" t="str">
        <f t="shared" si="106"/>
        <v/>
      </c>
      <c r="ISC30" t="str">
        <f t="shared" si="106"/>
        <v/>
      </c>
      <c r="ISD30" t="str">
        <f t="shared" si="106"/>
        <v/>
      </c>
      <c r="ISE30" t="str">
        <f t="shared" si="106"/>
        <v/>
      </c>
      <c r="ISF30" t="str">
        <f t="shared" si="106"/>
        <v/>
      </c>
      <c r="ISG30" t="str">
        <f t="shared" si="106"/>
        <v/>
      </c>
      <c r="ISH30" t="str">
        <f t="shared" si="106"/>
        <v/>
      </c>
      <c r="ISI30" t="str">
        <f t="shared" si="106"/>
        <v/>
      </c>
      <c r="ISJ30" t="str">
        <f t="shared" si="106"/>
        <v/>
      </c>
      <c r="ISK30" t="str">
        <f t="shared" si="106"/>
        <v/>
      </c>
      <c r="ISL30" t="str">
        <f t="shared" si="106"/>
        <v/>
      </c>
      <c r="ISM30" t="str">
        <f t="shared" si="106"/>
        <v/>
      </c>
      <c r="ISN30" t="str">
        <f t="shared" si="106"/>
        <v/>
      </c>
      <c r="ISO30" t="str">
        <f t="shared" si="106"/>
        <v/>
      </c>
      <c r="ISP30" t="str">
        <f t="shared" si="106"/>
        <v/>
      </c>
      <c r="ISQ30" t="str">
        <f t="shared" si="106"/>
        <v/>
      </c>
      <c r="ISR30" t="str">
        <f t="shared" si="106"/>
        <v/>
      </c>
      <c r="ISS30" t="str">
        <f t="shared" si="106"/>
        <v/>
      </c>
      <c r="IST30" t="str">
        <f t="shared" si="106"/>
        <v/>
      </c>
      <c r="ISU30" t="str">
        <f t="shared" si="106"/>
        <v/>
      </c>
      <c r="ISV30" t="str">
        <f t="shared" si="106"/>
        <v/>
      </c>
      <c r="ISW30" t="str">
        <f t="shared" si="106"/>
        <v/>
      </c>
      <c r="ISX30" t="str">
        <f t="shared" si="106"/>
        <v/>
      </c>
      <c r="ISY30" t="str">
        <f t="shared" si="106"/>
        <v/>
      </c>
      <c r="ISZ30" t="str">
        <f t="shared" si="106"/>
        <v/>
      </c>
      <c r="ITA30" t="str">
        <f t="shared" si="106"/>
        <v/>
      </c>
      <c r="ITB30" t="str">
        <f t="shared" si="106"/>
        <v/>
      </c>
      <c r="ITC30" t="str">
        <f t="shared" si="106"/>
        <v/>
      </c>
      <c r="ITD30" t="str">
        <f t="shared" ref="ITD30:IVO30" si="107">TRIM(ITP11)</f>
        <v/>
      </c>
      <c r="ITE30" t="str">
        <f t="shared" si="107"/>
        <v/>
      </c>
      <c r="ITF30" t="str">
        <f t="shared" si="107"/>
        <v/>
      </c>
      <c r="ITG30" t="str">
        <f t="shared" si="107"/>
        <v/>
      </c>
      <c r="ITH30" t="str">
        <f t="shared" si="107"/>
        <v/>
      </c>
      <c r="ITI30" t="str">
        <f t="shared" si="107"/>
        <v/>
      </c>
      <c r="ITJ30" t="str">
        <f t="shared" si="107"/>
        <v/>
      </c>
      <c r="ITK30" t="str">
        <f t="shared" si="107"/>
        <v/>
      </c>
      <c r="ITL30" t="str">
        <f t="shared" si="107"/>
        <v/>
      </c>
      <c r="ITM30" t="str">
        <f t="shared" si="107"/>
        <v/>
      </c>
      <c r="ITN30" t="str">
        <f t="shared" si="107"/>
        <v/>
      </c>
      <c r="ITO30" t="str">
        <f t="shared" si="107"/>
        <v/>
      </c>
      <c r="ITP30" t="str">
        <f t="shared" si="107"/>
        <v/>
      </c>
      <c r="ITQ30" t="str">
        <f t="shared" si="107"/>
        <v/>
      </c>
      <c r="ITR30" t="str">
        <f t="shared" si="107"/>
        <v/>
      </c>
      <c r="ITS30" t="str">
        <f t="shared" si="107"/>
        <v/>
      </c>
      <c r="ITT30" t="str">
        <f t="shared" si="107"/>
        <v/>
      </c>
      <c r="ITU30" t="str">
        <f t="shared" si="107"/>
        <v/>
      </c>
      <c r="ITV30" t="str">
        <f t="shared" si="107"/>
        <v/>
      </c>
      <c r="ITW30" t="str">
        <f t="shared" si="107"/>
        <v/>
      </c>
      <c r="ITX30" t="str">
        <f t="shared" si="107"/>
        <v/>
      </c>
      <c r="ITY30" t="str">
        <f t="shared" si="107"/>
        <v/>
      </c>
      <c r="ITZ30" t="str">
        <f t="shared" si="107"/>
        <v/>
      </c>
      <c r="IUA30" t="str">
        <f t="shared" si="107"/>
        <v/>
      </c>
      <c r="IUB30" t="str">
        <f t="shared" si="107"/>
        <v/>
      </c>
      <c r="IUC30" t="str">
        <f t="shared" si="107"/>
        <v/>
      </c>
      <c r="IUD30" t="str">
        <f t="shared" si="107"/>
        <v/>
      </c>
      <c r="IUE30" t="str">
        <f t="shared" si="107"/>
        <v/>
      </c>
      <c r="IUF30" t="str">
        <f t="shared" si="107"/>
        <v/>
      </c>
      <c r="IUG30" t="str">
        <f t="shared" si="107"/>
        <v/>
      </c>
      <c r="IUH30" t="str">
        <f t="shared" si="107"/>
        <v/>
      </c>
      <c r="IUI30" t="str">
        <f t="shared" si="107"/>
        <v/>
      </c>
      <c r="IUJ30" t="str">
        <f t="shared" si="107"/>
        <v/>
      </c>
      <c r="IUK30" t="str">
        <f t="shared" si="107"/>
        <v/>
      </c>
      <c r="IUL30" t="str">
        <f t="shared" si="107"/>
        <v/>
      </c>
      <c r="IUM30" t="str">
        <f t="shared" si="107"/>
        <v/>
      </c>
      <c r="IUN30" t="str">
        <f t="shared" si="107"/>
        <v/>
      </c>
      <c r="IUO30" t="str">
        <f t="shared" si="107"/>
        <v/>
      </c>
      <c r="IUP30" t="str">
        <f t="shared" si="107"/>
        <v/>
      </c>
      <c r="IUQ30" t="str">
        <f t="shared" si="107"/>
        <v/>
      </c>
      <c r="IUR30" t="str">
        <f t="shared" si="107"/>
        <v/>
      </c>
      <c r="IUS30" t="str">
        <f t="shared" si="107"/>
        <v/>
      </c>
      <c r="IUT30" t="str">
        <f t="shared" si="107"/>
        <v/>
      </c>
      <c r="IUU30" t="str">
        <f t="shared" si="107"/>
        <v/>
      </c>
      <c r="IUV30" t="str">
        <f t="shared" si="107"/>
        <v/>
      </c>
      <c r="IUW30" t="str">
        <f t="shared" si="107"/>
        <v/>
      </c>
      <c r="IUX30" t="str">
        <f t="shared" si="107"/>
        <v/>
      </c>
      <c r="IUY30" t="str">
        <f t="shared" si="107"/>
        <v/>
      </c>
      <c r="IUZ30" t="str">
        <f t="shared" si="107"/>
        <v/>
      </c>
      <c r="IVA30" t="str">
        <f t="shared" si="107"/>
        <v/>
      </c>
      <c r="IVB30" t="str">
        <f t="shared" si="107"/>
        <v/>
      </c>
      <c r="IVC30" t="str">
        <f t="shared" si="107"/>
        <v/>
      </c>
      <c r="IVD30" t="str">
        <f t="shared" si="107"/>
        <v/>
      </c>
      <c r="IVE30" t="str">
        <f t="shared" si="107"/>
        <v/>
      </c>
      <c r="IVF30" t="str">
        <f t="shared" si="107"/>
        <v/>
      </c>
      <c r="IVG30" t="str">
        <f t="shared" si="107"/>
        <v/>
      </c>
      <c r="IVH30" t="str">
        <f t="shared" si="107"/>
        <v/>
      </c>
      <c r="IVI30" t="str">
        <f t="shared" si="107"/>
        <v/>
      </c>
      <c r="IVJ30" t="str">
        <f t="shared" si="107"/>
        <v/>
      </c>
      <c r="IVK30" t="str">
        <f t="shared" si="107"/>
        <v/>
      </c>
      <c r="IVL30" t="str">
        <f t="shared" si="107"/>
        <v/>
      </c>
      <c r="IVM30" t="str">
        <f t="shared" si="107"/>
        <v/>
      </c>
      <c r="IVN30" t="str">
        <f t="shared" si="107"/>
        <v/>
      </c>
      <c r="IVO30" t="str">
        <f t="shared" si="107"/>
        <v/>
      </c>
      <c r="IVP30" t="str">
        <f t="shared" ref="IVP30:IYA30" si="108">TRIM(IWB11)</f>
        <v/>
      </c>
      <c r="IVQ30" t="str">
        <f t="shared" si="108"/>
        <v/>
      </c>
      <c r="IVR30" t="str">
        <f t="shared" si="108"/>
        <v/>
      </c>
      <c r="IVS30" t="str">
        <f t="shared" si="108"/>
        <v/>
      </c>
      <c r="IVT30" t="str">
        <f t="shared" si="108"/>
        <v/>
      </c>
      <c r="IVU30" t="str">
        <f t="shared" si="108"/>
        <v/>
      </c>
      <c r="IVV30" t="str">
        <f t="shared" si="108"/>
        <v/>
      </c>
      <c r="IVW30" t="str">
        <f t="shared" si="108"/>
        <v/>
      </c>
      <c r="IVX30" t="str">
        <f t="shared" si="108"/>
        <v/>
      </c>
      <c r="IVY30" t="str">
        <f t="shared" si="108"/>
        <v/>
      </c>
      <c r="IVZ30" t="str">
        <f t="shared" si="108"/>
        <v/>
      </c>
      <c r="IWA30" t="str">
        <f t="shared" si="108"/>
        <v/>
      </c>
      <c r="IWB30" t="str">
        <f t="shared" si="108"/>
        <v/>
      </c>
      <c r="IWC30" t="str">
        <f t="shared" si="108"/>
        <v/>
      </c>
      <c r="IWD30" t="str">
        <f t="shared" si="108"/>
        <v/>
      </c>
      <c r="IWE30" t="str">
        <f t="shared" si="108"/>
        <v/>
      </c>
      <c r="IWF30" t="str">
        <f t="shared" si="108"/>
        <v/>
      </c>
      <c r="IWG30" t="str">
        <f t="shared" si="108"/>
        <v/>
      </c>
      <c r="IWH30" t="str">
        <f t="shared" si="108"/>
        <v/>
      </c>
      <c r="IWI30" t="str">
        <f t="shared" si="108"/>
        <v/>
      </c>
      <c r="IWJ30" t="str">
        <f t="shared" si="108"/>
        <v/>
      </c>
      <c r="IWK30" t="str">
        <f t="shared" si="108"/>
        <v/>
      </c>
      <c r="IWL30" t="str">
        <f t="shared" si="108"/>
        <v/>
      </c>
      <c r="IWM30" t="str">
        <f t="shared" si="108"/>
        <v/>
      </c>
      <c r="IWN30" t="str">
        <f t="shared" si="108"/>
        <v/>
      </c>
      <c r="IWO30" t="str">
        <f t="shared" si="108"/>
        <v/>
      </c>
      <c r="IWP30" t="str">
        <f t="shared" si="108"/>
        <v/>
      </c>
      <c r="IWQ30" t="str">
        <f t="shared" si="108"/>
        <v/>
      </c>
      <c r="IWR30" t="str">
        <f t="shared" si="108"/>
        <v/>
      </c>
      <c r="IWS30" t="str">
        <f t="shared" si="108"/>
        <v/>
      </c>
      <c r="IWT30" t="str">
        <f t="shared" si="108"/>
        <v/>
      </c>
      <c r="IWU30" t="str">
        <f t="shared" si="108"/>
        <v/>
      </c>
      <c r="IWV30" t="str">
        <f t="shared" si="108"/>
        <v/>
      </c>
      <c r="IWW30" t="str">
        <f t="shared" si="108"/>
        <v/>
      </c>
      <c r="IWX30" t="str">
        <f t="shared" si="108"/>
        <v/>
      </c>
      <c r="IWY30" t="str">
        <f t="shared" si="108"/>
        <v/>
      </c>
      <c r="IWZ30" t="str">
        <f t="shared" si="108"/>
        <v/>
      </c>
      <c r="IXA30" t="str">
        <f t="shared" si="108"/>
        <v/>
      </c>
      <c r="IXB30" t="str">
        <f t="shared" si="108"/>
        <v/>
      </c>
      <c r="IXC30" t="str">
        <f t="shared" si="108"/>
        <v/>
      </c>
      <c r="IXD30" t="str">
        <f t="shared" si="108"/>
        <v/>
      </c>
      <c r="IXE30" t="str">
        <f t="shared" si="108"/>
        <v/>
      </c>
      <c r="IXF30" t="str">
        <f t="shared" si="108"/>
        <v/>
      </c>
      <c r="IXG30" t="str">
        <f t="shared" si="108"/>
        <v/>
      </c>
      <c r="IXH30" t="str">
        <f t="shared" si="108"/>
        <v/>
      </c>
      <c r="IXI30" t="str">
        <f t="shared" si="108"/>
        <v/>
      </c>
      <c r="IXJ30" t="str">
        <f t="shared" si="108"/>
        <v/>
      </c>
      <c r="IXK30" t="str">
        <f t="shared" si="108"/>
        <v/>
      </c>
      <c r="IXL30" t="str">
        <f t="shared" si="108"/>
        <v/>
      </c>
      <c r="IXM30" t="str">
        <f t="shared" si="108"/>
        <v/>
      </c>
      <c r="IXN30" t="str">
        <f t="shared" si="108"/>
        <v/>
      </c>
      <c r="IXO30" t="str">
        <f t="shared" si="108"/>
        <v/>
      </c>
      <c r="IXP30" t="str">
        <f t="shared" si="108"/>
        <v/>
      </c>
      <c r="IXQ30" t="str">
        <f t="shared" si="108"/>
        <v/>
      </c>
      <c r="IXR30" t="str">
        <f t="shared" si="108"/>
        <v/>
      </c>
      <c r="IXS30" t="str">
        <f t="shared" si="108"/>
        <v/>
      </c>
      <c r="IXT30" t="str">
        <f t="shared" si="108"/>
        <v/>
      </c>
      <c r="IXU30" t="str">
        <f t="shared" si="108"/>
        <v/>
      </c>
      <c r="IXV30" t="str">
        <f t="shared" si="108"/>
        <v/>
      </c>
      <c r="IXW30" t="str">
        <f t="shared" si="108"/>
        <v/>
      </c>
      <c r="IXX30" t="str">
        <f t="shared" si="108"/>
        <v/>
      </c>
      <c r="IXY30" t="str">
        <f t="shared" si="108"/>
        <v/>
      </c>
      <c r="IXZ30" t="str">
        <f t="shared" si="108"/>
        <v/>
      </c>
      <c r="IYA30" t="str">
        <f t="shared" si="108"/>
        <v/>
      </c>
      <c r="IYB30" t="str">
        <f t="shared" ref="IYB30:JAM30" si="109">TRIM(IYN11)</f>
        <v/>
      </c>
      <c r="IYC30" t="str">
        <f t="shared" si="109"/>
        <v/>
      </c>
      <c r="IYD30" t="str">
        <f t="shared" si="109"/>
        <v/>
      </c>
      <c r="IYE30" t="str">
        <f t="shared" si="109"/>
        <v/>
      </c>
      <c r="IYF30" t="str">
        <f t="shared" si="109"/>
        <v/>
      </c>
      <c r="IYG30" t="str">
        <f t="shared" si="109"/>
        <v/>
      </c>
      <c r="IYH30" t="str">
        <f t="shared" si="109"/>
        <v/>
      </c>
      <c r="IYI30" t="str">
        <f t="shared" si="109"/>
        <v/>
      </c>
      <c r="IYJ30" t="str">
        <f t="shared" si="109"/>
        <v/>
      </c>
      <c r="IYK30" t="str">
        <f t="shared" si="109"/>
        <v/>
      </c>
      <c r="IYL30" t="str">
        <f t="shared" si="109"/>
        <v/>
      </c>
      <c r="IYM30" t="str">
        <f t="shared" si="109"/>
        <v/>
      </c>
      <c r="IYN30" t="str">
        <f t="shared" si="109"/>
        <v/>
      </c>
      <c r="IYO30" t="str">
        <f t="shared" si="109"/>
        <v/>
      </c>
      <c r="IYP30" t="str">
        <f t="shared" si="109"/>
        <v/>
      </c>
      <c r="IYQ30" t="str">
        <f t="shared" si="109"/>
        <v/>
      </c>
      <c r="IYR30" t="str">
        <f t="shared" si="109"/>
        <v/>
      </c>
      <c r="IYS30" t="str">
        <f t="shared" si="109"/>
        <v/>
      </c>
      <c r="IYT30" t="str">
        <f t="shared" si="109"/>
        <v/>
      </c>
      <c r="IYU30" t="str">
        <f t="shared" si="109"/>
        <v/>
      </c>
      <c r="IYV30" t="str">
        <f t="shared" si="109"/>
        <v/>
      </c>
      <c r="IYW30" t="str">
        <f t="shared" si="109"/>
        <v/>
      </c>
      <c r="IYX30" t="str">
        <f t="shared" si="109"/>
        <v/>
      </c>
      <c r="IYY30" t="str">
        <f t="shared" si="109"/>
        <v/>
      </c>
      <c r="IYZ30" t="str">
        <f t="shared" si="109"/>
        <v/>
      </c>
      <c r="IZA30" t="str">
        <f t="shared" si="109"/>
        <v/>
      </c>
      <c r="IZB30" t="str">
        <f t="shared" si="109"/>
        <v/>
      </c>
      <c r="IZC30" t="str">
        <f t="shared" si="109"/>
        <v/>
      </c>
      <c r="IZD30" t="str">
        <f t="shared" si="109"/>
        <v/>
      </c>
      <c r="IZE30" t="str">
        <f t="shared" si="109"/>
        <v/>
      </c>
      <c r="IZF30" t="str">
        <f t="shared" si="109"/>
        <v/>
      </c>
      <c r="IZG30" t="str">
        <f t="shared" si="109"/>
        <v/>
      </c>
      <c r="IZH30" t="str">
        <f t="shared" si="109"/>
        <v/>
      </c>
      <c r="IZI30" t="str">
        <f t="shared" si="109"/>
        <v/>
      </c>
      <c r="IZJ30" t="str">
        <f t="shared" si="109"/>
        <v/>
      </c>
      <c r="IZK30" t="str">
        <f t="shared" si="109"/>
        <v/>
      </c>
      <c r="IZL30" t="str">
        <f t="shared" si="109"/>
        <v/>
      </c>
      <c r="IZM30" t="str">
        <f t="shared" si="109"/>
        <v/>
      </c>
      <c r="IZN30" t="str">
        <f t="shared" si="109"/>
        <v/>
      </c>
      <c r="IZO30" t="str">
        <f t="shared" si="109"/>
        <v/>
      </c>
      <c r="IZP30" t="str">
        <f t="shared" si="109"/>
        <v/>
      </c>
      <c r="IZQ30" t="str">
        <f t="shared" si="109"/>
        <v/>
      </c>
      <c r="IZR30" t="str">
        <f t="shared" si="109"/>
        <v/>
      </c>
      <c r="IZS30" t="str">
        <f t="shared" si="109"/>
        <v/>
      </c>
      <c r="IZT30" t="str">
        <f t="shared" si="109"/>
        <v/>
      </c>
      <c r="IZU30" t="str">
        <f t="shared" si="109"/>
        <v/>
      </c>
      <c r="IZV30" t="str">
        <f t="shared" si="109"/>
        <v/>
      </c>
      <c r="IZW30" t="str">
        <f t="shared" si="109"/>
        <v/>
      </c>
      <c r="IZX30" t="str">
        <f t="shared" si="109"/>
        <v/>
      </c>
      <c r="IZY30" t="str">
        <f t="shared" si="109"/>
        <v/>
      </c>
      <c r="IZZ30" t="str">
        <f t="shared" si="109"/>
        <v/>
      </c>
      <c r="JAA30" t="str">
        <f t="shared" si="109"/>
        <v/>
      </c>
      <c r="JAB30" t="str">
        <f t="shared" si="109"/>
        <v/>
      </c>
      <c r="JAC30" t="str">
        <f t="shared" si="109"/>
        <v/>
      </c>
      <c r="JAD30" t="str">
        <f t="shared" si="109"/>
        <v/>
      </c>
      <c r="JAE30" t="str">
        <f t="shared" si="109"/>
        <v/>
      </c>
      <c r="JAF30" t="str">
        <f t="shared" si="109"/>
        <v/>
      </c>
      <c r="JAG30" t="str">
        <f t="shared" si="109"/>
        <v/>
      </c>
      <c r="JAH30" t="str">
        <f t="shared" si="109"/>
        <v/>
      </c>
      <c r="JAI30" t="str">
        <f t="shared" si="109"/>
        <v/>
      </c>
      <c r="JAJ30" t="str">
        <f t="shared" si="109"/>
        <v/>
      </c>
      <c r="JAK30" t="str">
        <f t="shared" si="109"/>
        <v/>
      </c>
      <c r="JAL30" t="str">
        <f t="shared" si="109"/>
        <v/>
      </c>
      <c r="JAM30" t="str">
        <f t="shared" si="109"/>
        <v/>
      </c>
      <c r="JAN30" t="str">
        <f t="shared" ref="JAN30:JCY30" si="110">TRIM(JAZ11)</f>
        <v/>
      </c>
      <c r="JAO30" t="str">
        <f t="shared" si="110"/>
        <v/>
      </c>
      <c r="JAP30" t="str">
        <f t="shared" si="110"/>
        <v/>
      </c>
      <c r="JAQ30" t="str">
        <f t="shared" si="110"/>
        <v/>
      </c>
      <c r="JAR30" t="str">
        <f t="shared" si="110"/>
        <v/>
      </c>
      <c r="JAS30" t="str">
        <f t="shared" si="110"/>
        <v/>
      </c>
      <c r="JAT30" t="str">
        <f t="shared" si="110"/>
        <v/>
      </c>
      <c r="JAU30" t="str">
        <f t="shared" si="110"/>
        <v/>
      </c>
      <c r="JAV30" t="str">
        <f t="shared" si="110"/>
        <v/>
      </c>
      <c r="JAW30" t="str">
        <f t="shared" si="110"/>
        <v/>
      </c>
      <c r="JAX30" t="str">
        <f t="shared" si="110"/>
        <v/>
      </c>
      <c r="JAY30" t="str">
        <f t="shared" si="110"/>
        <v/>
      </c>
      <c r="JAZ30" t="str">
        <f t="shared" si="110"/>
        <v/>
      </c>
      <c r="JBA30" t="str">
        <f t="shared" si="110"/>
        <v/>
      </c>
      <c r="JBB30" t="str">
        <f t="shared" si="110"/>
        <v/>
      </c>
      <c r="JBC30" t="str">
        <f t="shared" si="110"/>
        <v/>
      </c>
      <c r="JBD30" t="str">
        <f t="shared" si="110"/>
        <v/>
      </c>
      <c r="JBE30" t="str">
        <f t="shared" si="110"/>
        <v/>
      </c>
      <c r="JBF30" t="str">
        <f t="shared" si="110"/>
        <v/>
      </c>
      <c r="JBG30" t="str">
        <f t="shared" si="110"/>
        <v/>
      </c>
      <c r="JBH30" t="str">
        <f t="shared" si="110"/>
        <v/>
      </c>
      <c r="JBI30" t="str">
        <f t="shared" si="110"/>
        <v/>
      </c>
      <c r="JBJ30" t="str">
        <f t="shared" si="110"/>
        <v/>
      </c>
      <c r="JBK30" t="str">
        <f t="shared" si="110"/>
        <v/>
      </c>
      <c r="JBL30" t="str">
        <f t="shared" si="110"/>
        <v/>
      </c>
      <c r="JBM30" t="str">
        <f t="shared" si="110"/>
        <v/>
      </c>
      <c r="JBN30" t="str">
        <f t="shared" si="110"/>
        <v/>
      </c>
      <c r="JBO30" t="str">
        <f t="shared" si="110"/>
        <v/>
      </c>
      <c r="JBP30" t="str">
        <f t="shared" si="110"/>
        <v/>
      </c>
      <c r="JBQ30" t="str">
        <f t="shared" si="110"/>
        <v/>
      </c>
      <c r="JBR30" t="str">
        <f t="shared" si="110"/>
        <v/>
      </c>
      <c r="JBS30" t="str">
        <f t="shared" si="110"/>
        <v/>
      </c>
      <c r="JBT30" t="str">
        <f t="shared" si="110"/>
        <v/>
      </c>
      <c r="JBU30" t="str">
        <f t="shared" si="110"/>
        <v/>
      </c>
      <c r="JBV30" t="str">
        <f t="shared" si="110"/>
        <v/>
      </c>
      <c r="JBW30" t="str">
        <f t="shared" si="110"/>
        <v/>
      </c>
      <c r="JBX30" t="str">
        <f t="shared" si="110"/>
        <v/>
      </c>
      <c r="JBY30" t="str">
        <f t="shared" si="110"/>
        <v/>
      </c>
      <c r="JBZ30" t="str">
        <f t="shared" si="110"/>
        <v/>
      </c>
      <c r="JCA30" t="str">
        <f t="shared" si="110"/>
        <v/>
      </c>
      <c r="JCB30" t="str">
        <f t="shared" si="110"/>
        <v/>
      </c>
      <c r="JCC30" t="str">
        <f t="shared" si="110"/>
        <v/>
      </c>
      <c r="JCD30" t="str">
        <f t="shared" si="110"/>
        <v/>
      </c>
      <c r="JCE30" t="str">
        <f t="shared" si="110"/>
        <v/>
      </c>
      <c r="JCF30" t="str">
        <f t="shared" si="110"/>
        <v/>
      </c>
      <c r="JCG30" t="str">
        <f t="shared" si="110"/>
        <v/>
      </c>
      <c r="JCH30" t="str">
        <f t="shared" si="110"/>
        <v/>
      </c>
      <c r="JCI30" t="str">
        <f t="shared" si="110"/>
        <v/>
      </c>
      <c r="JCJ30" t="str">
        <f t="shared" si="110"/>
        <v/>
      </c>
      <c r="JCK30" t="str">
        <f t="shared" si="110"/>
        <v/>
      </c>
      <c r="JCL30" t="str">
        <f t="shared" si="110"/>
        <v/>
      </c>
      <c r="JCM30" t="str">
        <f t="shared" si="110"/>
        <v/>
      </c>
      <c r="JCN30" t="str">
        <f t="shared" si="110"/>
        <v/>
      </c>
      <c r="JCO30" t="str">
        <f t="shared" si="110"/>
        <v/>
      </c>
      <c r="JCP30" t="str">
        <f t="shared" si="110"/>
        <v/>
      </c>
      <c r="JCQ30" t="str">
        <f t="shared" si="110"/>
        <v/>
      </c>
      <c r="JCR30" t="str">
        <f t="shared" si="110"/>
        <v/>
      </c>
      <c r="JCS30" t="str">
        <f t="shared" si="110"/>
        <v/>
      </c>
      <c r="JCT30" t="str">
        <f t="shared" si="110"/>
        <v/>
      </c>
      <c r="JCU30" t="str">
        <f t="shared" si="110"/>
        <v/>
      </c>
      <c r="JCV30" t="str">
        <f t="shared" si="110"/>
        <v/>
      </c>
      <c r="JCW30" t="str">
        <f t="shared" si="110"/>
        <v/>
      </c>
      <c r="JCX30" t="str">
        <f t="shared" si="110"/>
        <v/>
      </c>
      <c r="JCY30" t="str">
        <f t="shared" si="110"/>
        <v/>
      </c>
      <c r="JCZ30" t="str">
        <f t="shared" ref="JCZ30:JFK30" si="111">TRIM(JDL11)</f>
        <v/>
      </c>
      <c r="JDA30" t="str">
        <f t="shared" si="111"/>
        <v/>
      </c>
      <c r="JDB30" t="str">
        <f t="shared" si="111"/>
        <v/>
      </c>
      <c r="JDC30" t="str">
        <f t="shared" si="111"/>
        <v/>
      </c>
      <c r="JDD30" t="str">
        <f t="shared" si="111"/>
        <v/>
      </c>
      <c r="JDE30" t="str">
        <f t="shared" si="111"/>
        <v/>
      </c>
      <c r="JDF30" t="str">
        <f t="shared" si="111"/>
        <v/>
      </c>
      <c r="JDG30" t="str">
        <f t="shared" si="111"/>
        <v/>
      </c>
      <c r="JDH30" t="str">
        <f t="shared" si="111"/>
        <v/>
      </c>
      <c r="JDI30" t="str">
        <f t="shared" si="111"/>
        <v/>
      </c>
      <c r="JDJ30" t="str">
        <f t="shared" si="111"/>
        <v/>
      </c>
      <c r="JDK30" t="str">
        <f t="shared" si="111"/>
        <v/>
      </c>
      <c r="JDL30" t="str">
        <f t="shared" si="111"/>
        <v/>
      </c>
      <c r="JDM30" t="str">
        <f t="shared" si="111"/>
        <v/>
      </c>
      <c r="JDN30" t="str">
        <f t="shared" si="111"/>
        <v/>
      </c>
      <c r="JDO30" t="str">
        <f t="shared" si="111"/>
        <v/>
      </c>
      <c r="JDP30" t="str">
        <f t="shared" si="111"/>
        <v/>
      </c>
      <c r="JDQ30" t="str">
        <f t="shared" si="111"/>
        <v/>
      </c>
      <c r="JDR30" t="str">
        <f t="shared" si="111"/>
        <v/>
      </c>
      <c r="JDS30" t="str">
        <f t="shared" si="111"/>
        <v/>
      </c>
      <c r="JDT30" t="str">
        <f t="shared" si="111"/>
        <v/>
      </c>
      <c r="JDU30" t="str">
        <f t="shared" si="111"/>
        <v/>
      </c>
      <c r="JDV30" t="str">
        <f t="shared" si="111"/>
        <v/>
      </c>
      <c r="JDW30" t="str">
        <f t="shared" si="111"/>
        <v/>
      </c>
      <c r="JDX30" t="str">
        <f t="shared" si="111"/>
        <v/>
      </c>
      <c r="JDY30" t="str">
        <f t="shared" si="111"/>
        <v/>
      </c>
      <c r="JDZ30" t="str">
        <f t="shared" si="111"/>
        <v/>
      </c>
      <c r="JEA30" t="str">
        <f t="shared" si="111"/>
        <v/>
      </c>
      <c r="JEB30" t="str">
        <f t="shared" si="111"/>
        <v/>
      </c>
      <c r="JEC30" t="str">
        <f t="shared" si="111"/>
        <v/>
      </c>
      <c r="JED30" t="str">
        <f t="shared" si="111"/>
        <v/>
      </c>
      <c r="JEE30" t="str">
        <f t="shared" si="111"/>
        <v/>
      </c>
      <c r="JEF30" t="str">
        <f t="shared" si="111"/>
        <v/>
      </c>
      <c r="JEG30" t="str">
        <f t="shared" si="111"/>
        <v/>
      </c>
      <c r="JEH30" t="str">
        <f t="shared" si="111"/>
        <v/>
      </c>
      <c r="JEI30" t="str">
        <f t="shared" si="111"/>
        <v/>
      </c>
      <c r="JEJ30" t="str">
        <f t="shared" si="111"/>
        <v/>
      </c>
      <c r="JEK30" t="str">
        <f t="shared" si="111"/>
        <v/>
      </c>
      <c r="JEL30" t="str">
        <f t="shared" si="111"/>
        <v/>
      </c>
      <c r="JEM30" t="str">
        <f t="shared" si="111"/>
        <v/>
      </c>
      <c r="JEN30" t="str">
        <f t="shared" si="111"/>
        <v/>
      </c>
      <c r="JEO30" t="str">
        <f t="shared" si="111"/>
        <v/>
      </c>
      <c r="JEP30" t="str">
        <f t="shared" si="111"/>
        <v/>
      </c>
      <c r="JEQ30" t="str">
        <f t="shared" si="111"/>
        <v/>
      </c>
      <c r="JER30" t="str">
        <f t="shared" si="111"/>
        <v/>
      </c>
      <c r="JES30" t="str">
        <f t="shared" si="111"/>
        <v/>
      </c>
      <c r="JET30" t="str">
        <f t="shared" si="111"/>
        <v/>
      </c>
      <c r="JEU30" t="str">
        <f t="shared" si="111"/>
        <v/>
      </c>
      <c r="JEV30" t="str">
        <f t="shared" si="111"/>
        <v/>
      </c>
      <c r="JEW30" t="str">
        <f t="shared" si="111"/>
        <v/>
      </c>
      <c r="JEX30" t="str">
        <f t="shared" si="111"/>
        <v/>
      </c>
      <c r="JEY30" t="str">
        <f t="shared" si="111"/>
        <v/>
      </c>
      <c r="JEZ30" t="str">
        <f t="shared" si="111"/>
        <v/>
      </c>
      <c r="JFA30" t="str">
        <f t="shared" si="111"/>
        <v/>
      </c>
      <c r="JFB30" t="str">
        <f t="shared" si="111"/>
        <v/>
      </c>
      <c r="JFC30" t="str">
        <f t="shared" si="111"/>
        <v/>
      </c>
      <c r="JFD30" t="str">
        <f t="shared" si="111"/>
        <v/>
      </c>
      <c r="JFE30" t="str">
        <f t="shared" si="111"/>
        <v/>
      </c>
      <c r="JFF30" t="str">
        <f t="shared" si="111"/>
        <v/>
      </c>
      <c r="JFG30" t="str">
        <f t="shared" si="111"/>
        <v/>
      </c>
      <c r="JFH30" t="str">
        <f t="shared" si="111"/>
        <v/>
      </c>
      <c r="JFI30" t="str">
        <f t="shared" si="111"/>
        <v/>
      </c>
      <c r="JFJ30" t="str">
        <f t="shared" si="111"/>
        <v/>
      </c>
      <c r="JFK30" t="str">
        <f t="shared" si="111"/>
        <v/>
      </c>
      <c r="JFL30" t="str">
        <f t="shared" ref="JFL30:JHW30" si="112">TRIM(JFX11)</f>
        <v/>
      </c>
      <c r="JFM30" t="str">
        <f t="shared" si="112"/>
        <v/>
      </c>
      <c r="JFN30" t="str">
        <f t="shared" si="112"/>
        <v/>
      </c>
      <c r="JFO30" t="str">
        <f t="shared" si="112"/>
        <v/>
      </c>
      <c r="JFP30" t="str">
        <f t="shared" si="112"/>
        <v/>
      </c>
      <c r="JFQ30" t="str">
        <f t="shared" si="112"/>
        <v/>
      </c>
      <c r="JFR30" t="str">
        <f t="shared" si="112"/>
        <v/>
      </c>
      <c r="JFS30" t="str">
        <f t="shared" si="112"/>
        <v/>
      </c>
      <c r="JFT30" t="str">
        <f t="shared" si="112"/>
        <v/>
      </c>
      <c r="JFU30" t="str">
        <f t="shared" si="112"/>
        <v/>
      </c>
      <c r="JFV30" t="str">
        <f t="shared" si="112"/>
        <v/>
      </c>
      <c r="JFW30" t="str">
        <f t="shared" si="112"/>
        <v/>
      </c>
      <c r="JFX30" t="str">
        <f t="shared" si="112"/>
        <v/>
      </c>
      <c r="JFY30" t="str">
        <f t="shared" si="112"/>
        <v/>
      </c>
      <c r="JFZ30" t="str">
        <f t="shared" si="112"/>
        <v/>
      </c>
      <c r="JGA30" t="str">
        <f t="shared" si="112"/>
        <v/>
      </c>
      <c r="JGB30" t="str">
        <f t="shared" si="112"/>
        <v/>
      </c>
      <c r="JGC30" t="str">
        <f t="shared" si="112"/>
        <v/>
      </c>
      <c r="JGD30" t="str">
        <f t="shared" si="112"/>
        <v/>
      </c>
      <c r="JGE30" t="str">
        <f t="shared" si="112"/>
        <v/>
      </c>
      <c r="JGF30" t="str">
        <f t="shared" si="112"/>
        <v/>
      </c>
      <c r="JGG30" t="str">
        <f t="shared" si="112"/>
        <v/>
      </c>
      <c r="JGH30" t="str">
        <f t="shared" si="112"/>
        <v/>
      </c>
      <c r="JGI30" t="str">
        <f t="shared" si="112"/>
        <v/>
      </c>
      <c r="JGJ30" t="str">
        <f t="shared" si="112"/>
        <v/>
      </c>
      <c r="JGK30" t="str">
        <f t="shared" si="112"/>
        <v/>
      </c>
      <c r="JGL30" t="str">
        <f t="shared" si="112"/>
        <v/>
      </c>
      <c r="JGM30" t="str">
        <f t="shared" si="112"/>
        <v/>
      </c>
      <c r="JGN30" t="str">
        <f t="shared" si="112"/>
        <v/>
      </c>
      <c r="JGO30" t="str">
        <f t="shared" si="112"/>
        <v/>
      </c>
      <c r="JGP30" t="str">
        <f t="shared" si="112"/>
        <v/>
      </c>
      <c r="JGQ30" t="str">
        <f t="shared" si="112"/>
        <v/>
      </c>
      <c r="JGR30" t="str">
        <f t="shared" si="112"/>
        <v/>
      </c>
      <c r="JGS30" t="str">
        <f t="shared" si="112"/>
        <v/>
      </c>
      <c r="JGT30" t="str">
        <f t="shared" si="112"/>
        <v/>
      </c>
      <c r="JGU30" t="str">
        <f t="shared" si="112"/>
        <v/>
      </c>
      <c r="JGV30" t="str">
        <f t="shared" si="112"/>
        <v/>
      </c>
      <c r="JGW30" t="str">
        <f t="shared" si="112"/>
        <v/>
      </c>
      <c r="JGX30" t="str">
        <f t="shared" si="112"/>
        <v/>
      </c>
      <c r="JGY30" t="str">
        <f t="shared" si="112"/>
        <v/>
      </c>
      <c r="JGZ30" t="str">
        <f t="shared" si="112"/>
        <v/>
      </c>
      <c r="JHA30" t="str">
        <f t="shared" si="112"/>
        <v/>
      </c>
      <c r="JHB30" t="str">
        <f t="shared" si="112"/>
        <v/>
      </c>
      <c r="JHC30" t="str">
        <f t="shared" si="112"/>
        <v/>
      </c>
      <c r="JHD30" t="str">
        <f t="shared" si="112"/>
        <v/>
      </c>
      <c r="JHE30" t="str">
        <f t="shared" si="112"/>
        <v/>
      </c>
      <c r="JHF30" t="str">
        <f t="shared" si="112"/>
        <v/>
      </c>
      <c r="JHG30" t="str">
        <f t="shared" si="112"/>
        <v/>
      </c>
      <c r="JHH30" t="str">
        <f t="shared" si="112"/>
        <v/>
      </c>
      <c r="JHI30" t="str">
        <f t="shared" si="112"/>
        <v/>
      </c>
      <c r="JHJ30" t="str">
        <f t="shared" si="112"/>
        <v/>
      </c>
      <c r="JHK30" t="str">
        <f t="shared" si="112"/>
        <v/>
      </c>
      <c r="JHL30" t="str">
        <f t="shared" si="112"/>
        <v/>
      </c>
      <c r="JHM30" t="str">
        <f t="shared" si="112"/>
        <v/>
      </c>
      <c r="JHN30" t="str">
        <f t="shared" si="112"/>
        <v/>
      </c>
      <c r="JHO30" t="str">
        <f t="shared" si="112"/>
        <v/>
      </c>
      <c r="JHP30" t="str">
        <f t="shared" si="112"/>
        <v/>
      </c>
      <c r="JHQ30" t="str">
        <f t="shared" si="112"/>
        <v/>
      </c>
      <c r="JHR30" t="str">
        <f t="shared" si="112"/>
        <v/>
      </c>
      <c r="JHS30" t="str">
        <f t="shared" si="112"/>
        <v/>
      </c>
      <c r="JHT30" t="str">
        <f t="shared" si="112"/>
        <v/>
      </c>
      <c r="JHU30" t="str">
        <f t="shared" si="112"/>
        <v/>
      </c>
      <c r="JHV30" t="str">
        <f t="shared" si="112"/>
        <v/>
      </c>
      <c r="JHW30" t="str">
        <f t="shared" si="112"/>
        <v/>
      </c>
      <c r="JHX30" t="str">
        <f t="shared" ref="JHX30:JKI30" si="113">TRIM(JIJ11)</f>
        <v/>
      </c>
      <c r="JHY30" t="str">
        <f t="shared" si="113"/>
        <v/>
      </c>
      <c r="JHZ30" t="str">
        <f t="shared" si="113"/>
        <v/>
      </c>
      <c r="JIA30" t="str">
        <f t="shared" si="113"/>
        <v/>
      </c>
      <c r="JIB30" t="str">
        <f t="shared" si="113"/>
        <v/>
      </c>
      <c r="JIC30" t="str">
        <f t="shared" si="113"/>
        <v/>
      </c>
      <c r="JID30" t="str">
        <f t="shared" si="113"/>
        <v/>
      </c>
      <c r="JIE30" t="str">
        <f t="shared" si="113"/>
        <v/>
      </c>
      <c r="JIF30" t="str">
        <f t="shared" si="113"/>
        <v/>
      </c>
      <c r="JIG30" t="str">
        <f t="shared" si="113"/>
        <v/>
      </c>
      <c r="JIH30" t="str">
        <f t="shared" si="113"/>
        <v/>
      </c>
      <c r="JII30" t="str">
        <f t="shared" si="113"/>
        <v/>
      </c>
      <c r="JIJ30" t="str">
        <f t="shared" si="113"/>
        <v/>
      </c>
      <c r="JIK30" t="str">
        <f t="shared" si="113"/>
        <v/>
      </c>
      <c r="JIL30" t="str">
        <f t="shared" si="113"/>
        <v/>
      </c>
      <c r="JIM30" t="str">
        <f t="shared" si="113"/>
        <v/>
      </c>
      <c r="JIN30" t="str">
        <f t="shared" si="113"/>
        <v/>
      </c>
      <c r="JIO30" t="str">
        <f t="shared" si="113"/>
        <v/>
      </c>
      <c r="JIP30" t="str">
        <f t="shared" si="113"/>
        <v/>
      </c>
      <c r="JIQ30" t="str">
        <f t="shared" si="113"/>
        <v/>
      </c>
      <c r="JIR30" t="str">
        <f t="shared" si="113"/>
        <v/>
      </c>
      <c r="JIS30" t="str">
        <f t="shared" si="113"/>
        <v/>
      </c>
      <c r="JIT30" t="str">
        <f t="shared" si="113"/>
        <v/>
      </c>
      <c r="JIU30" t="str">
        <f t="shared" si="113"/>
        <v/>
      </c>
      <c r="JIV30" t="str">
        <f t="shared" si="113"/>
        <v/>
      </c>
      <c r="JIW30" t="str">
        <f t="shared" si="113"/>
        <v/>
      </c>
      <c r="JIX30" t="str">
        <f t="shared" si="113"/>
        <v/>
      </c>
      <c r="JIY30" t="str">
        <f t="shared" si="113"/>
        <v/>
      </c>
      <c r="JIZ30" t="str">
        <f t="shared" si="113"/>
        <v/>
      </c>
      <c r="JJA30" t="str">
        <f t="shared" si="113"/>
        <v/>
      </c>
      <c r="JJB30" t="str">
        <f t="shared" si="113"/>
        <v/>
      </c>
      <c r="JJC30" t="str">
        <f t="shared" si="113"/>
        <v/>
      </c>
      <c r="JJD30" t="str">
        <f t="shared" si="113"/>
        <v/>
      </c>
      <c r="JJE30" t="str">
        <f t="shared" si="113"/>
        <v/>
      </c>
      <c r="JJF30" t="str">
        <f t="shared" si="113"/>
        <v/>
      </c>
      <c r="JJG30" t="str">
        <f t="shared" si="113"/>
        <v/>
      </c>
      <c r="JJH30" t="str">
        <f t="shared" si="113"/>
        <v/>
      </c>
      <c r="JJI30" t="str">
        <f t="shared" si="113"/>
        <v/>
      </c>
      <c r="JJJ30" t="str">
        <f t="shared" si="113"/>
        <v/>
      </c>
      <c r="JJK30" t="str">
        <f t="shared" si="113"/>
        <v/>
      </c>
      <c r="JJL30" t="str">
        <f t="shared" si="113"/>
        <v/>
      </c>
      <c r="JJM30" t="str">
        <f t="shared" si="113"/>
        <v/>
      </c>
      <c r="JJN30" t="str">
        <f t="shared" si="113"/>
        <v/>
      </c>
      <c r="JJO30" t="str">
        <f t="shared" si="113"/>
        <v/>
      </c>
      <c r="JJP30" t="str">
        <f t="shared" si="113"/>
        <v/>
      </c>
      <c r="JJQ30" t="str">
        <f t="shared" si="113"/>
        <v/>
      </c>
      <c r="JJR30" t="str">
        <f t="shared" si="113"/>
        <v/>
      </c>
      <c r="JJS30" t="str">
        <f t="shared" si="113"/>
        <v/>
      </c>
      <c r="JJT30" t="str">
        <f t="shared" si="113"/>
        <v/>
      </c>
      <c r="JJU30" t="str">
        <f t="shared" si="113"/>
        <v/>
      </c>
      <c r="JJV30" t="str">
        <f t="shared" si="113"/>
        <v/>
      </c>
      <c r="JJW30" t="str">
        <f t="shared" si="113"/>
        <v/>
      </c>
      <c r="JJX30" t="str">
        <f t="shared" si="113"/>
        <v/>
      </c>
      <c r="JJY30" t="str">
        <f t="shared" si="113"/>
        <v/>
      </c>
      <c r="JJZ30" t="str">
        <f t="shared" si="113"/>
        <v/>
      </c>
      <c r="JKA30" t="str">
        <f t="shared" si="113"/>
        <v/>
      </c>
      <c r="JKB30" t="str">
        <f t="shared" si="113"/>
        <v/>
      </c>
      <c r="JKC30" t="str">
        <f t="shared" si="113"/>
        <v/>
      </c>
      <c r="JKD30" t="str">
        <f t="shared" si="113"/>
        <v/>
      </c>
      <c r="JKE30" t="str">
        <f t="shared" si="113"/>
        <v/>
      </c>
      <c r="JKF30" t="str">
        <f t="shared" si="113"/>
        <v/>
      </c>
      <c r="JKG30" t="str">
        <f t="shared" si="113"/>
        <v/>
      </c>
      <c r="JKH30" t="str">
        <f t="shared" si="113"/>
        <v/>
      </c>
      <c r="JKI30" t="str">
        <f t="shared" si="113"/>
        <v/>
      </c>
      <c r="JKJ30" t="str">
        <f t="shared" ref="JKJ30:JMU30" si="114">TRIM(JKV11)</f>
        <v/>
      </c>
      <c r="JKK30" t="str">
        <f t="shared" si="114"/>
        <v/>
      </c>
      <c r="JKL30" t="str">
        <f t="shared" si="114"/>
        <v/>
      </c>
      <c r="JKM30" t="str">
        <f t="shared" si="114"/>
        <v/>
      </c>
      <c r="JKN30" t="str">
        <f t="shared" si="114"/>
        <v/>
      </c>
      <c r="JKO30" t="str">
        <f t="shared" si="114"/>
        <v/>
      </c>
      <c r="JKP30" t="str">
        <f t="shared" si="114"/>
        <v/>
      </c>
      <c r="JKQ30" t="str">
        <f t="shared" si="114"/>
        <v/>
      </c>
      <c r="JKR30" t="str">
        <f t="shared" si="114"/>
        <v/>
      </c>
      <c r="JKS30" t="str">
        <f t="shared" si="114"/>
        <v/>
      </c>
      <c r="JKT30" t="str">
        <f t="shared" si="114"/>
        <v/>
      </c>
      <c r="JKU30" t="str">
        <f t="shared" si="114"/>
        <v/>
      </c>
      <c r="JKV30" t="str">
        <f t="shared" si="114"/>
        <v/>
      </c>
      <c r="JKW30" t="str">
        <f t="shared" si="114"/>
        <v/>
      </c>
      <c r="JKX30" t="str">
        <f t="shared" si="114"/>
        <v/>
      </c>
      <c r="JKY30" t="str">
        <f t="shared" si="114"/>
        <v/>
      </c>
      <c r="JKZ30" t="str">
        <f t="shared" si="114"/>
        <v/>
      </c>
      <c r="JLA30" t="str">
        <f t="shared" si="114"/>
        <v/>
      </c>
      <c r="JLB30" t="str">
        <f t="shared" si="114"/>
        <v/>
      </c>
      <c r="JLC30" t="str">
        <f t="shared" si="114"/>
        <v/>
      </c>
      <c r="JLD30" t="str">
        <f t="shared" si="114"/>
        <v/>
      </c>
      <c r="JLE30" t="str">
        <f t="shared" si="114"/>
        <v/>
      </c>
      <c r="JLF30" t="str">
        <f t="shared" si="114"/>
        <v/>
      </c>
      <c r="JLG30" t="str">
        <f t="shared" si="114"/>
        <v/>
      </c>
      <c r="JLH30" t="str">
        <f t="shared" si="114"/>
        <v/>
      </c>
      <c r="JLI30" t="str">
        <f t="shared" si="114"/>
        <v/>
      </c>
      <c r="JLJ30" t="str">
        <f t="shared" si="114"/>
        <v/>
      </c>
      <c r="JLK30" t="str">
        <f t="shared" si="114"/>
        <v/>
      </c>
      <c r="JLL30" t="str">
        <f t="shared" si="114"/>
        <v/>
      </c>
      <c r="JLM30" t="str">
        <f t="shared" si="114"/>
        <v/>
      </c>
      <c r="JLN30" t="str">
        <f t="shared" si="114"/>
        <v/>
      </c>
      <c r="JLO30" t="str">
        <f t="shared" si="114"/>
        <v/>
      </c>
      <c r="JLP30" t="str">
        <f t="shared" si="114"/>
        <v/>
      </c>
      <c r="JLQ30" t="str">
        <f t="shared" si="114"/>
        <v/>
      </c>
      <c r="JLR30" t="str">
        <f t="shared" si="114"/>
        <v/>
      </c>
      <c r="JLS30" t="str">
        <f t="shared" si="114"/>
        <v/>
      </c>
      <c r="JLT30" t="str">
        <f t="shared" si="114"/>
        <v/>
      </c>
      <c r="JLU30" t="str">
        <f t="shared" si="114"/>
        <v/>
      </c>
      <c r="JLV30" t="str">
        <f t="shared" si="114"/>
        <v/>
      </c>
      <c r="JLW30" t="str">
        <f t="shared" si="114"/>
        <v/>
      </c>
      <c r="JLX30" t="str">
        <f t="shared" si="114"/>
        <v/>
      </c>
      <c r="JLY30" t="str">
        <f t="shared" si="114"/>
        <v/>
      </c>
      <c r="JLZ30" t="str">
        <f t="shared" si="114"/>
        <v/>
      </c>
      <c r="JMA30" t="str">
        <f t="shared" si="114"/>
        <v/>
      </c>
      <c r="JMB30" t="str">
        <f t="shared" si="114"/>
        <v/>
      </c>
      <c r="JMC30" t="str">
        <f t="shared" si="114"/>
        <v/>
      </c>
      <c r="JMD30" t="str">
        <f t="shared" si="114"/>
        <v/>
      </c>
      <c r="JME30" t="str">
        <f t="shared" si="114"/>
        <v/>
      </c>
      <c r="JMF30" t="str">
        <f t="shared" si="114"/>
        <v/>
      </c>
      <c r="JMG30" t="str">
        <f t="shared" si="114"/>
        <v/>
      </c>
      <c r="JMH30" t="str">
        <f t="shared" si="114"/>
        <v/>
      </c>
      <c r="JMI30" t="str">
        <f t="shared" si="114"/>
        <v/>
      </c>
      <c r="JMJ30" t="str">
        <f t="shared" si="114"/>
        <v/>
      </c>
      <c r="JMK30" t="str">
        <f t="shared" si="114"/>
        <v/>
      </c>
      <c r="JML30" t="str">
        <f t="shared" si="114"/>
        <v/>
      </c>
      <c r="JMM30" t="str">
        <f t="shared" si="114"/>
        <v/>
      </c>
      <c r="JMN30" t="str">
        <f t="shared" si="114"/>
        <v/>
      </c>
      <c r="JMO30" t="str">
        <f t="shared" si="114"/>
        <v/>
      </c>
      <c r="JMP30" t="str">
        <f t="shared" si="114"/>
        <v/>
      </c>
      <c r="JMQ30" t="str">
        <f t="shared" si="114"/>
        <v/>
      </c>
      <c r="JMR30" t="str">
        <f t="shared" si="114"/>
        <v/>
      </c>
      <c r="JMS30" t="str">
        <f t="shared" si="114"/>
        <v/>
      </c>
      <c r="JMT30" t="str">
        <f t="shared" si="114"/>
        <v/>
      </c>
      <c r="JMU30" t="str">
        <f t="shared" si="114"/>
        <v/>
      </c>
      <c r="JMV30" t="str">
        <f t="shared" ref="JMV30:JPG30" si="115">TRIM(JNH11)</f>
        <v/>
      </c>
      <c r="JMW30" t="str">
        <f t="shared" si="115"/>
        <v/>
      </c>
      <c r="JMX30" t="str">
        <f t="shared" si="115"/>
        <v/>
      </c>
      <c r="JMY30" t="str">
        <f t="shared" si="115"/>
        <v/>
      </c>
      <c r="JMZ30" t="str">
        <f t="shared" si="115"/>
        <v/>
      </c>
      <c r="JNA30" t="str">
        <f t="shared" si="115"/>
        <v/>
      </c>
      <c r="JNB30" t="str">
        <f t="shared" si="115"/>
        <v/>
      </c>
      <c r="JNC30" t="str">
        <f t="shared" si="115"/>
        <v/>
      </c>
      <c r="JND30" t="str">
        <f t="shared" si="115"/>
        <v/>
      </c>
      <c r="JNE30" t="str">
        <f t="shared" si="115"/>
        <v/>
      </c>
      <c r="JNF30" t="str">
        <f t="shared" si="115"/>
        <v/>
      </c>
      <c r="JNG30" t="str">
        <f t="shared" si="115"/>
        <v/>
      </c>
      <c r="JNH30" t="str">
        <f t="shared" si="115"/>
        <v/>
      </c>
      <c r="JNI30" t="str">
        <f t="shared" si="115"/>
        <v/>
      </c>
      <c r="JNJ30" t="str">
        <f t="shared" si="115"/>
        <v/>
      </c>
      <c r="JNK30" t="str">
        <f t="shared" si="115"/>
        <v/>
      </c>
      <c r="JNL30" t="str">
        <f t="shared" si="115"/>
        <v/>
      </c>
      <c r="JNM30" t="str">
        <f t="shared" si="115"/>
        <v/>
      </c>
      <c r="JNN30" t="str">
        <f t="shared" si="115"/>
        <v/>
      </c>
      <c r="JNO30" t="str">
        <f t="shared" si="115"/>
        <v/>
      </c>
      <c r="JNP30" t="str">
        <f t="shared" si="115"/>
        <v/>
      </c>
      <c r="JNQ30" t="str">
        <f t="shared" si="115"/>
        <v/>
      </c>
      <c r="JNR30" t="str">
        <f t="shared" si="115"/>
        <v/>
      </c>
      <c r="JNS30" t="str">
        <f t="shared" si="115"/>
        <v/>
      </c>
      <c r="JNT30" t="str">
        <f t="shared" si="115"/>
        <v/>
      </c>
      <c r="JNU30" t="str">
        <f t="shared" si="115"/>
        <v/>
      </c>
      <c r="JNV30" t="str">
        <f t="shared" si="115"/>
        <v/>
      </c>
      <c r="JNW30" t="str">
        <f t="shared" si="115"/>
        <v/>
      </c>
      <c r="JNX30" t="str">
        <f t="shared" si="115"/>
        <v/>
      </c>
      <c r="JNY30" t="str">
        <f t="shared" si="115"/>
        <v/>
      </c>
      <c r="JNZ30" t="str">
        <f t="shared" si="115"/>
        <v/>
      </c>
      <c r="JOA30" t="str">
        <f t="shared" si="115"/>
        <v/>
      </c>
      <c r="JOB30" t="str">
        <f t="shared" si="115"/>
        <v/>
      </c>
      <c r="JOC30" t="str">
        <f t="shared" si="115"/>
        <v/>
      </c>
      <c r="JOD30" t="str">
        <f t="shared" si="115"/>
        <v/>
      </c>
      <c r="JOE30" t="str">
        <f t="shared" si="115"/>
        <v/>
      </c>
      <c r="JOF30" t="str">
        <f t="shared" si="115"/>
        <v/>
      </c>
      <c r="JOG30" t="str">
        <f t="shared" si="115"/>
        <v/>
      </c>
      <c r="JOH30" t="str">
        <f t="shared" si="115"/>
        <v/>
      </c>
      <c r="JOI30" t="str">
        <f t="shared" si="115"/>
        <v/>
      </c>
      <c r="JOJ30" t="str">
        <f t="shared" si="115"/>
        <v/>
      </c>
      <c r="JOK30" t="str">
        <f t="shared" si="115"/>
        <v/>
      </c>
      <c r="JOL30" t="str">
        <f t="shared" si="115"/>
        <v/>
      </c>
      <c r="JOM30" t="str">
        <f t="shared" si="115"/>
        <v/>
      </c>
      <c r="JON30" t="str">
        <f t="shared" si="115"/>
        <v/>
      </c>
      <c r="JOO30" t="str">
        <f t="shared" si="115"/>
        <v/>
      </c>
      <c r="JOP30" t="str">
        <f t="shared" si="115"/>
        <v/>
      </c>
      <c r="JOQ30" t="str">
        <f t="shared" si="115"/>
        <v/>
      </c>
      <c r="JOR30" t="str">
        <f t="shared" si="115"/>
        <v/>
      </c>
      <c r="JOS30" t="str">
        <f t="shared" si="115"/>
        <v/>
      </c>
      <c r="JOT30" t="str">
        <f t="shared" si="115"/>
        <v/>
      </c>
      <c r="JOU30" t="str">
        <f t="shared" si="115"/>
        <v/>
      </c>
      <c r="JOV30" t="str">
        <f t="shared" si="115"/>
        <v/>
      </c>
      <c r="JOW30" t="str">
        <f t="shared" si="115"/>
        <v/>
      </c>
      <c r="JOX30" t="str">
        <f t="shared" si="115"/>
        <v/>
      </c>
      <c r="JOY30" t="str">
        <f t="shared" si="115"/>
        <v/>
      </c>
      <c r="JOZ30" t="str">
        <f t="shared" si="115"/>
        <v/>
      </c>
      <c r="JPA30" t="str">
        <f t="shared" si="115"/>
        <v/>
      </c>
      <c r="JPB30" t="str">
        <f t="shared" si="115"/>
        <v/>
      </c>
      <c r="JPC30" t="str">
        <f t="shared" si="115"/>
        <v/>
      </c>
      <c r="JPD30" t="str">
        <f t="shared" si="115"/>
        <v/>
      </c>
      <c r="JPE30" t="str">
        <f t="shared" si="115"/>
        <v/>
      </c>
      <c r="JPF30" t="str">
        <f t="shared" si="115"/>
        <v/>
      </c>
      <c r="JPG30" t="str">
        <f t="shared" si="115"/>
        <v/>
      </c>
      <c r="JPH30" t="str">
        <f t="shared" ref="JPH30:JRS30" si="116">TRIM(JPT11)</f>
        <v/>
      </c>
      <c r="JPI30" t="str">
        <f t="shared" si="116"/>
        <v/>
      </c>
      <c r="JPJ30" t="str">
        <f t="shared" si="116"/>
        <v/>
      </c>
      <c r="JPK30" t="str">
        <f t="shared" si="116"/>
        <v/>
      </c>
      <c r="JPL30" t="str">
        <f t="shared" si="116"/>
        <v/>
      </c>
      <c r="JPM30" t="str">
        <f t="shared" si="116"/>
        <v/>
      </c>
      <c r="JPN30" t="str">
        <f t="shared" si="116"/>
        <v/>
      </c>
      <c r="JPO30" t="str">
        <f t="shared" si="116"/>
        <v/>
      </c>
      <c r="JPP30" t="str">
        <f t="shared" si="116"/>
        <v/>
      </c>
      <c r="JPQ30" t="str">
        <f t="shared" si="116"/>
        <v/>
      </c>
      <c r="JPR30" t="str">
        <f t="shared" si="116"/>
        <v/>
      </c>
      <c r="JPS30" t="str">
        <f t="shared" si="116"/>
        <v/>
      </c>
      <c r="JPT30" t="str">
        <f t="shared" si="116"/>
        <v/>
      </c>
      <c r="JPU30" t="str">
        <f t="shared" si="116"/>
        <v/>
      </c>
      <c r="JPV30" t="str">
        <f t="shared" si="116"/>
        <v/>
      </c>
      <c r="JPW30" t="str">
        <f t="shared" si="116"/>
        <v/>
      </c>
      <c r="JPX30" t="str">
        <f t="shared" si="116"/>
        <v/>
      </c>
      <c r="JPY30" t="str">
        <f t="shared" si="116"/>
        <v/>
      </c>
      <c r="JPZ30" t="str">
        <f t="shared" si="116"/>
        <v/>
      </c>
      <c r="JQA30" t="str">
        <f t="shared" si="116"/>
        <v/>
      </c>
      <c r="JQB30" t="str">
        <f t="shared" si="116"/>
        <v/>
      </c>
      <c r="JQC30" t="str">
        <f t="shared" si="116"/>
        <v/>
      </c>
      <c r="JQD30" t="str">
        <f t="shared" si="116"/>
        <v/>
      </c>
      <c r="JQE30" t="str">
        <f t="shared" si="116"/>
        <v/>
      </c>
      <c r="JQF30" t="str">
        <f t="shared" si="116"/>
        <v/>
      </c>
      <c r="JQG30" t="str">
        <f t="shared" si="116"/>
        <v/>
      </c>
      <c r="JQH30" t="str">
        <f t="shared" si="116"/>
        <v/>
      </c>
      <c r="JQI30" t="str">
        <f t="shared" si="116"/>
        <v/>
      </c>
      <c r="JQJ30" t="str">
        <f t="shared" si="116"/>
        <v/>
      </c>
      <c r="JQK30" t="str">
        <f t="shared" si="116"/>
        <v/>
      </c>
      <c r="JQL30" t="str">
        <f t="shared" si="116"/>
        <v/>
      </c>
      <c r="JQM30" t="str">
        <f t="shared" si="116"/>
        <v/>
      </c>
      <c r="JQN30" t="str">
        <f t="shared" si="116"/>
        <v/>
      </c>
      <c r="JQO30" t="str">
        <f t="shared" si="116"/>
        <v/>
      </c>
      <c r="JQP30" t="str">
        <f t="shared" si="116"/>
        <v/>
      </c>
      <c r="JQQ30" t="str">
        <f t="shared" si="116"/>
        <v/>
      </c>
      <c r="JQR30" t="str">
        <f t="shared" si="116"/>
        <v/>
      </c>
      <c r="JQS30" t="str">
        <f t="shared" si="116"/>
        <v/>
      </c>
      <c r="JQT30" t="str">
        <f t="shared" si="116"/>
        <v/>
      </c>
      <c r="JQU30" t="str">
        <f t="shared" si="116"/>
        <v/>
      </c>
      <c r="JQV30" t="str">
        <f t="shared" si="116"/>
        <v/>
      </c>
      <c r="JQW30" t="str">
        <f t="shared" si="116"/>
        <v/>
      </c>
      <c r="JQX30" t="str">
        <f t="shared" si="116"/>
        <v/>
      </c>
      <c r="JQY30" t="str">
        <f t="shared" si="116"/>
        <v/>
      </c>
      <c r="JQZ30" t="str">
        <f t="shared" si="116"/>
        <v/>
      </c>
      <c r="JRA30" t="str">
        <f t="shared" si="116"/>
        <v/>
      </c>
      <c r="JRB30" t="str">
        <f t="shared" si="116"/>
        <v/>
      </c>
      <c r="JRC30" t="str">
        <f t="shared" si="116"/>
        <v/>
      </c>
      <c r="JRD30" t="str">
        <f t="shared" si="116"/>
        <v/>
      </c>
      <c r="JRE30" t="str">
        <f t="shared" si="116"/>
        <v/>
      </c>
      <c r="JRF30" t="str">
        <f t="shared" si="116"/>
        <v/>
      </c>
      <c r="JRG30" t="str">
        <f t="shared" si="116"/>
        <v/>
      </c>
      <c r="JRH30" t="str">
        <f t="shared" si="116"/>
        <v/>
      </c>
      <c r="JRI30" t="str">
        <f t="shared" si="116"/>
        <v/>
      </c>
      <c r="JRJ30" t="str">
        <f t="shared" si="116"/>
        <v/>
      </c>
      <c r="JRK30" t="str">
        <f t="shared" si="116"/>
        <v/>
      </c>
      <c r="JRL30" t="str">
        <f t="shared" si="116"/>
        <v/>
      </c>
      <c r="JRM30" t="str">
        <f t="shared" si="116"/>
        <v/>
      </c>
      <c r="JRN30" t="str">
        <f t="shared" si="116"/>
        <v/>
      </c>
      <c r="JRO30" t="str">
        <f t="shared" si="116"/>
        <v/>
      </c>
      <c r="JRP30" t="str">
        <f t="shared" si="116"/>
        <v/>
      </c>
      <c r="JRQ30" t="str">
        <f t="shared" si="116"/>
        <v/>
      </c>
      <c r="JRR30" t="str">
        <f t="shared" si="116"/>
        <v/>
      </c>
      <c r="JRS30" t="str">
        <f t="shared" si="116"/>
        <v/>
      </c>
      <c r="JRT30" t="str">
        <f t="shared" ref="JRT30:JUE30" si="117">TRIM(JSF11)</f>
        <v/>
      </c>
      <c r="JRU30" t="str">
        <f t="shared" si="117"/>
        <v/>
      </c>
      <c r="JRV30" t="str">
        <f t="shared" si="117"/>
        <v/>
      </c>
      <c r="JRW30" t="str">
        <f t="shared" si="117"/>
        <v/>
      </c>
      <c r="JRX30" t="str">
        <f t="shared" si="117"/>
        <v/>
      </c>
      <c r="JRY30" t="str">
        <f t="shared" si="117"/>
        <v/>
      </c>
      <c r="JRZ30" t="str">
        <f t="shared" si="117"/>
        <v/>
      </c>
      <c r="JSA30" t="str">
        <f t="shared" si="117"/>
        <v/>
      </c>
      <c r="JSB30" t="str">
        <f t="shared" si="117"/>
        <v/>
      </c>
      <c r="JSC30" t="str">
        <f t="shared" si="117"/>
        <v/>
      </c>
      <c r="JSD30" t="str">
        <f t="shared" si="117"/>
        <v/>
      </c>
      <c r="JSE30" t="str">
        <f t="shared" si="117"/>
        <v/>
      </c>
      <c r="JSF30" t="str">
        <f t="shared" si="117"/>
        <v/>
      </c>
      <c r="JSG30" t="str">
        <f t="shared" si="117"/>
        <v/>
      </c>
      <c r="JSH30" t="str">
        <f t="shared" si="117"/>
        <v/>
      </c>
      <c r="JSI30" t="str">
        <f t="shared" si="117"/>
        <v/>
      </c>
      <c r="JSJ30" t="str">
        <f t="shared" si="117"/>
        <v/>
      </c>
      <c r="JSK30" t="str">
        <f t="shared" si="117"/>
        <v/>
      </c>
      <c r="JSL30" t="str">
        <f t="shared" si="117"/>
        <v/>
      </c>
      <c r="JSM30" t="str">
        <f t="shared" si="117"/>
        <v/>
      </c>
      <c r="JSN30" t="str">
        <f t="shared" si="117"/>
        <v/>
      </c>
      <c r="JSO30" t="str">
        <f t="shared" si="117"/>
        <v/>
      </c>
      <c r="JSP30" t="str">
        <f t="shared" si="117"/>
        <v/>
      </c>
      <c r="JSQ30" t="str">
        <f t="shared" si="117"/>
        <v/>
      </c>
      <c r="JSR30" t="str">
        <f t="shared" si="117"/>
        <v/>
      </c>
      <c r="JSS30" t="str">
        <f t="shared" si="117"/>
        <v/>
      </c>
      <c r="JST30" t="str">
        <f t="shared" si="117"/>
        <v/>
      </c>
      <c r="JSU30" t="str">
        <f t="shared" si="117"/>
        <v/>
      </c>
      <c r="JSV30" t="str">
        <f t="shared" si="117"/>
        <v/>
      </c>
      <c r="JSW30" t="str">
        <f t="shared" si="117"/>
        <v/>
      </c>
      <c r="JSX30" t="str">
        <f t="shared" si="117"/>
        <v/>
      </c>
      <c r="JSY30" t="str">
        <f t="shared" si="117"/>
        <v/>
      </c>
      <c r="JSZ30" t="str">
        <f t="shared" si="117"/>
        <v/>
      </c>
      <c r="JTA30" t="str">
        <f t="shared" si="117"/>
        <v/>
      </c>
      <c r="JTB30" t="str">
        <f t="shared" si="117"/>
        <v/>
      </c>
      <c r="JTC30" t="str">
        <f t="shared" si="117"/>
        <v/>
      </c>
      <c r="JTD30" t="str">
        <f t="shared" si="117"/>
        <v/>
      </c>
      <c r="JTE30" t="str">
        <f t="shared" si="117"/>
        <v/>
      </c>
      <c r="JTF30" t="str">
        <f t="shared" si="117"/>
        <v/>
      </c>
      <c r="JTG30" t="str">
        <f t="shared" si="117"/>
        <v/>
      </c>
      <c r="JTH30" t="str">
        <f t="shared" si="117"/>
        <v/>
      </c>
      <c r="JTI30" t="str">
        <f t="shared" si="117"/>
        <v/>
      </c>
      <c r="JTJ30" t="str">
        <f t="shared" si="117"/>
        <v/>
      </c>
      <c r="JTK30" t="str">
        <f t="shared" si="117"/>
        <v/>
      </c>
      <c r="JTL30" t="str">
        <f t="shared" si="117"/>
        <v/>
      </c>
      <c r="JTM30" t="str">
        <f t="shared" si="117"/>
        <v/>
      </c>
      <c r="JTN30" t="str">
        <f t="shared" si="117"/>
        <v/>
      </c>
      <c r="JTO30" t="str">
        <f t="shared" si="117"/>
        <v/>
      </c>
      <c r="JTP30" t="str">
        <f t="shared" si="117"/>
        <v/>
      </c>
      <c r="JTQ30" t="str">
        <f t="shared" si="117"/>
        <v/>
      </c>
      <c r="JTR30" t="str">
        <f t="shared" si="117"/>
        <v/>
      </c>
      <c r="JTS30" t="str">
        <f t="shared" si="117"/>
        <v/>
      </c>
      <c r="JTT30" t="str">
        <f t="shared" si="117"/>
        <v/>
      </c>
      <c r="JTU30" t="str">
        <f t="shared" si="117"/>
        <v/>
      </c>
      <c r="JTV30" t="str">
        <f t="shared" si="117"/>
        <v/>
      </c>
      <c r="JTW30" t="str">
        <f t="shared" si="117"/>
        <v/>
      </c>
      <c r="JTX30" t="str">
        <f t="shared" si="117"/>
        <v/>
      </c>
      <c r="JTY30" t="str">
        <f t="shared" si="117"/>
        <v/>
      </c>
      <c r="JTZ30" t="str">
        <f t="shared" si="117"/>
        <v/>
      </c>
      <c r="JUA30" t="str">
        <f t="shared" si="117"/>
        <v/>
      </c>
      <c r="JUB30" t="str">
        <f t="shared" si="117"/>
        <v/>
      </c>
      <c r="JUC30" t="str">
        <f t="shared" si="117"/>
        <v/>
      </c>
      <c r="JUD30" t="str">
        <f t="shared" si="117"/>
        <v/>
      </c>
      <c r="JUE30" t="str">
        <f t="shared" si="117"/>
        <v/>
      </c>
      <c r="JUF30" t="str">
        <f t="shared" ref="JUF30:JWQ30" si="118">TRIM(JUR11)</f>
        <v/>
      </c>
      <c r="JUG30" t="str">
        <f t="shared" si="118"/>
        <v/>
      </c>
      <c r="JUH30" t="str">
        <f t="shared" si="118"/>
        <v/>
      </c>
      <c r="JUI30" t="str">
        <f t="shared" si="118"/>
        <v/>
      </c>
      <c r="JUJ30" t="str">
        <f t="shared" si="118"/>
        <v/>
      </c>
      <c r="JUK30" t="str">
        <f t="shared" si="118"/>
        <v/>
      </c>
      <c r="JUL30" t="str">
        <f t="shared" si="118"/>
        <v/>
      </c>
      <c r="JUM30" t="str">
        <f t="shared" si="118"/>
        <v/>
      </c>
      <c r="JUN30" t="str">
        <f t="shared" si="118"/>
        <v/>
      </c>
      <c r="JUO30" t="str">
        <f t="shared" si="118"/>
        <v/>
      </c>
      <c r="JUP30" t="str">
        <f t="shared" si="118"/>
        <v/>
      </c>
      <c r="JUQ30" t="str">
        <f t="shared" si="118"/>
        <v/>
      </c>
      <c r="JUR30" t="str">
        <f t="shared" si="118"/>
        <v/>
      </c>
      <c r="JUS30" t="str">
        <f t="shared" si="118"/>
        <v/>
      </c>
      <c r="JUT30" t="str">
        <f t="shared" si="118"/>
        <v/>
      </c>
      <c r="JUU30" t="str">
        <f t="shared" si="118"/>
        <v/>
      </c>
      <c r="JUV30" t="str">
        <f t="shared" si="118"/>
        <v/>
      </c>
      <c r="JUW30" t="str">
        <f t="shared" si="118"/>
        <v/>
      </c>
      <c r="JUX30" t="str">
        <f t="shared" si="118"/>
        <v/>
      </c>
      <c r="JUY30" t="str">
        <f t="shared" si="118"/>
        <v/>
      </c>
      <c r="JUZ30" t="str">
        <f t="shared" si="118"/>
        <v/>
      </c>
      <c r="JVA30" t="str">
        <f t="shared" si="118"/>
        <v/>
      </c>
      <c r="JVB30" t="str">
        <f t="shared" si="118"/>
        <v/>
      </c>
      <c r="JVC30" t="str">
        <f t="shared" si="118"/>
        <v/>
      </c>
      <c r="JVD30" t="str">
        <f t="shared" si="118"/>
        <v/>
      </c>
      <c r="JVE30" t="str">
        <f t="shared" si="118"/>
        <v/>
      </c>
      <c r="JVF30" t="str">
        <f t="shared" si="118"/>
        <v/>
      </c>
      <c r="JVG30" t="str">
        <f t="shared" si="118"/>
        <v/>
      </c>
      <c r="JVH30" t="str">
        <f t="shared" si="118"/>
        <v/>
      </c>
      <c r="JVI30" t="str">
        <f t="shared" si="118"/>
        <v/>
      </c>
      <c r="JVJ30" t="str">
        <f t="shared" si="118"/>
        <v/>
      </c>
      <c r="JVK30" t="str">
        <f t="shared" si="118"/>
        <v/>
      </c>
      <c r="JVL30" t="str">
        <f t="shared" si="118"/>
        <v/>
      </c>
      <c r="JVM30" t="str">
        <f t="shared" si="118"/>
        <v/>
      </c>
      <c r="JVN30" t="str">
        <f t="shared" si="118"/>
        <v/>
      </c>
      <c r="JVO30" t="str">
        <f t="shared" si="118"/>
        <v/>
      </c>
      <c r="JVP30" t="str">
        <f t="shared" si="118"/>
        <v/>
      </c>
      <c r="JVQ30" t="str">
        <f t="shared" si="118"/>
        <v/>
      </c>
      <c r="JVR30" t="str">
        <f t="shared" si="118"/>
        <v/>
      </c>
      <c r="JVS30" t="str">
        <f t="shared" si="118"/>
        <v/>
      </c>
      <c r="JVT30" t="str">
        <f t="shared" si="118"/>
        <v/>
      </c>
      <c r="JVU30" t="str">
        <f t="shared" si="118"/>
        <v/>
      </c>
      <c r="JVV30" t="str">
        <f t="shared" si="118"/>
        <v/>
      </c>
      <c r="JVW30" t="str">
        <f t="shared" si="118"/>
        <v/>
      </c>
      <c r="JVX30" t="str">
        <f t="shared" si="118"/>
        <v/>
      </c>
      <c r="JVY30" t="str">
        <f t="shared" si="118"/>
        <v/>
      </c>
      <c r="JVZ30" t="str">
        <f t="shared" si="118"/>
        <v/>
      </c>
      <c r="JWA30" t="str">
        <f t="shared" si="118"/>
        <v/>
      </c>
      <c r="JWB30" t="str">
        <f t="shared" si="118"/>
        <v/>
      </c>
      <c r="JWC30" t="str">
        <f t="shared" si="118"/>
        <v/>
      </c>
      <c r="JWD30" t="str">
        <f t="shared" si="118"/>
        <v/>
      </c>
      <c r="JWE30" t="str">
        <f t="shared" si="118"/>
        <v/>
      </c>
      <c r="JWF30" t="str">
        <f t="shared" si="118"/>
        <v/>
      </c>
      <c r="JWG30" t="str">
        <f t="shared" si="118"/>
        <v/>
      </c>
      <c r="JWH30" t="str">
        <f t="shared" si="118"/>
        <v/>
      </c>
      <c r="JWI30" t="str">
        <f t="shared" si="118"/>
        <v/>
      </c>
      <c r="JWJ30" t="str">
        <f t="shared" si="118"/>
        <v/>
      </c>
      <c r="JWK30" t="str">
        <f t="shared" si="118"/>
        <v/>
      </c>
      <c r="JWL30" t="str">
        <f t="shared" si="118"/>
        <v/>
      </c>
      <c r="JWM30" t="str">
        <f t="shared" si="118"/>
        <v/>
      </c>
      <c r="JWN30" t="str">
        <f t="shared" si="118"/>
        <v/>
      </c>
      <c r="JWO30" t="str">
        <f t="shared" si="118"/>
        <v/>
      </c>
      <c r="JWP30" t="str">
        <f t="shared" si="118"/>
        <v/>
      </c>
      <c r="JWQ30" t="str">
        <f t="shared" si="118"/>
        <v/>
      </c>
      <c r="JWR30" t="str">
        <f t="shared" ref="JWR30:JZC30" si="119">TRIM(JXD11)</f>
        <v/>
      </c>
      <c r="JWS30" t="str">
        <f t="shared" si="119"/>
        <v/>
      </c>
      <c r="JWT30" t="str">
        <f t="shared" si="119"/>
        <v/>
      </c>
      <c r="JWU30" t="str">
        <f t="shared" si="119"/>
        <v/>
      </c>
      <c r="JWV30" t="str">
        <f t="shared" si="119"/>
        <v/>
      </c>
      <c r="JWW30" t="str">
        <f t="shared" si="119"/>
        <v/>
      </c>
      <c r="JWX30" t="str">
        <f t="shared" si="119"/>
        <v/>
      </c>
      <c r="JWY30" t="str">
        <f t="shared" si="119"/>
        <v/>
      </c>
      <c r="JWZ30" t="str">
        <f t="shared" si="119"/>
        <v/>
      </c>
      <c r="JXA30" t="str">
        <f t="shared" si="119"/>
        <v/>
      </c>
      <c r="JXB30" t="str">
        <f t="shared" si="119"/>
        <v/>
      </c>
      <c r="JXC30" t="str">
        <f t="shared" si="119"/>
        <v/>
      </c>
      <c r="JXD30" t="str">
        <f t="shared" si="119"/>
        <v/>
      </c>
      <c r="JXE30" t="str">
        <f t="shared" si="119"/>
        <v/>
      </c>
      <c r="JXF30" t="str">
        <f t="shared" si="119"/>
        <v/>
      </c>
      <c r="JXG30" t="str">
        <f t="shared" si="119"/>
        <v/>
      </c>
      <c r="JXH30" t="str">
        <f t="shared" si="119"/>
        <v/>
      </c>
      <c r="JXI30" t="str">
        <f t="shared" si="119"/>
        <v/>
      </c>
      <c r="JXJ30" t="str">
        <f t="shared" si="119"/>
        <v/>
      </c>
      <c r="JXK30" t="str">
        <f t="shared" si="119"/>
        <v/>
      </c>
      <c r="JXL30" t="str">
        <f t="shared" si="119"/>
        <v/>
      </c>
      <c r="JXM30" t="str">
        <f t="shared" si="119"/>
        <v/>
      </c>
      <c r="JXN30" t="str">
        <f t="shared" si="119"/>
        <v/>
      </c>
      <c r="JXO30" t="str">
        <f t="shared" si="119"/>
        <v/>
      </c>
      <c r="JXP30" t="str">
        <f t="shared" si="119"/>
        <v/>
      </c>
      <c r="JXQ30" t="str">
        <f t="shared" si="119"/>
        <v/>
      </c>
      <c r="JXR30" t="str">
        <f t="shared" si="119"/>
        <v/>
      </c>
      <c r="JXS30" t="str">
        <f t="shared" si="119"/>
        <v/>
      </c>
      <c r="JXT30" t="str">
        <f t="shared" si="119"/>
        <v/>
      </c>
      <c r="JXU30" t="str">
        <f t="shared" si="119"/>
        <v/>
      </c>
      <c r="JXV30" t="str">
        <f t="shared" si="119"/>
        <v/>
      </c>
      <c r="JXW30" t="str">
        <f t="shared" si="119"/>
        <v/>
      </c>
      <c r="JXX30" t="str">
        <f t="shared" si="119"/>
        <v/>
      </c>
      <c r="JXY30" t="str">
        <f t="shared" si="119"/>
        <v/>
      </c>
      <c r="JXZ30" t="str">
        <f t="shared" si="119"/>
        <v/>
      </c>
      <c r="JYA30" t="str">
        <f t="shared" si="119"/>
        <v/>
      </c>
      <c r="JYB30" t="str">
        <f t="shared" si="119"/>
        <v/>
      </c>
      <c r="JYC30" t="str">
        <f t="shared" si="119"/>
        <v/>
      </c>
      <c r="JYD30" t="str">
        <f t="shared" si="119"/>
        <v/>
      </c>
      <c r="JYE30" t="str">
        <f t="shared" si="119"/>
        <v/>
      </c>
      <c r="JYF30" t="str">
        <f t="shared" si="119"/>
        <v/>
      </c>
      <c r="JYG30" t="str">
        <f t="shared" si="119"/>
        <v/>
      </c>
      <c r="JYH30" t="str">
        <f t="shared" si="119"/>
        <v/>
      </c>
      <c r="JYI30" t="str">
        <f t="shared" si="119"/>
        <v/>
      </c>
      <c r="JYJ30" t="str">
        <f t="shared" si="119"/>
        <v/>
      </c>
      <c r="JYK30" t="str">
        <f t="shared" si="119"/>
        <v/>
      </c>
      <c r="JYL30" t="str">
        <f t="shared" si="119"/>
        <v/>
      </c>
      <c r="JYM30" t="str">
        <f t="shared" si="119"/>
        <v/>
      </c>
      <c r="JYN30" t="str">
        <f t="shared" si="119"/>
        <v/>
      </c>
      <c r="JYO30" t="str">
        <f t="shared" si="119"/>
        <v/>
      </c>
      <c r="JYP30" t="str">
        <f t="shared" si="119"/>
        <v/>
      </c>
      <c r="JYQ30" t="str">
        <f t="shared" si="119"/>
        <v/>
      </c>
      <c r="JYR30" t="str">
        <f t="shared" si="119"/>
        <v/>
      </c>
      <c r="JYS30" t="str">
        <f t="shared" si="119"/>
        <v/>
      </c>
      <c r="JYT30" t="str">
        <f t="shared" si="119"/>
        <v/>
      </c>
      <c r="JYU30" t="str">
        <f t="shared" si="119"/>
        <v/>
      </c>
      <c r="JYV30" t="str">
        <f t="shared" si="119"/>
        <v/>
      </c>
      <c r="JYW30" t="str">
        <f t="shared" si="119"/>
        <v/>
      </c>
      <c r="JYX30" t="str">
        <f t="shared" si="119"/>
        <v/>
      </c>
      <c r="JYY30" t="str">
        <f t="shared" si="119"/>
        <v/>
      </c>
      <c r="JYZ30" t="str">
        <f t="shared" si="119"/>
        <v/>
      </c>
      <c r="JZA30" t="str">
        <f t="shared" si="119"/>
        <v/>
      </c>
      <c r="JZB30" t="str">
        <f t="shared" si="119"/>
        <v/>
      </c>
      <c r="JZC30" t="str">
        <f t="shared" si="119"/>
        <v/>
      </c>
      <c r="JZD30" t="str">
        <f t="shared" ref="JZD30:KBO30" si="120">TRIM(JZP11)</f>
        <v/>
      </c>
      <c r="JZE30" t="str">
        <f t="shared" si="120"/>
        <v/>
      </c>
      <c r="JZF30" t="str">
        <f t="shared" si="120"/>
        <v/>
      </c>
      <c r="JZG30" t="str">
        <f t="shared" si="120"/>
        <v/>
      </c>
      <c r="JZH30" t="str">
        <f t="shared" si="120"/>
        <v/>
      </c>
      <c r="JZI30" t="str">
        <f t="shared" si="120"/>
        <v/>
      </c>
      <c r="JZJ30" t="str">
        <f t="shared" si="120"/>
        <v/>
      </c>
      <c r="JZK30" t="str">
        <f t="shared" si="120"/>
        <v/>
      </c>
      <c r="JZL30" t="str">
        <f t="shared" si="120"/>
        <v/>
      </c>
      <c r="JZM30" t="str">
        <f t="shared" si="120"/>
        <v/>
      </c>
      <c r="JZN30" t="str">
        <f t="shared" si="120"/>
        <v/>
      </c>
      <c r="JZO30" t="str">
        <f t="shared" si="120"/>
        <v/>
      </c>
      <c r="JZP30" t="str">
        <f t="shared" si="120"/>
        <v/>
      </c>
      <c r="JZQ30" t="str">
        <f t="shared" si="120"/>
        <v/>
      </c>
      <c r="JZR30" t="str">
        <f t="shared" si="120"/>
        <v/>
      </c>
      <c r="JZS30" t="str">
        <f t="shared" si="120"/>
        <v/>
      </c>
      <c r="JZT30" t="str">
        <f t="shared" si="120"/>
        <v/>
      </c>
      <c r="JZU30" t="str">
        <f t="shared" si="120"/>
        <v/>
      </c>
      <c r="JZV30" t="str">
        <f t="shared" si="120"/>
        <v/>
      </c>
      <c r="JZW30" t="str">
        <f t="shared" si="120"/>
        <v/>
      </c>
      <c r="JZX30" t="str">
        <f t="shared" si="120"/>
        <v/>
      </c>
      <c r="JZY30" t="str">
        <f t="shared" si="120"/>
        <v/>
      </c>
      <c r="JZZ30" t="str">
        <f t="shared" si="120"/>
        <v/>
      </c>
      <c r="KAA30" t="str">
        <f t="shared" si="120"/>
        <v/>
      </c>
      <c r="KAB30" t="str">
        <f t="shared" si="120"/>
        <v/>
      </c>
      <c r="KAC30" t="str">
        <f t="shared" si="120"/>
        <v/>
      </c>
      <c r="KAD30" t="str">
        <f t="shared" si="120"/>
        <v/>
      </c>
      <c r="KAE30" t="str">
        <f t="shared" si="120"/>
        <v/>
      </c>
      <c r="KAF30" t="str">
        <f t="shared" si="120"/>
        <v/>
      </c>
      <c r="KAG30" t="str">
        <f t="shared" si="120"/>
        <v/>
      </c>
      <c r="KAH30" t="str">
        <f t="shared" si="120"/>
        <v/>
      </c>
      <c r="KAI30" t="str">
        <f t="shared" si="120"/>
        <v/>
      </c>
      <c r="KAJ30" t="str">
        <f t="shared" si="120"/>
        <v/>
      </c>
      <c r="KAK30" t="str">
        <f t="shared" si="120"/>
        <v/>
      </c>
      <c r="KAL30" t="str">
        <f t="shared" si="120"/>
        <v/>
      </c>
      <c r="KAM30" t="str">
        <f t="shared" si="120"/>
        <v/>
      </c>
      <c r="KAN30" t="str">
        <f t="shared" si="120"/>
        <v/>
      </c>
      <c r="KAO30" t="str">
        <f t="shared" si="120"/>
        <v/>
      </c>
      <c r="KAP30" t="str">
        <f t="shared" si="120"/>
        <v/>
      </c>
      <c r="KAQ30" t="str">
        <f t="shared" si="120"/>
        <v/>
      </c>
      <c r="KAR30" t="str">
        <f t="shared" si="120"/>
        <v/>
      </c>
      <c r="KAS30" t="str">
        <f t="shared" si="120"/>
        <v/>
      </c>
      <c r="KAT30" t="str">
        <f t="shared" si="120"/>
        <v/>
      </c>
      <c r="KAU30" t="str">
        <f t="shared" si="120"/>
        <v/>
      </c>
      <c r="KAV30" t="str">
        <f t="shared" si="120"/>
        <v/>
      </c>
      <c r="KAW30" t="str">
        <f t="shared" si="120"/>
        <v/>
      </c>
      <c r="KAX30" t="str">
        <f t="shared" si="120"/>
        <v/>
      </c>
      <c r="KAY30" t="str">
        <f t="shared" si="120"/>
        <v/>
      </c>
      <c r="KAZ30" t="str">
        <f t="shared" si="120"/>
        <v/>
      </c>
      <c r="KBA30" t="str">
        <f t="shared" si="120"/>
        <v/>
      </c>
      <c r="KBB30" t="str">
        <f t="shared" si="120"/>
        <v/>
      </c>
      <c r="KBC30" t="str">
        <f t="shared" si="120"/>
        <v/>
      </c>
      <c r="KBD30" t="str">
        <f t="shared" si="120"/>
        <v/>
      </c>
      <c r="KBE30" t="str">
        <f t="shared" si="120"/>
        <v/>
      </c>
      <c r="KBF30" t="str">
        <f t="shared" si="120"/>
        <v/>
      </c>
      <c r="KBG30" t="str">
        <f t="shared" si="120"/>
        <v/>
      </c>
      <c r="KBH30" t="str">
        <f t="shared" si="120"/>
        <v/>
      </c>
      <c r="KBI30" t="str">
        <f t="shared" si="120"/>
        <v/>
      </c>
      <c r="KBJ30" t="str">
        <f t="shared" si="120"/>
        <v/>
      </c>
      <c r="KBK30" t="str">
        <f t="shared" si="120"/>
        <v/>
      </c>
      <c r="KBL30" t="str">
        <f t="shared" si="120"/>
        <v/>
      </c>
      <c r="KBM30" t="str">
        <f t="shared" si="120"/>
        <v/>
      </c>
      <c r="KBN30" t="str">
        <f t="shared" si="120"/>
        <v/>
      </c>
      <c r="KBO30" t="str">
        <f t="shared" si="120"/>
        <v/>
      </c>
      <c r="KBP30" t="str">
        <f t="shared" ref="KBP30:KEA30" si="121">TRIM(KCB11)</f>
        <v/>
      </c>
      <c r="KBQ30" t="str">
        <f t="shared" si="121"/>
        <v/>
      </c>
      <c r="KBR30" t="str">
        <f t="shared" si="121"/>
        <v/>
      </c>
      <c r="KBS30" t="str">
        <f t="shared" si="121"/>
        <v/>
      </c>
      <c r="KBT30" t="str">
        <f t="shared" si="121"/>
        <v/>
      </c>
      <c r="KBU30" t="str">
        <f t="shared" si="121"/>
        <v/>
      </c>
      <c r="KBV30" t="str">
        <f t="shared" si="121"/>
        <v/>
      </c>
      <c r="KBW30" t="str">
        <f t="shared" si="121"/>
        <v/>
      </c>
      <c r="KBX30" t="str">
        <f t="shared" si="121"/>
        <v/>
      </c>
      <c r="KBY30" t="str">
        <f t="shared" si="121"/>
        <v/>
      </c>
      <c r="KBZ30" t="str">
        <f t="shared" si="121"/>
        <v/>
      </c>
      <c r="KCA30" t="str">
        <f t="shared" si="121"/>
        <v/>
      </c>
      <c r="KCB30" t="str">
        <f t="shared" si="121"/>
        <v/>
      </c>
      <c r="KCC30" t="str">
        <f t="shared" si="121"/>
        <v/>
      </c>
      <c r="KCD30" t="str">
        <f t="shared" si="121"/>
        <v/>
      </c>
      <c r="KCE30" t="str">
        <f t="shared" si="121"/>
        <v/>
      </c>
      <c r="KCF30" t="str">
        <f t="shared" si="121"/>
        <v/>
      </c>
      <c r="KCG30" t="str">
        <f t="shared" si="121"/>
        <v/>
      </c>
      <c r="KCH30" t="str">
        <f t="shared" si="121"/>
        <v/>
      </c>
      <c r="KCI30" t="str">
        <f t="shared" si="121"/>
        <v/>
      </c>
      <c r="KCJ30" t="str">
        <f t="shared" si="121"/>
        <v/>
      </c>
      <c r="KCK30" t="str">
        <f t="shared" si="121"/>
        <v/>
      </c>
      <c r="KCL30" t="str">
        <f t="shared" si="121"/>
        <v/>
      </c>
      <c r="KCM30" t="str">
        <f t="shared" si="121"/>
        <v/>
      </c>
      <c r="KCN30" t="str">
        <f t="shared" si="121"/>
        <v/>
      </c>
      <c r="KCO30" t="str">
        <f t="shared" si="121"/>
        <v/>
      </c>
      <c r="KCP30" t="str">
        <f t="shared" si="121"/>
        <v/>
      </c>
      <c r="KCQ30" t="str">
        <f t="shared" si="121"/>
        <v/>
      </c>
      <c r="KCR30" t="str">
        <f t="shared" si="121"/>
        <v/>
      </c>
      <c r="KCS30" t="str">
        <f t="shared" si="121"/>
        <v/>
      </c>
      <c r="KCT30" t="str">
        <f t="shared" si="121"/>
        <v/>
      </c>
      <c r="KCU30" t="str">
        <f t="shared" si="121"/>
        <v/>
      </c>
      <c r="KCV30" t="str">
        <f t="shared" si="121"/>
        <v/>
      </c>
      <c r="KCW30" t="str">
        <f t="shared" si="121"/>
        <v/>
      </c>
      <c r="KCX30" t="str">
        <f t="shared" si="121"/>
        <v/>
      </c>
      <c r="KCY30" t="str">
        <f t="shared" si="121"/>
        <v/>
      </c>
      <c r="KCZ30" t="str">
        <f t="shared" si="121"/>
        <v/>
      </c>
      <c r="KDA30" t="str">
        <f t="shared" si="121"/>
        <v/>
      </c>
      <c r="KDB30" t="str">
        <f t="shared" si="121"/>
        <v/>
      </c>
      <c r="KDC30" t="str">
        <f t="shared" si="121"/>
        <v/>
      </c>
      <c r="KDD30" t="str">
        <f t="shared" si="121"/>
        <v/>
      </c>
      <c r="KDE30" t="str">
        <f t="shared" si="121"/>
        <v/>
      </c>
      <c r="KDF30" t="str">
        <f t="shared" si="121"/>
        <v/>
      </c>
      <c r="KDG30" t="str">
        <f t="shared" si="121"/>
        <v/>
      </c>
      <c r="KDH30" t="str">
        <f t="shared" si="121"/>
        <v/>
      </c>
      <c r="KDI30" t="str">
        <f t="shared" si="121"/>
        <v/>
      </c>
      <c r="KDJ30" t="str">
        <f t="shared" si="121"/>
        <v/>
      </c>
      <c r="KDK30" t="str">
        <f t="shared" si="121"/>
        <v/>
      </c>
      <c r="KDL30" t="str">
        <f t="shared" si="121"/>
        <v/>
      </c>
      <c r="KDM30" t="str">
        <f t="shared" si="121"/>
        <v/>
      </c>
      <c r="KDN30" t="str">
        <f t="shared" si="121"/>
        <v/>
      </c>
      <c r="KDO30" t="str">
        <f t="shared" si="121"/>
        <v/>
      </c>
      <c r="KDP30" t="str">
        <f t="shared" si="121"/>
        <v/>
      </c>
      <c r="KDQ30" t="str">
        <f t="shared" si="121"/>
        <v/>
      </c>
      <c r="KDR30" t="str">
        <f t="shared" si="121"/>
        <v/>
      </c>
      <c r="KDS30" t="str">
        <f t="shared" si="121"/>
        <v/>
      </c>
      <c r="KDT30" t="str">
        <f t="shared" si="121"/>
        <v/>
      </c>
      <c r="KDU30" t="str">
        <f t="shared" si="121"/>
        <v/>
      </c>
      <c r="KDV30" t="str">
        <f t="shared" si="121"/>
        <v/>
      </c>
      <c r="KDW30" t="str">
        <f t="shared" si="121"/>
        <v/>
      </c>
      <c r="KDX30" t="str">
        <f t="shared" si="121"/>
        <v/>
      </c>
      <c r="KDY30" t="str">
        <f t="shared" si="121"/>
        <v/>
      </c>
      <c r="KDZ30" t="str">
        <f t="shared" si="121"/>
        <v/>
      </c>
      <c r="KEA30" t="str">
        <f t="shared" si="121"/>
        <v/>
      </c>
      <c r="KEB30" t="str">
        <f t="shared" ref="KEB30:KGM30" si="122">TRIM(KEN11)</f>
        <v/>
      </c>
      <c r="KEC30" t="str">
        <f t="shared" si="122"/>
        <v/>
      </c>
      <c r="KED30" t="str">
        <f t="shared" si="122"/>
        <v/>
      </c>
      <c r="KEE30" t="str">
        <f t="shared" si="122"/>
        <v/>
      </c>
      <c r="KEF30" t="str">
        <f t="shared" si="122"/>
        <v/>
      </c>
      <c r="KEG30" t="str">
        <f t="shared" si="122"/>
        <v/>
      </c>
      <c r="KEH30" t="str">
        <f t="shared" si="122"/>
        <v/>
      </c>
      <c r="KEI30" t="str">
        <f t="shared" si="122"/>
        <v/>
      </c>
      <c r="KEJ30" t="str">
        <f t="shared" si="122"/>
        <v/>
      </c>
      <c r="KEK30" t="str">
        <f t="shared" si="122"/>
        <v/>
      </c>
      <c r="KEL30" t="str">
        <f t="shared" si="122"/>
        <v/>
      </c>
      <c r="KEM30" t="str">
        <f t="shared" si="122"/>
        <v/>
      </c>
      <c r="KEN30" t="str">
        <f t="shared" si="122"/>
        <v/>
      </c>
      <c r="KEO30" t="str">
        <f t="shared" si="122"/>
        <v/>
      </c>
      <c r="KEP30" t="str">
        <f t="shared" si="122"/>
        <v/>
      </c>
      <c r="KEQ30" t="str">
        <f t="shared" si="122"/>
        <v/>
      </c>
      <c r="KER30" t="str">
        <f t="shared" si="122"/>
        <v/>
      </c>
      <c r="KES30" t="str">
        <f t="shared" si="122"/>
        <v/>
      </c>
      <c r="KET30" t="str">
        <f t="shared" si="122"/>
        <v/>
      </c>
      <c r="KEU30" t="str">
        <f t="shared" si="122"/>
        <v/>
      </c>
      <c r="KEV30" t="str">
        <f t="shared" si="122"/>
        <v/>
      </c>
      <c r="KEW30" t="str">
        <f t="shared" si="122"/>
        <v/>
      </c>
      <c r="KEX30" t="str">
        <f t="shared" si="122"/>
        <v/>
      </c>
      <c r="KEY30" t="str">
        <f t="shared" si="122"/>
        <v/>
      </c>
      <c r="KEZ30" t="str">
        <f t="shared" si="122"/>
        <v/>
      </c>
      <c r="KFA30" t="str">
        <f t="shared" si="122"/>
        <v/>
      </c>
      <c r="KFB30" t="str">
        <f t="shared" si="122"/>
        <v/>
      </c>
      <c r="KFC30" t="str">
        <f t="shared" si="122"/>
        <v/>
      </c>
      <c r="KFD30" t="str">
        <f t="shared" si="122"/>
        <v/>
      </c>
      <c r="KFE30" t="str">
        <f t="shared" si="122"/>
        <v/>
      </c>
      <c r="KFF30" t="str">
        <f t="shared" si="122"/>
        <v/>
      </c>
      <c r="KFG30" t="str">
        <f t="shared" si="122"/>
        <v/>
      </c>
      <c r="KFH30" t="str">
        <f t="shared" si="122"/>
        <v/>
      </c>
      <c r="KFI30" t="str">
        <f t="shared" si="122"/>
        <v/>
      </c>
      <c r="KFJ30" t="str">
        <f t="shared" si="122"/>
        <v/>
      </c>
      <c r="KFK30" t="str">
        <f t="shared" si="122"/>
        <v/>
      </c>
      <c r="KFL30" t="str">
        <f t="shared" si="122"/>
        <v/>
      </c>
      <c r="KFM30" t="str">
        <f t="shared" si="122"/>
        <v/>
      </c>
      <c r="KFN30" t="str">
        <f t="shared" si="122"/>
        <v/>
      </c>
      <c r="KFO30" t="str">
        <f t="shared" si="122"/>
        <v/>
      </c>
      <c r="KFP30" t="str">
        <f t="shared" si="122"/>
        <v/>
      </c>
      <c r="KFQ30" t="str">
        <f t="shared" si="122"/>
        <v/>
      </c>
      <c r="KFR30" t="str">
        <f t="shared" si="122"/>
        <v/>
      </c>
      <c r="KFS30" t="str">
        <f t="shared" si="122"/>
        <v/>
      </c>
      <c r="KFT30" t="str">
        <f t="shared" si="122"/>
        <v/>
      </c>
      <c r="KFU30" t="str">
        <f t="shared" si="122"/>
        <v/>
      </c>
      <c r="KFV30" t="str">
        <f t="shared" si="122"/>
        <v/>
      </c>
      <c r="KFW30" t="str">
        <f t="shared" si="122"/>
        <v/>
      </c>
      <c r="KFX30" t="str">
        <f t="shared" si="122"/>
        <v/>
      </c>
      <c r="KFY30" t="str">
        <f t="shared" si="122"/>
        <v/>
      </c>
      <c r="KFZ30" t="str">
        <f t="shared" si="122"/>
        <v/>
      </c>
      <c r="KGA30" t="str">
        <f t="shared" si="122"/>
        <v/>
      </c>
      <c r="KGB30" t="str">
        <f t="shared" si="122"/>
        <v/>
      </c>
      <c r="KGC30" t="str">
        <f t="shared" si="122"/>
        <v/>
      </c>
      <c r="KGD30" t="str">
        <f t="shared" si="122"/>
        <v/>
      </c>
      <c r="KGE30" t="str">
        <f t="shared" si="122"/>
        <v/>
      </c>
      <c r="KGF30" t="str">
        <f t="shared" si="122"/>
        <v/>
      </c>
      <c r="KGG30" t="str">
        <f t="shared" si="122"/>
        <v/>
      </c>
      <c r="KGH30" t="str">
        <f t="shared" si="122"/>
        <v/>
      </c>
      <c r="KGI30" t="str">
        <f t="shared" si="122"/>
        <v/>
      </c>
      <c r="KGJ30" t="str">
        <f t="shared" si="122"/>
        <v/>
      </c>
      <c r="KGK30" t="str">
        <f t="shared" si="122"/>
        <v/>
      </c>
      <c r="KGL30" t="str">
        <f t="shared" si="122"/>
        <v/>
      </c>
      <c r="KGM30" t="str">
        <f t="shared" si="122"/>
        <v/>
      </c>
      <c r="KGN30" t="str">
        <f t="shared" ref="KGN30:KIY30" si="123">TRIM(KGZ11)</f>
        <v/>
      </c>
      <c r="KGO30" t="str">
        <f t="shared" si="123"/>
        <v/>
      </c>
      <c r="KGP30" t="str">
        <f t="shared" si="123"/>
        <v/>
      </c>
      <c r="KGQ30" t="str">
        <f t="shared" si="123"/>
        <v/>
      </c>
      <c r="KGR30" t="str">
        <f t="shared" si="123"/>
        <v/>
      </c>
      <c r="KGS30" t="str">
        <f t="shared" si="123"/>
        <v/>
      </c>
      <c r="KGT30" t="str">
        <f t="shared" si="123"/>
        <v/>
      </c>
      <c r="KGU30" t="str">
        <f t="shared" si="123"/>
        <v/>
      </c>
      <c r="KGV30" t="str">
        <f t="shared" si="123"/>
        <v/>
      </c>
      <c r="KGW30" t="str">
        <f t="shared" si="123"/>
        <v/>
      </c>
      <c r="KGX30" t="str">
        <f t="shared" si="123"/>
        <v/>
      </c>
      <c r="KGY30" t="str">
        <f t="shared" si="123"/>
        <v/>
      </c>
      <c r="KGZ30" t="str">
        <f t="shared" si="123"/>
        <v/>
      </c>
      <c r="KHA30" t="str">
        <f t="shared" si="123"/>
        <v/>
      </c>
      <c r="KHB30" t="str">
        <f t="shared" si="123"/>
        <v/>
      </c>
      <c r="KHC30" t="str">
        <f t="shared" si="123"/>
        <v/>
      </c>
      <c r="KHD30" t="str">
        <f t="shared" si="123"/>
        <v/>
      </c>
      <c r="KHE30" t="str">
        <f t="shared" si="123"/>
        <v/>
      </c>
      <c r="KHF30" t="str">
        <f t="shared" si="123"/>
        <v/>
      </c>
      <c r="KHG30" t="str">
        <f t="shared" si="123"/>
        <v/>
      </c>
      <c r="KHH30" t="str">
        <f t="shared" si="123"/>
        <v/>
      </c>
      <c r="KHI30" t="str">
        <f t="shared" si="123"/>
        <v/>
      </c>
      <c r="KHJ30" t="str">
        <f t="shared" si="123"/>
        <v/>
      </c>
      <c r="KHK30" t="str">
        <f t="shared" si="123"/>
        <v/>
      </c>
      <c r="KHL30" t="str">
        <f t="shared" si="123"/>
        <v/>
      </c>
      <c r="KHM30" t="str">
        <f t="shared" si="123"/>
        <v/>
      </c>
      <c r="KHN30" t="str">
        <f t="shared" si="123"/>
        <v/>
      </c>
      <c r="KHO30" t="str">
        <f t="shared" si="123"/>
        <v/>
      </c>
      <c r="KHP30" t="str">
        <f t="shared" si="123"/>
        <v/>
      </c>
      <c r="KHQ30" t="str">
        <f t="shared" si="123"/>
        <v/>
      </c>
      <c r="KHR30" t="str">
        <f t="shared" si="123"/>
        <v/>
      </c>
      <c r="KHS30" t="str">
        <f t="shared" si="123"/>
        <v/>
      </c>
      <c r="KHT30" t="str">
        <f t="shared" si="123"/>
        <v/>
      </c>
      <c r="KHU30" t="str">
        <f t="shared" si="123"/>
        <v/>
      </c>
      <c r="KHV30" t="str">
        <f t="shared" si="123"/>
        <v/>
      </c>
      <c r="KHW30" t="str">
        <f t="shared" si="123"/>
        <v/>
      </c>
      <c r="KHX30" t="str">
        <f t="shared" si="123"/>
        <v/>
      </c>
      <c r="KHY30" t="str">
        <f t="shared" si="123"/>
        <v/>
      </c>
      <c r="KHZ30" t="str">
        <f t="shared" si="123"/>
        <v/>
      </c>
      <c r="KIA30" t="str">
        <f t="shared" si="123"/>
        <v/>
      </c>
      <c r="KIB30" t="str">
        <f t="shared" si="123"/>
        <v/>
      </c>
      <c r="KIC30" t="str">
        <f t="shared" si="123"/>
        <v/>
      </c>
      <c r="KID30" t="str">
        <f t="shared" si="123"/>
        <v/>
      </c>
      <c r="KIE30" t="str">
        <f t="shared" si="123"/>
        <v/>
      </c>
      <c r="KIF30" t="str">
        <f t="shared" si="123"/>
        <v/>
      </c>
      <c r="KIG30" t="str">
        <f t="shared" si="123"/>
        <v/>
      </c>
      <c r="KIH30" t="str">
        <f t="shared" si="123"/>
        <v/>
      </c>
      <c r="KII30" t="str">
        <f t="shared" si="123"/>
        <v/>
      </c>
      <c r="KIJ30" t="str">
        <f t="shared" si="123"/>
        <v/>
      </c>
      <c r="KIK30" t="str">
        <f t="shared" si="123"/>
        <v/>
      </c>
      <c r="KIL30" t="str">
        <f t="shared" si="123"/>
        <v/>
      </c>
      <c r="KIM30" t="str">
        <f t="shared" si="123"/>
        <v/>
      </c>
      <c r="KIN30" t="str">
        <f t="shared" si="123"/>
        <v/>
      </c>
      <c r="KIO30" t="str">
        <f t="shared" si="123"/>
        <v/>
      </c>
      <c r="KIP30" t="str">
        <f t="shared" si="123"/>
        <v/>
      </c>
      <c r="KIQ30" t="str">
        <f t="shared" si="123"/>
        <v/>
      </c>
      <c r="KIR30" t="str">
        <f t="shared" si="123"/>
        <v/>
      </c>
      <c r="KIS30" t="str">
        <f t="shared" si="123"/>
        <v/>
      </c>
      <c r="KIT30" t="str">
        <f t="shared" si="123"/>
        <v/>
      </c>
      <c r="KIU30" t="str">
        <f t="shared" si="123"/>
        <v/>
      </c>
      <c r="KIV30" t="str">
        <f t="shared" si="123"/>
        <v/>
      </c>
      <c r="KIW30" t="str">
        <f t="shared" si="123"/>
        <v/>
      </c>
      <c r="KIX30" t="str">
        <f t="shared" si="123"/>
        <v/>
      </c>
      <c r="KIY30" t="str">
        <f t="shared" si="123"/>
        <v/>
      </c>
      <c r="KIZ30" t="str">
        <f t="shared" ref="KIZ30:KLK30" si="124">TRIM(KJL11)</f>
        <v/>
      </c>
      <c r="KJA30" t="str">
        <f t="shared" si="124"/>
        <v/>
      </c>
      <c r="KJB30" t="str">
        <f t="shared" si="124"/>
        <v/>
      </c>
      <c r="KJC30" t="str">
        <f t="shared" si="124"/>
        <v/>
      </c>
      <c r="KJD30" t="str">
        <f t="shared" si="124"/>
        <v/>
      </c>
      <c r="KJE30" t="str">
        <f t="shared" si="124"/>
        <v/>
      </c>
      <c r="KJF30" t="str">
        <f t="shared" si="124"/>
        <v/>
      </c>
      <c r="KJG30" t="str">
        <f t="shared" si="124"/>
        <v/>
      </c>
      <c r="KJH30" t="str">
        <f t="shared" si="124"/>
        <v/>
      </c>
      <c r="KJI30" t="str">
        <f t="shared" si="124"/>
        <v/>
      </c>
      <c r="KJJ30" t="str">
        <f t="shared" si="124"/>
        <v/>
      </c>
      <c r="KJK30" t="str">
        <f t="shared" si="124"/>
        <v/>
      </c>
      <c r="KJL30" t="str">
        <f t="shared" si="124"/>
        <v/>
      </c>
      <c r="KJM30" t="str">
        <f t="shared" si="124"/>
        <v/>
      </c>
      <c r="KJN30" t="str">
        <f t="shared" si="124"/>
        <v/>
      </c>
      <c r="KJO30" t="str">
        <f t="shared" si="124"/>
        <v/>
      </c>
      <c r="KJP30" t="str">
        <f t="shared" si="124"/>
        <v/>
      </c>
      <c r="KJQ30" t="str">
        <f t="shared" si="124"/>
        <v/>
      </c>
      <c r="KJR30" t="str">
        <f t="shared" si="124"/>
        <v/>
      </c>
      <c r="KJS30" t="str">
        <f t="shared" si="124"/>
        <v/>
      </c>
      <c r="KJT30" t="str">
        <f t="shared" si="124"/>
        <v/>
      </c>
      <c r="KJU30" t="str">
        <f t="shared" si="124"/>
        <v/>
      </c>
      <c r="KJV30" t="str">
        <f t="shared" si="124"/>
        <v/>
      </c>
      <c r="KJW30" t="str">
        <f t="shared" si="124"/>
        <v/>
      </c>
      <c r="KJX30" t="str">
        <f t="shared" si="124"/>
        <v/>
      </c>
      <c r="KJY30" t="str">
        <f t="shared" si="124"/>
        <v/>
      </c>
      <c r="KJZ30" t="str">
        <f t="shared" si="124"/>
        <v/>
      </c>
      <c r="KKA30" t="str">
        <f t="shared" si="124"/>
        <v/>
      </c>
      <c r="KKB30" t="str">
        <f t="shared" si="124"/>
        <v/>
      </c>
      <c r="KKC30" t="str">
        <f t="shared" si="124"/>
        <v/>
      </c>
      <c r="KKD30" t="str">
        <f t="shared" si="124"/>
        <v/>
      </c>
      <c r="KKE30" t="str">
        <f t="shared" si="124"/>
        <v/>
      </c>
      <c r="KKF30" t="str">
        <f t="shared" si="124"/>
        <v/>
      </c>
      <c r="KKG30" t="str">
        <f t="shared" si="124"/>
        <v/>
      </c>
      <c r="KKH30" t="str">
        <f t="shared" si="124"/>
        <v/>
      </c>
      <c r="KKI30" t="str">
        <f t="shared" si="124"/>
        <v/>
      </c>
      <c r="KKJ30" t="str">
        <f t="shared" si="124"/>
        <v/>
      </c>
      <c r="KKK30" t="str">
        <f t="shared" si="124"/>
        <v/>
      </c>
      <c r="KKL30" t="str">
        <f t="shared" si="124"/>
        <v/>
      </c>
      <c r="KKM30" t="str">
        <f t="shared" si="124"/>
        <v/>
      </c>
      <c r="KKN30" t="str">
        <f t="shared" si="124"/>
        <v/>
      </c>
      <c r="KKO30" t="str">
        <f t="shared" si="124"/>
        <v/>
      </c>
      <c r="KKP30" t="str">
        <f t="shared" si="124"/>
        <v/>
      </c>
      <c r="KKQ30" t="str">
        <f t="shared" si="124"/>
        <v/>
      </c>
      <c r="KKR30" t="str">
        <f t="shared" si="124"/>
        <v/>
      </c>
      <c r="KKS30" t="str">
        <f t="shared" si="124"/>
        <v/>
      </c>
      <c r="KKT30" t="str">
        <f t="shared" si="124"/>
        <v/>
      </c>
      <c r="KKU30" t="str">
        <f t="shared" si="124"/>
        <v/>
      </c>
      <c r="KKV30" t="str">
        <f t="shared" si="124"/>
        <v/>
      </c>
      <c r="KKW30" t="str">
        <f t="shared" si="124"/>
        <v/>
      </c>
      <c r="KKX30" t="str">
        <f t="shared" si="124"/>
        <v/>
      </c>
      <c r="KKY30" t="str">
        <f t="shared" si="124"/>
        <v/>
      </c>
      <c r="KKZ30" t="str">
        <f t="shared" si="124"/>
        <v/>
      </c>
      <c r="KLA30" t="str">
        <f t="shared" si="124"/>
        <v/>
      </c>
      <c r="KLB30" t="str">
        <f t="shared" si="124"/>
        <v/>
      </c>
      <c r="KLC30" t="str">
        <f t="shared" si="124"/>
        <v/>
      </c>
      <c r="KLD30" t="str">
        <f t="shared" si="124"/>
        <v/>
      </c>
      <c r="KLE30" t="str">
        <f t="shared" si="124"/>
        <v/>
      </c>
      <c r="KLF30" t="str">
        <f t="shared" si="124"/>
        <v/>
      </c>
      <c r="KLG30" t="str">
        <f t="shared" si="124"/>
        <v/>
      </c>
      <c r="KLH30" t="str">
        <f t="shared" si="124"/>
        <v/>
      </c>
      <c r="KLI30" t="str">
        <f t="shared" si="124"/>
        <v/>
      </c>
      <c r="KLJ30" t="str">
        <f t="shared" si="124"/>
        <v/>
      </c>
      <c r="KLK30" t="str">
        <f t="shared" si="124"/>
        <v/>
      </c>
      <c r="KLL30" t="str">
        <f t="shared" ref="KLL30:KNW30" si="125">TRIM(KLX11)</f>
        <v/>
      </c>
      <c r="KLM30" t="str">
        <f t="shared" si="125"/>
        <v/>
      </c>
      <c r="KLN30" t="str">
        <f t="shared" si="125"/>
        <v/>
      </c>
      <c r="KLO30" t="str">
        <f t="shared" si="125"/>
        <v/>
      </c>
      <c r="KLP30" t="str">
        <f t="shared" si="125"/>
        <v/>
      </c>
      <c r="KLQ30" t="str">
        <f t="shared" si="125"/>
        <v/>
      </c>
      <c r="KLR30" t="str">
        <f t="shared" si="125"/>
        <v/>
      </c>
      <c r="KLS30" t="str">
        <f t="shared" si="125"/>
        <v/>
      </c>
      <c r="KLT30" t="str">
        <f t="shared" si="125"/>
        <v/>
      </c>
      <c r="KLU30" t="str">
        <f t="shared" si="125"/>
        <v/>
      </c>
      <c r="KLV30" t="str">
        <f t="shared" si="125"/>
        <v/>
      </c>
      <c r="KLW30" t="str">
        <f t="shared" si="125"/>
        <v/>
      </c>
      <c r="KLX30" t="str">
        <f t="shared" si="125"/>
        <v/>
      </c>
      <c r="KLY30" t="str">
        <f t="shared" si="125"/>
        <v/>
      </c>
      <c r="KLZ30" t="str">
        <f t="shared" si="125"/>
        <v/>
      </c>
      <c r="KMA30" t="str">
        <f t="shared" si="125"/>
        <v/>
      </c>
      <c r="KMB30" t="str">
        <f t="shared" si="125"/>
        <v/>
      </c>
      <c r="KMC30" t="str">
        <f t="shared" si="125"/>
        <v/>
      </c>
      <c r="KMD30" t="str">
        <f t="shared" si="125"/>
        <v/>
      </c>
      <c r="KME30" t="str">
        <f t="shared" si="125"/>
        <v/>
      </c>
      <c r="KMF30" t="str">
        <f t="shared" si="125"/>
        <v/>
      </c>
      <c r="KMG30" t="str">
        <f t="shared" si="125"/>
        <v/>
      </c>
      <c r="KMH30" t="str">
        <f t="shared" si="125"/>
        <v/>
      </c>
      <c r="KMI30" t="str">
        <f t="shared" si="125"/>
        <v/>
      </c>
      <c r="KMJ30" t="str">
        <f t="shared" si="125"/>
        <v/>
      </c>
      <c r="KMK30" t="str">
        <f t="shared" si="125"/>
        <v/>
      </c>
      <c r="KML30" t="str">
        <f t="shared" si="125"/>
        <v/>
      </c>
      <c r="KMM30" t="str">
        <f t="shared" si="125"/>
        <v/>
      </c>
      <c r="KMN30" t="str">
        <f t="shared" si="125"/>
        <v/>
      </c>
      <c r="KMO30" t="str">
        <f t="shared" si="125"/>
        <v/>
      </c>
      <c r="KMP30" t="str">
        <f t="shared" si="125"/>
        <v/>
      </c>
      <c r="KMQ30" t="str">
        <f t="shared" si="125"/>
        <v/>
      </c>
      <c r="KMR30" t="str">
        <f t="shared" si="125"/>
        <v/>
      </c>
      <c r="KMS30" t="str">
        <f t="shared" si="125"/>
        <v/>
      </c>
      <c r="KMT30" t="str">
        <f t="shared" si="125"/>
        <v/>
      </c>
      <c r="KMU30" t="str">
        <f t="shared" si="125"/>
        <v/>
      </c>
      <c r="KMV30" t="str">
        <f t="shared" si="125"/>
        <v/>
      </c>
      <c r="KMW30" t="str">
        <f t="shared" si="125"/>
        <v/>
      </c>
      <c r="KMX30" t="str">
        <f t="shared" si="125"/>
        <v/>
      </c>
      <c r="KMY30" t="str">
        <f t="shared" si="125"/>
        <v/>
      </c>
      <c r="KMZ30" t="str">
        <f t="shared" si="125"/>
        <v/>
      </c>
      <c r="KNA30" t="str">
        <f t="shared" si="125"/>
        <v/>
      </c>
      <c r="KNB30" t="str">
        <f t="shared" si="125"/>
        <v/>
      </c>
      <c r="KNC30" t="str">
        <f t="shared" si="125"/>
        <v/>
      </c>
      <c r="KND30" t="str">
        <f t="shared" si="125"/>
        <v/>
      </c>
      <c r="KNE30" t="str">
        <f t="shared" si="125"/>
        <v/>
      </c>
      <c r="KNF30" t="str">
        <f t="shared" si="125"/>
        <v/>
      </c>
      <c r="KNG30" t="str">
        <f t="shared" si="125"/>
        <v/>
      </c>
      <c r="KNH30" t="str">
        <f t="shared" si="125"/>
        <v/>
      </c>
      <c r="KNI30" t="str">
        <f t="shared" si="125"/>
        <v/>
      </c>
      <c r="KNJ30" t="str">
        <f t="shared" si="125"/>
        <v/>
      </c>
      <c r="KNK30" t="str">
        <f t="shared" si="125"/>
        <v/>
      </c>
      <c r="KNL30" t="str">
        <f t="shared" si="125"/>
        <v/>
      </c>
      <c r="KNM30" t="str">
        <f t="shared" si="125"/>
        <v/>
      </c>
      <c r="KNN30" t="str">
        <f t="shared" si="125"/>
        <v/>
      </c>
      <c r="KNO30" t="str">
        <f t="shared" si="125"/>
        <v/>
      </c>
      <c r="KNP30" t="str">
        <f t="shared" si="125"/>
        <v/>
      </c>
      <c r="KNQ30" t="str">
        <f t="shared" si="125"/>
        <v/>
      </c>
      <c r="KNR30" t="str">
        <f t="shared" si="125"/>
        <v/>
      </c>
      <c r="KNS30" t="str">
        <f t="shared" si="125"/>
        <v/>
      </c>
      <c r="KNT30" t="str">
        <f t="shared" si="125"/>
        <v/>
      </c>
      <c r="KNU30" t="str">
        <f t="shared" si="125"/>
        <v/>
      </c>
      <c r="KNV30" t="str">
        <f t="shared" si="125"/>
        <v/>
      </c>
      <c r="KNW30" t="str">
        <f t="shared" si="125"/>
        <v/>
      </c>
      <c r="KNX30" t="str">
        <f t="shared" ref="KNX30:KQI30" si="126">TRIM(KOJ11)</f>
        <v/>
      </c>
      <c r="KNY30" t="str">
        <f t="shared" si="126"/>
        <v/>
      </c>
      <c r="KNZ30" t="str">
        <f t="shared" si="126"/>
        <v/>
      </c>
      <c r="KOA30" t="str">
        <f t="shared" si="126"/>
        <v/>
      </c>
      <c r="KOB30" t="str">
        <f t="shared" si="126"/>
        <v/>
      </c>
      <c r="KOC30" t="str">
        <f t="shared" si="126"/>
        <v/>
      </c>
      <c r="KOD30" t="str">
        <f t="shared" si="126"/>
        <v/>
      </c>
      <c r="KOE30" t="str">
        <f t="shared" si="126"/>
        <v/>
      </c>
      <c r="KOF30" t="str">
        <f t="shared" si="126"/>
        <v/>
      </c>
      <c r="KOG30" t="str">
        <f t="shared" si="126"/>
        <v/>
      </c>
      <c r="KOH30" t="str">
        <f t="shared" si="126"/>
        <v/>
      </c>
      <c r="KOI30" t="str">
        <f t="shared" si="126"/>
        <v/>
      </c>
      <c r="KOJ30" t="str">
        <f t="shared" si="126"/>
        <v/>
      </c>
      <c r="KOK30" t="str">
        <f t="shared" si="126"/>
        <v/>
      </c>
      <c r="KOL30" t="str">
        <f t="shared" si="126"/>
        <v/>
      </c>
      <c r="KOM30" t="str">
        <f t="shared" si="126"/>
        <v/>
      </c>
      <c r="KON30" t="str">
        <f t="shared" si="126"/>
        <v/>
      </c>
      <c r="KOO30" t="str">
        <f t="shared" si="126"/>
        <v/>
      </c>
      <c r="KOP30" t="str">
        <f t="shared" si="126"/>
        <v/>
      </c>
      <c r="KOQ30" t="str">
        <f t="shared" si="126"/>
        <v/>
      </c>
      <c r="KOR30" t="str">
        <f t="shared" si="126"/>
        <v/>
      </c>
      <c r="KOS30" t="str">
        <f t="shared" si="126"/>
        <v/>
      </c>
      <c r="KOT30" t="str">
        <f t="shared" si="126"/>
        <v/>
      </c>
      <c r="KOU30" t="str">
        <f t="shared" si="126"/>
        <v/>
      </c>
      <c r="KOV30" t="str">
        <f t="shared" si="126"/>
        <v/>
      </c>
      <c r="KOW30" t="str">
        <f t="shared" si="126"/>
        <v/>
      </c>
      <c r="KOX30" t="str">
        <f t="shared" si="126"/>
        <v/>
      </c>
      <c r="KOY30" t="str">
        <f t="shared" si="126"/>
        <v/>
      </c>
      <c r="KOZ30" t="str">
        <f t="shared" si="126"/>
        <v/>
      </c>
      <c r="KPA30" t="str">
        <f t="shared" si="126"/>
        <v/>
      </c>
      <c r="KPB30" t="str">
        <f t="shared" si="126"/>
        <v/>
      </c>
      <c r="KPC30" t="str">
        <f t="shared" si="126"/>
        <v/>
      </c>
      <c r="KPD30" t="str">
        <f t="shared" si="126"/>
        <v/>
      </c>
      <c r="KPE30" t="str">
        <f t="shared" si="126"/>
        <v/>
      </c>
      <c r="KPF30" t="str">
        <f t="shared" si="126"/>
        <v/>
      </c>
      <c r="KPG30" t="str">
        <f t="shared" si="126"/>
        <v/>
      </c>
      <c r="KPH30" t="str">
        <f t="shared" si="126"/>
        <v/>
      </c>
      <c r="KPI30" t="str">
        <f t="shared" si="126"/>
        <v/>
      </c>
      <c r="KPJ30" t="str">
        <f t="shared" si="126"/>
        <v/>
      </c>
      <c r="KPK30" t="str">
        <f t="shared" si="126"/>
        <v/>
      </c>
      <c r="KPL30" t="str">
        <f t="shared" si="126"/>
        <v/>
      </c>
      <c r="KPM30" t="str">
        <f t="shared" si="126"/>
        <v/>
      </c>
      <c r="KPN30" t="str">
        <f t="shared" si="126"/>
        <v/>
      </c>
      <c r="KPO30" t="str">
        <f t="shared" si="126"/>
        <v/>
      </c>
      <c r="KPP30" t="str">
        <f t="shared" si="126"/>
        <v/>
      </c>
      <c r="KPQ30" t="str">
        <f t="shared" si="126"/>
        <v/>
      </c>
      <c r="KPR30" t="str">
        <f t="shared" si="126"/>
        <v/>
      </c>
      <c r="KPS30" t="str">
        <f t="shared" si="126"/>
        <v/>
      </c>
      <c r="KPT30" t="str">
        <f t="shared" si="126"/>
        <v/>
      </c>
      <c r="KPU30" t="str">
        <f t="shared" si="126"/>
        <v/>
      </c>
      <c r="KPV30" t="str">
        <f t="shared" si="126"/>
        <v/>
      </c>
      <c r="KPW30" t="str">
        <f t="shared" si="126"/>
        <v/>
      </c>
      <c r="KPX30" t="str">
        <f t="shared" si="126"/>
        <v/>
      </c>
      <c r="KPY30" t="str">
        <f t="shared" si="126"/>
        <v/>
      </c>
      <c r="KPZ30" t="str">
        <f t="shared" si="126"/>
        <v/>
      </c>
      <c r="KQA30" t="str">
        <f t="shared" si="126"/>
        <v/>
      </c>
      <c r="KQB30" t="str">
        <f t="shared" si="126"/>
        <v/>
      </c>
      <c r="KQC30" t="str">
        <f t="shared" si="126"/>
        <v/>
      </c>
      <c r="KQD30" t="str">
        <f t="shared" si="126"/>
        <v/>
      </c>
      <c r="KQE30" t="str">
        <f t="shared" si="126"/>
        <v/>
      </c>
      <c r="KQF30" t="str">
        <f t="shared" si="126"/>
        <v/>
      </c>
      <c r="KQG30" t="str">
        <f t="shared" si="126"/>
        <v/>
      </c>
      <c r="KQH30" t="str">
        <f t="shared" si="126"/>
        <v/>
      </c>
      <c r="KQI30" t="str">
        <f t="shared" si="126"/>
        <v/>
      </c>
      <c r="KQJ30" t="str">
        <f t="shared" ref="KQJ30:KSU30" si="127">TRIM(KQV11)</f>
        <v/>
      </c>
      <c r="KQK30" t="str">
        <f t="shared" si="127"/>
        <v/>
      </c>
      <c r="KQL30" t="str">
        <f t="shared" si="127"/>
        <v/>
      </c>
      <c r="KQM30" t="str">
        <f t="shared" si="127"/>
        <v/>
      </c>
      <c r="KQN30" t="str">
        <f t="shared" si="127"/>
        <v/>
      </c>
      <c r="KQO30" t="str">
        <f t="shared" si="127"/>
        <v/>
      </c>
      <c r="KQP30" t="str">
        <f t="shared" si="127"/>
        <v/>
      </c>
      <c r="KQQ30" t="str">
        <f t="shared" si="127"/>
        <v/>
      </c>
      <c r="KQR30" t="str">
        <f t="shared" si="127"/>
        <v/>
      </c>
      <c r="KQS30" t="str">
        <f t="shared" si="127"/>
        <v/>
      </c>
      <c r="KQT30" t="str">
        <f t="shared" si="127"/>
        <v/>
      </c>
      <c r="KQU30" t="str">
        <f t="shared" si="127"/>
        <v/>
      </c>
      <c r="KQV30" t="str">
        <f t="shared" si="127"/>
        <v/>
      </c>
      <c r="KQW30" t="str">
        <f t="shared" si="127"/>
        <v/>
      </c>
      <c r="KQX30" t="str">
        <f t="shared" si="127"/>
        <v/>
      </c>
      <c r="KQY30" t="str">
        <f t="shared" si="127"/>
        <v/>
      </c>
      <c r="KQZ30" t="str">
        <f t="shared" si="127"/>
        <v/>
      </c>
      <c r="KRA30" t="str">
        <f t="shared" si="127"/>
        <v/>
      </c>
      <c r="KRB30" t="str">
        <f t="shared" si="127"/>
        <v/>
      </c>
      <c r="KRC30" t="str">
        <f t="shared" si="127"/>
        <v/>
      </c>
      <c r="KRD30" t="str">
        <f t="shared" si="127"/>
        <v/>
      </c>
      <c r="KRE30" t="str">
        <f t="shared" si="127"/>
        <v/>
      </c>
      <c r="KRF30" t="str">
        <f t="shared" si="127"/>
        <v/>
      </c>
      <c r="KRG30" t="str">
        <f t="shared" si="127"/>
        <v/>
      </c>
      <c r="KRH30" t="str">
        <f t="shared" si="127"/>
        <v/>
      </c>
      <c r="KRI30" t="str">
        <f t="shared" si="127"/>
        <v/>
      </c>
      <c r="KRJ30" t="str">
        <f t="shared" si="127"/>
        <v/>
      </c>
      <c r="KRK30" t="str">
        <f t="shared" si="127"/>
        <v/>
      </c>
      <c r="KRL30" t="str">
        <f t="shared" si="127"/>
        <v/>
      </c>
      <c r="KRM30" t="str">
        <f t="shared" si="127"/>
        <v/>
      </c>
      <c r="KRN30" t="str">
        <f t="shared" si="127"/>
        <v/>
      </c>
      <c r="KRO30" t="str">
        <f t="shared" si="127"/>
        <v/>
      </c>
      <c r="KRP30" t="str">
        <f t="shared" si="127"/>
        <v/>
      </c>
      <c r="KRQ30" t="str">
        <f t="shared" si="127"/>
        <v/>
      </c>
      <c r="KRR30" t="str">
        <f t="shared" si="127"/>
        <v/>
      </c>
      <c r="KRS30" t="str">
        <f t="shared" si="127"/>
        <v/>
      </c>
      <c r="KRT30" t="str">
        <f t="shared" si="127"/>
        <v/>
      </c>
      <c r="KRU30" t="str">
        <f t="shared" si="127"/>
        <v/>
      </c>
      <c r="KRV30" t="str">
        <f t="shared" si="127"/>
        <v/>
      </c>
      <c r="KRW30" t="str">
        <f t="shared" si="127"/>
        <v/>
      </c>
      <c r="KRX30" t="str">
        <f t="shared" si="127"/>
        <v/>
      </c>
      <c r="KRY30" t="str">
        <f t="shared" si="127"/>
        <v/>
      </c>
      <c r="KRZ30" t="str">
        <f t="shared" si="127"/>
        <v/>
      </c>
      <c r="KSA30" t="str">
        <f t="shared" si="127"/>
        <v/>
      </c>
      <c r="KSB30" t="str">
        <f t="shared" si="127"/>
        <v/>
      </c>
      <c r="KSC30" t="str">
        <f t="shared" si="127"/>
        <v/>
      </c>
      <c r="KSD30" t="str">
        <f t="shared" si="127"/>
        <v/>
      </c>
      <c r="KSE30" t="str">
        <f t="shared" si="127"/>
        <v/>
      </c>
      <c r="KSF30" t="str">
        <f t="shared" si="127"/>
        <v/>
      </c>
      <c r="KSG30" t="str">
        <f t="shared" si="127"/>
        <v/>
      </c>
      <c r="KSH30" t="str">
        <f t="shared" si="127"/>
        <v/>
      </c>
      <c r="KSI30" t="str">
        <f t="shared" si="127"/>
        <v/>
      </c>
      <c r="KSJ30" t="str">
        <f t="shared" si="127"/>
        <v/>
      </c>
      <c r="KSK30" t="str">
        <f t="shared" si="127"/>
        <v/>
      </c>
      <c r="KSL30" t="str">
        <f t="shared" si="127"/>
        <v/>
      </c>
      <c r="KSM30" t="str">
        <f t="shared" si="127"/>
        <v/>
      </c>
      <c r="KSN30" t="str">
        <f t="shared" si="127"/>
        <v/>
      </c>
      <c r="KSO30" t="str">
        <f t="shared" si="127"/>
        <v/>
      </c>
      <c r="KSP30" t="str">
        <f t="shared" si="127"/>
        <v/>
      </c>
      <c r="KSQ30" t="str">
        <f t="shared" si="127"/>
        <v/>
      </c>
      <c r="KSR30" t="str">
        <f t="shared" si="127"/>
        <v/>
      </c>
      <c r="KSS30" t="str">
        <f t="shared" si="127"/>
        <v/>
      </c>
      <c r="KST30" t="str">
        <f t="shared" si="127"/>
        <v/>
      </c>
      <c r="KSU30" t="str">
        <f t="shared" si="127"/>
        <v/>
      </c>
      <c r="KSV30" t="str">
        <f t="shared" ref="KSV30:KVG30" si="128">TRIM(KTH11)</f>
        <v/>
      </c>
      <c r="KSW30" t="str">
        <f t="shared" si="128"/>
        <v/>
      </c>
      <c r="KSX30" t="str">
        <f t="shared" si="128"/>
        <v/>
      </c>
      <c r="KSY30" t="str">
        <f t="shared" si="128"/>
        <v/>
      </c>
      <c r="KSZ30" t="str">
        <f t="shared" si="128"/>
        <v/>
      </c>
      <c r="KTA30" t="str">
        <f t="shared" si="128"/>
        <v/>
      </c>
      <c r="KTB30" t="str">
        <f t="shared" si="128"/>
        <v/>
      </c>
      <c r="KTC30" t="str">
        <f t="shared" si="128"/>
        <v/>
      </c>
      <c r="KTD30" t="str">
        <f t="shared" si="128"/>
        <v/>
      </c>
      <c r="KTE30" t="str">
        <f t="shared" si="128"/>
        <v/>
      </c>
      <c r="KTF30" t="str">
        <f t="shared" si="128"/>
        <v/>
      </c>
      <c r="KTG30" t="str">
        <f t="shared" si="128"/>
        <v/>
      </c>
      <c r="KTH30" t="str">
        <f t="shared" si="128"/>
        <v/>
      </c>
      <c r="KTI30" t="str">
        <f t="shared" si="128"/>
        <v/>
      </c>
      <c r="KTJ30" t="str">
        <f t="shared" si="128"/>
        <v/>
      </c>
      <c r="KTK30" t="str">
        <f t="shared" si="128"/>
        <v/>
      </c>
      <c r="KTL30" t="str">
        <f t="shared" si="128"/>
        <v/>
      </c>
      <c r="KTM30" t="str">
        <f t="shared" si="128"/>
        <v/>
      </c>
      <c r="KTN30" t="str">
        <f t="shared" si="128"/>
        <v/>
      </c>
      <c r="KTO30" t="str">
        <f t="shared" si="128"/>
        <v/>
      </c>
      <c r="KTP30" t="str">
        <f t="shared" si="128"/>
        <v/>
      </c>
      <c r="KTQ30" t="str">
        <f t="shared" si="128"/>
        <v/>
      </c>
      <c r="KTR30" t="str">
        <f t="shared" si="128"/>
        <v/>
      </c>
      <c r="KTS30" t="str">
        <f t="shared" si="128"/>
        <v/>
      </c>
      <c r="KTT30" t="str">
        <f t="shared" si="128"/>
        <v/>
      </c>
      <c r="KTU30" t="str">
        <f t="shared" si="128"/>
        <v/>
      </c>
      <c r="KTV30" t="str">
        <f t="shared" si="128"/>
        <v/>
      </c>
      <c r="KTW30" t="str">
        <f t="shared" si="128"/>
        <v/>
      </c>
      <c r="KTX30" t="str">
        <f t="shared" si="128"/>
        <v/>
      </c>
      <c r="KTY30" t="str">
        <f t="shared" si="128"/>
        <v/>
      </c>
      <c r="KTZ30" t="str">
        <f t="shared" si="128"/>
        <v/>
      </c>
      <c r="KUA30" t="str">
        <f t="shared" si="128"/>
        <v/>
      </c>
      <c r="KUB30" t="str">
        <f t="shared" si="128"/>
        <v/>
      </c>
      <c r="KUC30" t="str">
        <f t="shared" si="128"/>
        <v/>
      </c>
      <c r="KUD30" t="str">
        <f t="shared" si="128"/>
        <v/>
      </c>
      <c r="KUE30" t="str">
        <f t="shared" si="128"/>
        <v/>
      </c>
      <c r="KUF30" t="str">
        <f t="shared" si="128"/>
        <v/>
      </c>
      <c r="KUG30" t="str">
        <f t="shared" si="128"/>
        <v/>
      </c>
      <c r="KUH30" t="str">
        <f t="shared" si="128"/>
        <v/>
      </c>
      <c r="KUI30" t="str">
        <f t="shared" si="128"/>
        <v/>
      </c>
      <c r="KUJ30" t="str">
        <f t="shared" si="128"/>
        <v/>
      </c>
      <c r="KUK30" t="str">
        <f t="shared" si="128"/>
        <v/>
      </c>
      <c r="KUL30" t="str">
        <f t="shared" si="128"/>
        <v/>
      </c>
      <c r="KUM30" t="str">
        <f t="shared" si="128"/>
        <v/>
      </c>
      <c r="KUN30" t="str">
        <f t="shared" si="128"/>
        <v/>
      </c>
      <c r="KUO30" t="str">
        <f t="shared" si="128"/>
        <v/>
      </c>
      <c r="KUP30" t="str">
        <f t="shared" si="128"/>
        <v/>
      </c>
      <c r="KUQ30" t="str">
        <f t="shared" si="128"/>
        <v/>
      </c>
      <c r="KUR30" t="str">
        <f t="shared" si="128"/>
        <v/>
      </c>
      <c r="KUS30" t="str">
        <f t="shared" si="128"/>
        <v/>
      </c>
      <c r="KUT30" t="str">
        <f t="shared" si="128"/>
        <v/>
      </c>
      <c r="KUU30" t="str">
        <f t="shared" si="128"/>
        <v/>
      </c>
      <c r="KUV30" t="str">
        <f t="shared" si="128"/>
        <v/>
      </c>
      <c r="KUW30" t="str">
        <f t="shared" si="128"/>
        <v/>
      </c>
      <c r="KUX30" t="str">
        <f t="shared" si="128"/>
        <v/>
      </c>
      <c r="KUY30" t="str">
        <f t="shared" si="128"/>
        <v/>
      </c>
      <c r="KUZ30" t="str">
        <f t="shared" si="128"/>
        <v/>
      </c>
      <c r="KVA30" t="str">
        <f t="shared" si="128"/>
        <v/>
      </c>
      <c r="KVB30" t="str">
        <f t="shared" si="128"/>
        <v/>
      </c>
      <c r="KVC30" t="str">
        <f t="shared" si="128"/>
        <v/>
      </c>
      <c r="KVD30" t="str">
        <f t="shared" si="128"/>
        <v/>
      </c>
      <c r="KVE30" t="str">
        <f t="shared" si="128"/>
        <v/>
      </c>
      <c r="KVF30" t="str">
        <f t="shared" si="128"/>
        <v/>
      </c>
      <c r="KVG30" t="str">
        <f t="shared" si="128"/>
        <v/>
      </c>
      <c r="KVH30" t="str">
        <f t="shared" ref="KVH30:KXS30" si="129">TRIM(KVT11)</f>
        <v/>
      </c>
      <c r="KVI30" t="str">
        <f t="shared" si="129"/>
        <v/>
      </c>
      <c r="KVJ30" t="str">
        <f t="shared" si="129"/>
        <v/>
      </c>
      <c r="KVK30" t="str">
        <f t="shared" si="129"/>
        <v/>
      </c>
      <c r="KVL30" t="str">
        <f t="shared" si="129"/>
        <v/>
      </c>
      <c r="KVM30" t="str">
        <f t="shared" si="129"/>
        <v/>
      </c>
      <c r="KVN30" t="str">
        <f t="shared" si="129"/>
        <v/>
      </c>
      <c r="KVO30" t="str">
        <f t="shared" si="129"/>
        <v/>
      </c>
      <c r="KVP30" t="str">
        <f t="shared" si="129"/>
        <v/>
      </c>
      <c r="KVQ30" t="str">
        <f t="shared" si="129"/>
        <v/>
      </c>
      <c r="KVR30" t="str">
        <f t="shared" si="129"/>
        <v/>
      </c>
      <c r="KVS30" t="str">
        <f t="shared" si="129"/>
        <v/>
      </c>
      <c r="KVT30" t="str">
        <f t="shared" si="129"/>
        <v/>
      </c>
      <c r="KVU30" t="str">
        <f t="shared" si="129"/>
        <v/>
      </c>
      <c r="KVV30" t="str">
        <f t="shared" si="129"/>
        <v/>
      </c>
      <c r="KVW30" t="str">
        <f t="shared" si="129"/>
        <v/>
      </c>
      <c r="KVX30" t="str">
        <f t="shared" si="129"/>
        <v/>
      </c>
      <c r="KVY30" t="str">
        <f t="shared" si="129"/>
        <v/>
      </c>
      <c r="KVZ30" t="str">
        <f t="shared" si="129"/>
        <v/>
      </c>
      <c r="KWA30" t="str">
        <f t="shared" si="129"/>
        <v/>
      </c>
      <c r="KWB30" t="str">
        <f t="shared" si="129"/>
        <v/>
      </c>
      <c r="KWC30" t="str">
        <f t="shared" si="129"/>
        <v/>
      </c>
      <c r="KWD30" t="str">
        <f t="shared" si="129"/>
        <v/>
      </c>
      <c r="KWE30" t="str">
        <f t="shared" si="129"/>
        <v/>
      </c>
      <c r="KWF30" t="str">
        <f t="shared" si="129"/>
        <v/>
      </c>
      <c r="KWG30" t="str">
        <f t="shared" si="129"/>
        <v/>
      </c>
      <c r="KWH30" t="str">
        <f t="shared" si="129"/>
        <v/>
      </c>
      <c r="KWI30" t="str">
        <f t="shared" si="129"/>
        <v/>
      </c>
      <c r="KWJ30" t="str">
        <f t="shared" si="129"/>
        <v/>
      </c>
      <c r="KWK30" t="str">
        <f t="shared" si="129"/>
        <v/>
      </c>
      <c r="KWL30" t="str">
        <f t="shared" si="129"/>
        <v/>
      </c>
      <c r="KWM30" t="str">
        <f t="shared" si="129"/>
        <v/>
      </c>
      <c r="KWN30" t="str">
        <f t="shared" si="129"/>
        <v/>
      </c>
      <c r="KWO30" t="str">
        <f t="shared" si="129"/>
        <v/>
      </c>
      <c r="KWP30" t="str">
        <f t="shared" si="129"/>
        <v/>
      </c>
      <c r="KWQ30" t="str">
        <f t="shared" si="129"/>
        <v/>
      </c>
      <c r="KWR30" t="str">
        <f t="shared" si="129"/>
        <v/>
      </c>
      <c r="KWS30" t="str">
        <f t="shared" si="129"/>
        <v/>
      </c>
      <c r="KWT30" t="str">
        <f t="shared" si="129"/>
        <v/>
      </c>
      <c r="KWU30" t="str">
        <f t="shared" si="129"/>
        <v/>
      </c>
      <c r="KWV30" t="str">
        <f t="shared" si="129"/>
        <v/>
      </c>
      <c r="KWW30" t="str">
        <f t="shared" si="129"/>
        <v/>
      </c>
      <c r="KWX30" t="str">
        <f t="shared" si="129"/>
        <v/>
      </c>
      <c r="KWY30" t="str">
        <f t="shared" si="129"/>
        <v/>
      </c>
      <c r="KWZ30" t="str">
        <f t="shared" si="129"/>
        <v/>
      </c>
      <c r="KXA30" t="str">
        <f t="shared" si="129"/>
        <v/>
      </c>
      <c r="KXB30" t="str">
        <f t="shared" si="129"/>
        <v/>
      </c>
      <c r="KXC30" t="str">
        <f t="shared" si="129"/>
        <v/>
      </c>
      <c r="KXD30" t="str">
        <f t="shared" si="129"/>
        <v/>
      </c>
      <c r="KXE30" t="str">
        <f t="shared" si="129"/>
        <v/>
      </c>
      <c r="KXF30" t="str">
        <f t="shared" si="129"/>
        <v/>
      </c>
      <c r="KXG30" t="str">
        <f t="shared" si="129"/>
        <v/>
      </c>
      <c r="KXH30" t="str">
        <f t="shared" si="129"/>
        <v/>
      </c>
      <c r="KXI30" t="str">
        <f t="shared" si="129"/>
        <v/>
      </c>
      <c r="KXJ30" t="str">
        <f t="shared" si="129"/>
        <v/>
      </c>
      <c r="KXK30" t="str">
        <f t="shared" si="129"/>
        <v/>
      </c>
      <c r="KXL30" t="str">
        <f t="shared" si="129"/>
        <v/>
      </c>
      <c r="KXM30" t="str">
        <f t="shared" si="129"/>
        <v/>
      </c>
      <c r="KXN30" t="str">
        <f t="shared" si="129"/>
        <v/>
      </c>
      <c r="KXO30" t="str">
        <f t="shared" si="129"/>
        <v/>
      </c>
      <c r="KXP30" t="str">
        <f t="shared" si="129"/>
        <v/>
      </c>
      <c r="KXQ30" t="str">
        <f t="shared" si="129"/>
        <v/>
      </c>
      <c r="KXR30" t="str">
        <f t="shared" si="129"/>
        <v/>
      </c>
      <c r="KXS30" t="str">
        <f t="shared" si="129"/>
        <v/>
      </c>
      <c r="KXT30" t="str">
        <f t="shared" ref="KXT30:LAE30" si="130">TRIM(KYF11)</f>
        <v/>
      </c>
      <c r="KXU30" t="str">
        <f t="shared" si="130"/>
        <v/>
      </c>
      <c r="KXV30" t="str">
        <f t="shared" si="130"/>
        <v/>
      </c>
      <c r="KXW30" t="str">
        <f t="shared" si="130"/>
        <v/>
      </c>
      <c r="KXX30" t="str">
        <f t="shared" si="130"/>
        <v/>
      </c>
      <c r="KXY30" t="str">
        <f t="shared" si="130"/>
        <v/>
      </c>
      <c r="KXZ30" t="str">
        <f t="shared" si="130"/>
        <v/>
      </c>
      <c r="KYA30" t="str">
        <f t="shared" si="130"/>
        <v/>
      </c>
      <c r="KYB30" t="str">
        <f t="shared" si="130"/>
        <v/>
      </c>
      <c r="KYC30" t="str">
        <f t="shared" si="130"/>
        <v/>
      </c>
      <c r="KYD30" t="str">
        <f t="shared" si="130"/>
        <v/>
      </c>
      <c r="KYE30" t="str">
        <f t="shared" si="130"/>
        <v/>
      </c>
      <c r="KYF30" t="str">
        <f t="shared" si="130"/>
        <v/>
      </c>
      <c r="KYG30" t="str">
        <f t="shared" si="130"/>
        <v/>
      </c>
      <c r="KYH30" t="str">
        <f t="shared" si="130"/>
        <v/>
      </c>
      <c r="KYI30" t="str">
        <f t="shared" si="130"/>
        <v/>
      </c>
      <c r="KYJ30" t="str">
        <f t="shared" si="130"/>
        <v/>
      </c>
      <c r="KYK30" t="str">
        <f t="shared" si="130"/>
        <v/>
      </c>
      <c r="KYL30" t="str">
        <f t="shared" si="130"/>
        <v/>
      </c>
      <c r="KYM30" t="str">
        <f t="shared" si="130"/>
        <v/>
      </c>
      <c r="KYN30" t="str">
        <f t="shared" si="130"/>
        <v/>
      </c>
      <c r="KYO30" t="str">
        <f t="shared" si="130"/>
        <v/>
      </c>
      <c r="KYP30" t="str">
        <f t="shared" si="130"/>
        <v/>
      </c>
      <c r="KYQ30" t="str">
        <f t="shared" si="130"/>
        <v/>
      </c>
      <c r="KYR30" t="str">
        <f t="shared" si="130"/>
        <v/>
      </c>
      <c r="KYS30" t="str">
        <f t="shared" si="130"/>
        <v/>
      </c>
      <c r="KYT30" t="str">
        <f t="shared" si="130"/>
        <v/>
      </c>
      <c r="KYU30" t="str">
        <f t="shared" si="130"/>
        <v/>
      </c>
      <c r="KYV30" t="str">
        <f t="shared" si="130"/>
        <v/>
      </c>
      <c r="KYW30" t="str">
        <f t="shared" si="130"/>
        <v/>
      </c>
      <c r="KYX30" t="str">
        <f t="shared" si="130"/>
        <v/>
      </c>
      <c r="KYY30" t="str">
        <f t="shared" si="130"/>
        <v/>
      </c>
      <c r="KYZ30" t="str">
        <f t="shared" si="130"/>
        <v/>
      </c>
      <c r="KZA30" t="str">
        <f t="shared" si="130"/>
        <v/>
      </c>
      <c r="KZB30" t="str">
        <f t="shared" si="130"/>
        <v/>
      </c>
      <c r="KZC30" t="str">
        <f t="shared" si="130"/>
        <v/>
      </c>
      <c r="KZD30" t="str">
        <f t="shared" si="130"/>
        <v/>
      </c>
      <c r="KZE30" t="str">
        <f t="shared" si="130"/>
        <v/>
      </c>
      <c r="KZF30" t="str">
        <f t="shared" si="130"/>
        <v/>
      </c>
      <c r="KZG30" t="str">
        <f t="shared" si="130"/>
        <v/>
      </c>
      <c r="KZH30" t="str">
        <f t="shared" si="130"/>
        <v/>
      </c>
      <c r="KZI30" t="str">
        <f t="shared" si="130"/>
        <v/>
      </c>
      <c r="KZJ30" t="str">
        <f t="shared" si="130"/>
        <v/>
      </c>
      <c r="KZK30" t="str">
        <f t="shared" si="130"/>
        <v/>
      </c>
      <c r="KZL30" t="str">
        <f t="shared" si="130"/>
        <v/>
      </c>
      <c r="KZM30" t="str">
        <f t="shared" si="130"/>
        <v/>
      </c>
      <c r="KZN30" t="str">
        <f t="shared" si="130"/>
        <v/>
      </c>
      <c r="KZO30" t="str">
        <f t="shared" si="130"/>
        <v/>
      </c>
      <c r="KZP30" t="str">
        <f t="shared" si="130"/>
        <v/>
      </c>
      <c r="KZQ30" t="str">
        <f t="shared" si="130"/>
        <v/>
      </c>
      <c r="KZR30" t="str">
        <f t="shared" si="130"/>
        <v/>
      </c>
      <c r="KZS30" t="str">
        <f t="shared" si="130"/>
        <v/>
      </c>
      <c r="KZT30" t="str">
        <f t="shared" si="130"/>
        <v/>
      </c>
      <c r="KZU30" t="str">
        <f t="shared" si="130"/>
        <v/>
      </c>
      <c r="KZV30" t="str">
        <f t="shared" si="130"/>
        <v/>
      </c>
      <c r="KZW30" t="str">
        <f t="shared" si="130"/>
        <v/>
      </c>
      <c r="KZX30" t="str">
        <f t="shared" si="130"/>
        <v/>
      </c>
      <c r="KZY30" t="str">
        <f t="shared" si="130"/>
        <v/>
      </c>
      <c r="KZZ30" t="str">
        <f t="shared" si="130"/>
        <v/>
      </c>
      <c r="LAA30" t="str">
        <f t="shared" si="130"/>
        <v/>
      </c>
      <c r="LAB30" t="str">
        <f t="shared" si="130"/>
        <v/>
      </c>
      <c r="LAC30" t="str">
        <f t="shared" si="130"/>
        <v/>
      </c>
      <c r="LAD30" t="str">
        <f t="shared" si="130"/>
        <v/>
      </c>
      <c r="LAE30" t="str">
        <f t="shared" si="130"/>
        <v/>
      </c>
      <c r="LAF30" t="str">
        <f t="shared" ref="LAF30:LCQ30" si="131">TRIM(LAR11)</f>
        <v/>
      </c>
      <c r="LAG30" t="str">
        <f t="shared" si="131"/>
        <v/>
      </c>
      <c r="LAH30" t="str">
        <f t="shared" si="131"/>
        <v/>
      </c>
      <c r="LAI30" t="str">
        <f t="shared" si="131"/>
        <v/>
      </c>
      <c r="LAJ30" t="str">
        <f t="shared" si="131"/>
        <v/>
      </c>
      <c r="LAK30" t="str">
        <f t="shared" si="131"/>
        <v/>
      </c>
      <c r="LAL30" t="str">
        <f t="shared" si="131"/>
        <v/>
      </c>
      <c r="LAM30" t="str">
        <f t="shared" si="131"/>
        <v/>
      </c>
      <c r="LAN30" t="str">
        <f t="shared" si="131"/>
        <v/>
      </c>
      <c r="LAO30" t="str">
        <f t="shared" si="131"/>
        <v/>
      </c>
      <c r="LAP30" t="str">
        <f t="shared" si="131"/>
        <v/>
      </c>
      <c r="LAQ30" t="str">
        <f t="shared" si="131"/>
        <v/>
      </c>
      <c r="LAR30" t="str">
        <f t="shared" si="131"/>
        <v/>
      </c>
      <c r="LAS30" t="str">
        <f t="shared" si="131"/>
        <v/>
      </c>
      <c r="LAT30" t="str">
        <f t="shared" si="131"/>
        <v/>
      </c>
      <c r="LAU30" t="str">
        <f t="shared" si="131"/>
        <v/>
      </c>
      <c r="LAV30" t="str">
        <f t="shared" si="131"/>
        <v/>
      </c>
      <c r="LAW30" t="str">
        <f t="shared" si="131"/>
        <v/>
      </c>
      <c r="LAX30" t="str">
        <f t="shared" si="131"/>
        <v/>
      </c>
      <c r="LAY30" t="str">
        <f t="shared" si="131"/>
        <v/>
      </c>
      <c r="LAZ30" t="str">
        <f t="shared" si="131"/>
        <v/>
      </c>
      <c r="LBA30" t="str">
        <f t="shared" si="131"/>
        <v/>
      </c>
      <c r="LBB30" t="str">
        <f t="shared" si="131"/>
        <v/>
      </c>
      <c r="LBC30" t="str">
        <f t="shared" si="131"/>
        <v/>
      </c>
      <c r="LBD30" t="str">
        <f t="shared" si="131"/>
        <v/>
      </c>
      <c r="LBE30" t="str">
        <f t="shared" si="131"/>
        <v/>
      </c>
      <c r="LBF30" t="str">
        <f t="shared" si="131"/>
        <v/>
      </c>
      <c r="LBG30" t="str">
        <f t="shared" si="131"/>
        <v/>
      </c>
      <c r="LBH30" t="str">
        <f t="shared" si="131"/>
        <v/>
      </c>
      <c r="LBI30" t="str">
        <f t="shared" si="131"/>
        <v/>
      </c>
      <c r="LBJ30" t="str">
        <f t="shared" si="131"/>
        <v/>
      </c>
      <c r="LBK30" t="str">
        <f t="shared" si="131"/>
        <v/>
      </c>
      <c r="LBL30" t="str">
        <f t="shared" si="131"/>
        <v/>
      </c>
      <c r="LBM30" t="str">
        <f t="shared" si="131"/>
        <v/>
      </c>
      <c r="LBN30" t="str">
        <f t="shared" si="131"/>
        <v/>
      </c>
      <c r="LBO30" t="str">
        <f t="shared" si="131"/>
        <v/>
      </c>
      <c r="LBP30" t="str">
        <f t="shared" si="131"/>
        <v/>
      </c>
      <c r="LBQ30" t="str">
        <f t="shared" si="131"/>
        <v/>
      </c>
      <c r="LBR30" t="str">
        <f t="shared" si="131"/>
        <v/>
      </c>
      <c r="LBS30" t="str">
        <f t="shared" si="131"/>
        <v/>
      </c>
      <c r="LBT30" t="str">
        <f t="shared" si="131"/>
        <v/>
      </c>
      <c r="LBU30" t="str">
        <f t="shared" si="131"/>
        <v/>
      </c>
      <c r="LBV30" t="str">
        <f t="shared" si="131"/>
        <v/>
      </c>
      <c r="LBW30" t="str">
        <f t="shared" si="131"/>
        <v/>
      </c>
      <c r="LBX30" t="str">
        <f t="shared" si="131"/>
        <v/>
      </c>
      <c r="LBY30" t="str">
        <f t="shared" si="131"/>
        <v/>
      </c>
      <c r="LBZ30" t="str">
        <f t="shared" si="131"/>
        <v/>
      </c>
      <c r="LCA30" t="str">
        <f t="shared" si="131"/>
        <v/>
      </c>
      <c r="LCB30" t="str">
        <f t="shared" si="131"/>
        <v/>
      </c>
      <c r="LCC30" t="str">
        <f t="shared" si="131"/>
        <v/>
      </c>
      <c r="LCD30" t="str">
        <f t="shared" si="131"/>
        <v/>
      </c>
      <c r="LCE30" t="str">
        <f t="shared" si="131"/>
        <v/>
      </c>
      <c r="LCF30" t="str">
        <f t="shared" si="131"/>
        <v/>
      </c>
      <c r="LCG30" t="str">
        <f t="shared" si="131"/>
        <v/>
      </c>
      <c r="LCH30" t="str">
        <f t="shared" si="131"/>
        <v/>
      </c>
      <c r="LCI30" t="str">
        <f t="shared" si="131"/>
        <v/>
      </c>
      <c r="LCJ30" t="str">
        <f t="shared" si="131"/>
        <v/>
      </c>
      <c r="LCK30" t="str">
        <f t="shared" si="131"/>
        <v/>
      </c>
      <c r="LCL30" t="str">
        <f t="shared" si="131"/>
        <v/>
      </c>
      <c r="LCM30" t="str">
        <f t="shared" si="131"/>
        <v/>
      </c>
      <c r="LCN30" t="str">
        <f t="shared" si="131"/>
        <v/>
      </c>
      <c r="LCO30" t="str">
        <f t="shared" si="131"/>
        <v/>
      </c>
      <c r="LCP30" t="str">
        <f t="shared" si="131"/>
        <v/>
      </c>
      <c r="LCQ30" t="str">
        <f t="shared" si="131"/>
        <v/>
      </c>
      <c r="LCR30" t="str">
        <f t="shared" ref="LCR30:LFC30" si="132">TRIM(LDD11)</f>
        <v/>
      </c>
      <c r="LCS30" t="str">
        <f t="shared" si="132"/>
        <v/>
      </c>
      <c r="LCT30" t="str">
        <f t="shared" si="132"/>
        <v/>
      </c>
      <c r="LCU30" t="str">
        <f t="shared" si="132"/>
        <v/>
      </c>
      <c r="LCV30" t="str">
        <f t="shared" si="132"/>
        <v/>
      </c>
      <c r="LCW30" t="str">
        <f t="shared" si="132"/>
        <v/>
      </c>
      <c r="LCX30" t="str">
        <f t="shared" si="132"/>
        <v/>
      </c>
      <c r="LCY30" t="str">
        <f t="shared" si="132"/>
        <v/>
      </c>
      <c r="LCZ30" t="str">
        <f t="shared" si="132"/>
        <v/>
      </c>
      <c r="LDA30" t="str">
        <f t="shared" si="132"/>
        <v/>
      </c>
      <c r="LDB30" t="str">
        <f t="shared" si="132"/>
        <v/>
      </c>
      <c r="LDC30" t="str">
        <f t="shared" si="132"/>
        <v/>
      </c>
      <c r="LDD30" t="str">
        <f t="shared" si="132"/>
        <v/>
      </c>
      <c r="LDE30" t="str">
        <f t="shared" si="132"/>
        <v/>
      </c>
      <c r="LDF30" t="str">
        <f t="shared" si="132"/>
        <v/>
      </c>
      <c r="LDG30" t="str">
        <f t="shared" si="132"/>
        <v/>
      </c>
      <c r="LDH30" t="str">
        <f t="shared" si="132"/>
        <v/>
      </c>
      <c r="LDI30" t="str">
        <f t="shared" si="132"/>
        <v/>
      </c>
      <c r="LDJ30" t="str">
        <f t="shared" si="132"/>
        <v/>
      </c>
      <c r="LDK30" t="str">
        <f t="shared" si="132"/>
        <v/>
      </c>
      <c r="LDL30" t="str">
        <f t="shared" si="132"/>
        <v/>
      </c>
      <c r="LDM30" t="str">
        <f t="shared" si="132"/>
        <v/>
      </c>
      <c r="LDN30" t="str">
        <f t="shared" si="132"/>
        <v/>
      </c>
      <c r="LDO30" t="str">
        <f t="shared" si="132"/>
        <v/>
      </c>
      <c r="LDP30" t="str">
        <f t="shared" si="132"/>
        <v/>
      </c>
      <c r="LDQ30" t="str">
        <f t="shared" si="132"/>
        <v/>
      </c>
      <c r="LDR30" t="str">
        <f t="shared" si="132"/>
        <v/>
      </c>
      <c r="LDS30" t="str">
        <f t="shared" si="132"/>
        <v/>
      </c>
      <c r="LDT30" t="str">
        <f t="shared" si="132"/>
        <v/>
      </c>
      <c r="LDU30" t="str">
        <f t="shared" si="132"/>
        <v/>
      </c>
      <c r="LDV30" t="str">
        <f t="shared" si="132"/>
        <v/>
      </c>
      <c r="LDW30" t="str">
        <f t="shared" si="132"/>
        <v/>
      </c>
      <c r="LDX30" t="str">
        <f t="shared" si="132"/>
        <v/>
      </c>
      <c r="LDY30" t="str">
        <f t="shared" si="132"/>
        <v/>
      </c>
      <c r="LDZ30" t="str">
        <f t="shared" si="132"/>
        <v/>
      </c>
      <c r="LEA30" t="str">
        <f t="shared" si="132"/>
        <v/>
      </c>
      <c r="LEB30" t="str">
        <f t="shared" si="132"/>
        <v/>
      </c>
      <c r="LEC30" t="str">
        <f t="shared" si="132"/>
        <v/>
      </c>
      <c r="LED30" t="str">
        <f t="shared" si="132"/>
        <v/>
      </c>
      <c r="LEE30" t="str">
        <f t="shared" si="132"/>
        <v/>
      </c>
      <c r="LEF30" t="str">
        <f t="shared" si="132"/>
        <v/>
      </c>
      <c r="LEG30" t="str">
        <f t="shared" si="132"/>
        <v/>
      </c>
      <c r="LEH30" t="str">
        <f t="shared" si="132"/>
        <v/>
      </c>
      <c r="LEI30" t="str">
        <f t="shared" si="132"/>
        <v/>
      </c>
      <c r="LEJ30" t="str">
        <f t="shared" si="132"/>
        <v/>
      </c>
      <c r="LEK30" t="str">
        <f t="shared" si="132"/>
        <v/>
      </c>
      <c r="LEL30" t="str">
        <f t="shared" si="132"/>
        <v/>
      </c>
      <c r="LEM30" t="str">
        <f t="shared" si="132"/>
        <v/>
      </c>
      <c r="LEN30" t="str">
        <f t="shared" si="132"/>
        <v/>
      </c>
      <c r="LEO30" t="str">
        <f t="shared" si="132"/>
        <v/>
      </c>
      <c r="LEP30" t="str">
        <f t="shared" si="132"/>
        <v/>
      </c>
      <c r="LEQ30" t="str">
        <f t="shared" si="132"/>
        <v/>
      </c>
      <c r="LER30" t="str">
        <f t="shared" si="132"/>
        <v/>
      </c>
      <c r="LES30" t="str">
        <f t="shared" si="132"/>
        <v/>
      </c>
      <c r="LET30" t="str">
        <f t="shared" si="132"/>
        <v/>
      </c>
      <c r="LEU30" t="str">
        <f t="shared" si="132"/>
        <v/>
      </c>
      <c r="LEV30" t="str">
        <f t="shared" si="132"/>
        <v/>
      </c>
      <c r="LEW30" t="str">
        <f t="shared" si="132"/>
        <v/>
      </c>
      <c r="LEX30" t="str">
        <f t="shared" si="132"/>
        <v/>
      </c>
      <c r="LEY30" t="str">
        <f t="shared" si="132"/>
        <v/>
      </c>
      <c r="LEZ30" t="str">
        <f t="shared" si="132"/>
        <v/>
      </c>
      <c r="LFA30" t="str">
        <f t="shared" si="132"/>
        <v/>
      </c>
      <c r="LFB30" t="str">
        <f t="shared" si="132"/>
        <v/>
      </c>
      <c r="LFC30" t="str">
        <f t="shared" si="132"/>
        <v/>
      </c>
      <c r="LFD30" t="str">
        <f t="shared" ref="LFD30:LHO30" si="133">TRIM(LFP11)</f>
        <v/>
      </c>
      <c r="LFE30" t="str">
        <f t="shared" si="133"/>
        <v/>
      </c>
      <c r="LFF30" t="str">
        <f t="shared" si="133"/>
        <v/>
      </c>
      <c r="LFG30" t="str">
        <f t="shared" si="133"/>
        <v/>
      </c>
      <c r="LFH30" t="str">
        <f t="shared" si="133"/>
        <v/>
      </c>
      <c r="LFI30" t="str">
        <f t="shared" si="133"/>
        <v/>
      </c>
      <c r="LFJ30" t="str">
        <f t="shared" si="133"/>
        <v/>
      </c>
      <c r="LFK30" t="str">
        <f t="shared" si="133"/>
        <v/>
      </c>
      <c r="LFL30" t="str">
        <f t="shared" si="133"/>
        <v/>
      </c>
      <c r="LFM30" t="str">
        <f t="shared" si="133"/>
        <v/>
      </c>
      <c r="LFN30" t="str">
        <f t="shared" si="133"/>
        <v/>
      </c>
      <c r="LFO30" t="str">
        <f t="shared" si="133"/>
        <v/>
      </c>
      <c r="LFP30" t="str">
        <f t="shared" si="133"/>
        <v/>
      </c>
      <c r="LFQ30" t="str">
        <f t="shared" si="133"/>
        <v/>
      </c>
      <c r="LFR30" t="str">
        <f t="shared" si="133"/>
        <v/>
      </c>
      <c r="LFS30" t="str">
        <f t="shared" si="133"/>
        <v/>
      </c>
      <c r="LFT30" t="str">
        <f t="shared" si="133"/>
        <v/>
      </c>
      <c r="LFU30" t="str">
        <f t="shared" si="133"/>
        <v/>
      </c>
      <c r="LFV30" t="str">
        <f t="shared" si="133"/>
        <v/>
      </c>
      <c r="LFW30" t="str">
        <f t="shared" si="133"/>
        <v/>
      </c>
      <c r="LFX30" t="str">
        <f t="shared" si="133"/>
        <v/>
      </c>
      <c r="LFY30" t="str">
        <f t="shared" si="133"/>
        <v/>
      </c>
      <c r="LFZ30" t="str">
        <f t="shared" si="133"/>
        <v/>
      </c>
      <c r="LGA30" t="str">
        <f t="shared" si="133"/>
        <v/>
      </c>
      <c r="LGB30" t="str">
        <f t="shared" si="133"/>
        <v/>
      </c>
      <c r="LGC30" t="str">
        <f t="shared" si="133"/>
        <v/>
      </c>
      <c r="LGD30" t="str">
        <f t="shared" si="133"/>
        <v/>
      </c>
      <c r="LGE30" t="str">
        <f t="shared" si="133"/>
        <v/>
      </c>
      <c r="LGF30" t="str">
        <f t="shared" si="133"/>
        <v/>
      </c>
      <c r="LGG30" t="str">
        <f t="shared" si="133"/>
        <v/>
      </c>
      <c r="LGH30" t="str">
        <f t="shared" si="133"/>
        <v/>
      </c>
      <c r="LGI30" t="str">
        <f t="shared" si="133"/>
        <v/>
      </c>
      <c r="LGJ30" t="str">
        <f t="shared" si="133"/>
        <v/>
      </c>
      <c r="LGK30" t="str">
        <f t="shared" si="133"/>
        <v/>
      </c>
      <c r="LGL30" t="str">
        <f t="shared" si="133"/>
        <v/>
      </c>
      <c r="LGM30" t="str">
        <f t="shared" si="133"/>
        <v/>
      </c>
      <c r="LGN30" t="str">
        <f t="shared" si="133"/>
        <v/>
      </c>
      <c r="LGO30" t="str">
        <f t="shared" si="133"/>
        <v/>
      </c>
      <c r="LGP30" t="str">
        <f t="shared" si="133"/>
        <v/>
      </c>
      <c r="LGQ30" t="str">
        <f t="shared" si="133"/>
        <v/>
      </c>
      <c r="LGR30" t="str">
        <f t="shared" si="133"/>
        <v/>
      </c>
      <c r="LGS30" t="str">
        <f t="shared" si="133"/>
        <v/>
      </c>
      <c r="LGT30" t="str">
        <f t="shared" si="133"/>
        <v/>
      </c>
      <c r="LGU30" t="str">
        <f t="shared" si="133"/>
        <v/>
      </c>
      <c r="LGV30" t="str">
        <f t="shared" si="133"/>
        <v/>
      </c>
      <c r="LGW30" t="str">
        <f t="shared" si="133"/>
        <v/>
      </c>
      <c r="LGX30" t="str">
        <f t="shared" si="133"/>
        <v/>
      </c>
      <c r="LGY30" t="str">
        <f t="shared" si="133"/>
        <v/>
      </c>
      <c r="LGZ30" t="str">
        <f t="shared" si="133"/>
        <v/>
      </c>
      <c r="LHA30" t="str">
        <f t="shared" si="133"/>
        <v/>
      </c>
      <c r="LHB30" t="str">
        <f t="shared" si="133"/>
        <v/>
      </c>
      <c r="LHC30" t="str">
        <f t="shared" si="133"/>
        <v/>
      </c>
      <c r="LHD30" t="str">
        <f t="shared" si="133"/>
        <v/>
      </c>
      <c r="LHE30" t="str">
        <f t="shared" si="133"/>
        <v/>
      </c>
      <c r="LHF30" t="str">
        <f t="shared" si="133"/>
        <v/>
      </c>
      <c r="LHG30" t="str">
        <f t="shared" si="133"/>
        <v/>
      </c>
      <c r="LHH30" t="str">
        <f t="shared" si="133"/>
        <v/>
      </c>
      <c r="LHI30" t="str">
        <f t="shared" si="133"/>
        <v/>
      </c>
      <c r="LHJ30" t="str">
        <f t="shared" si="133"/>
        <v/>
      </c>
      <c r="LHK30" t="str">
        <f t="shared" si="133"/>
        <v/>
      </c>
      <c r="LHL30" t="str">
        <f t="shared" si="133"/>
        <v/>
      </c>
      <c r="LHM30" t="str">
        <f t="shared" si="133"/>
        <v/>
      </c>
      <c r="LHN30" t="str">
        <f t="shared" si="133"/>
        <v/>
      </c>
      <c r="LHO30" t="str">
        <f t="shared" si="133"/>
        <v/>
      </c>
      <c r="LHP30" t="str">
        <f t="shared" ref="LHP30:LKA30" si="134">TRIM(LIB11)</f>
        <v/>
      </c>
      <c r="LHQ30" t="str">
        <f t="shared" si="134"/>
        <v/>
      </c>
      <c r="LHR30" t="str">
        <f t="shared" si="134"/>
        <v/>
      </c>
      <c r="LHS30" t="str">
        <f t="shared" si="134"/>
        <v/>
      </c>
      <c r="LHT30" t="str">
        <f t="shared" si="134"/>
        <v/>
      </c>
      <c r="LHU30" t="str">
        <f t="shared" si="134"/>
        <v/>
      </c>
      <c r="LHV30" t="str">
        <f t="shared" si="134"/>
        <v/>
      </c>
      <c r="LHW30" t="str">
        <f t="shared" si="134"/>
        <v/>
      </c>
      <c r="LHX30" t="str">
        <f t="shared" si="134"/>
        <v/>
      </c>
      <c r="LHY30" t="str">
        <f t="shared" si="134"/>
        <v/>
      </c>
      <c r="LHZ30" t="str">
        <f t="shared" si="134"/>
        <v/>
      </c>
      <c r="LIA30" t="str">
        <f t="shared" si="134"/>
        <v/>
      </c>
      <c r="LIB30" t="str">
        <f t="shared" si="134"/>
        <v/>
      </c>
      <c r="LIC30" t="str">
        <f t="shared" si="134"/>
        <v/>
      </c>
      <c r="LID30" t="str">
        <f t="shared" si="134"/>
        <v/>
      </c>
      <c r="LIE30" t="str">
        <f t="shared" si="134"/>
        <v/>
      </c>
      <c r="LIF30" t="str">
        <f t="shared" si="134"/>
        <v/>
      </c>
      <c r="LIG30" t="str">
        <f t="shared" si="134"/>
        <v/>
      </c>
      <c r="LIH30" t="str">
        <f t="shared" si="134"/>
        <v/>
      </c>
      <c r="LII30" t="str">
        <f t="shared" si="134"/>
        <v/>
      </c>
      <c r="LIJ30" t="str">
        <f t="shared" si="134"/>
        <v/>
      </c>
      <c r="LIK30" t="str">
        <f t="shared" si="134"/>
        <v/>
      </c>
      <c r="LIL30" t="str">
        <f t="shared" si="134"/>
        <v/>
      </c>
      <c r="LIM30" t="str">
        <f t="shared" si="134"/>
        <v/>
      </c>
      <c r="LIN30" t="str">
        <f t="shared" si="134"/>
        <v/>
      </c>
      <c r="LIO30" t="str">
        <f t="shared" si="134"/>
        <v/>
      </c>
      <c r="LIP30" t="str">
        <f t="shared" si="134"/>
        <v/>
      </c>
      <c r="LIQ30" t="str">
        <f t="shared" si="134"/>
        <v/>
      </c>
      <c r="LIR30" t="str">
        <f t="shared" si="134"/>
        <v/>
      </c>
      <c r="LIS30" t="str">
        <f t="shared" si="134"/>
        <v/>
      </c>
      <c r="LIT30" t="str">
        <f t="shared" si="134"/>
        <v/>
      </c>
      <c r="LIU30" t="str">
        <f t="shared" si="134"/>
        <v/>
      </c>
      <c r="LIV30" t="str">
        <f t="shared" si="134"/>
        <v/>
      </c>
      <c r="LIW30" t="str">
        <f t="shared" si="134"/>
        <v/>
      </c>
      <c r="LIX30" t="str">
        <f t="shared" si="134"/>
        <v/>
      </c>
      <c r="LIY30" t="str">
        <f t="shared" si="134"/>
        <v/>
      </c>
      <c r="LIZ30" t="str">
        <f t="shared" si="134"/>
        <v/>
      </c>
      <c r="LJA30" t="str">
        <f t="shared" si="134"/>
        <v/>
      </c>
      <c r="LJB30" t="str">
        <f t="shared" si="134"/>
        <v/>
      </c>
      <c r="LJC30" t="str">
        <f t="shared" si="134"/>
        <v/>
      </c>
      <c r="LJD30" t="str">
        <f t="shared" si="134"/>
        <v/>
      </c>
      <c r="LJE30" t="str">
        <f t="shared" si="134"/>
        <v/>
      </c>
      <c r="LJF30" t="str">
        <f t="shared" si="134"/>
        <v/>
      </c>
      <c r="LJG30" t="str">
        <f t="shared" si="134"/>
        <v/>
      </c>
      <c r="LJH30" t="str">
        <f t="shared" si="134"/>
        <v/>
      </c>
      <c r="LJI30" t="str">
        <f t="shared" si="134"/>
        <v/>
      </c>
      <c r="LJJ30" t="str">
        <f t="shared" si="134"/>
        <v/>
      </c>
      <c r="LJK30" t="str">
        <f t="shared" si="134"/>
        <v/>
      </c>
      <c r="LJL30" t="str">
        <f t="shared" si="134"/>
        <v/>
      </c>
      <c r="LJM30" t="str">
        <f t="shared" si="134"/>
        <v/>
      </c>
      <c r="LJN30" t="str">
        <f t="shared" si="134"/>
        <v/>
      </c>
      <c r="LJO30" t="str">
        <f t="shared" si="134"/>
        <v/>
      </c>
      <c r="LJP30" t="str">
        <f t="shared" si="134"/>
        <v/>
      </c>
      <c r="LJQ30" t="str">
        <f t="shared" si="134"/>
        <v/>
      </c>
      <c r="LJR30" t="str">
        <f t="shared" si="134"/>
        <v/>
      </c>
      <c r="LJS30" t="str">
        <f t="shared" si="134"/>
        <v/>
      </c>
      <c r="LJT30" t="str">
        <f t="shared" si="134"/>
        <v/>
      </c>
      <c r="LJU30" t="str">
        <f t="shared" si="134"/>
        <v/>
      </c>
      <c r="LJV30" t="str">
        <f t="shared" si="134"/>
        <v/>
      </c>
      <c r="LJW30" t="str">
        <f t="shared" si="134"/>
        <v/>
      </c>
      <c r="LJX30" t="str">
        <f t="shared" si="134"/>
        <v/>
      </c>
      <c r="LJY30" t="str">
        <f t="shared" si="134"/>
        <v/>
      </c>
      <c r="LJZ30" t="str">
        <f t="shared" si="134"/>
        <v/>
      </c>
      <c r="LKA30" t="str">
        <f t="shared" si="134"/>
        <v/>
      </c>
      <c r="LKB30" t="str">
        <f t="shared" ref="LKB30:LMM30" si="135">TRIM(LKN11)</f>
        <v/>
      </c>
      <c r="LKC30" t="str">
        <f t="shared" si="135"/>
        <v/>
      </c>
      <c r="LKD30" t="str">
        <f t="shared" si="135"/>
        <v/>
      </c>
      <c r="LKE30" t="str">
        <f t="shared" si="135"/>
        <v/>
      </c>
      <c r="LKF30" t="str">
        <f t="shared" si="135"/>
        <v/>
      </c>
      <c r="LKG30" t="str">
        <f t="shared" si="135"/>
        <v/>
      </c>
      <c r="LKH30" t="str">
        <f t="shared" si="135"/>
        <v/>
      </c>
      <c r="LKI30" t="str">
        <f t="shared" si="135"/>
        <v/>
      </c>
      <c r="LKJ30" t="str">
        <f t="shared" si="135"/>
        <v/>
      </c>
      <c r="LKK30" t="str">
        <f t="shared" si="135"/>
        <v/>
      </c>
      <c r="LKL30" t="str">
        <f t="shared" si="135"/>
        <v/>
      </c>
      <c r="LKM30" t="str">
        <f t="shared" si="135"/>
        <v/>
      </c>
      <c r="LKN30" t="str">
        <f t="shared" si="135"/>
        <v/>
      </c>
      <c r="LKO30" t="str">
        <f t="shared" si="135"/>
        <v/>
      </c>
      <c r="LKP30" t="str">
        <f t="shared" si="135"/>
        <v/>
      </c>
      <c r="LKQ30" t="str">
        <f t="shared" si="135"/>
        <v/>
      </c>
      <c r="LKR30" t="str">
        <f t="shared" si="135"/>
        <v/>
      </c>
      <c r="LKS30" t="str">
        <f t="shared" si="135"/>
        <v/>
      </c>
      <c r="LKT30" t="str">
        <f t="shared" si="135"/>
        <v/>
      </c>
      <c r="LKU30" t="str">
        <f t="shared" si="135"/>
        <v/>
      </c>
      <c r="LKV30" t="str">
        <f t="shared" si="135"/>
        <v/>
      </c>
      <c r="LKW30" t="str">
        <f t="shared" si="135"/>
        <v/>
      </c>
      <c r="LKX30" t="str">
        <f t="shared" si="135"/>
        <v/>
      </c>
      <c r="LKY30" t="str">
        <f t="shared" si="135"/>
        <v/>
      </c>
      <c r="LKZ30" t="str">
        <f t="shared" si="135"/>
        <v/>
      </c>
      <c r="LLA30" t="str">
        <f t="shared" si="135"/>
        <v/>
      </c>
      <c r="LLB30" t="str">
        <f t="shared" si="135"/>
        <v/>
      </c>
      <c r="LLC30" t="str">
        <f t="shared" si="135"/>
        <v/>
      </c>
      <c r="LLD30" t="str">
        <f t="shared" si="135"/>
        <v/>
      </c>
      <c r="LLE30" t="str">
        <f t="shared" si="135"/>
        <v/>
      </c>
      <c r="LLF30" t="str">
        <f t="shared" si="135"/>
        <v/>
      </c>
      <c r="LLG30" t="str">
        <f t="shared" si="135"/>
        <v/>
      </c>
      <c r="LLH30" t="str">
        <f t="shared" si="135"/>
        <v/>
      </c>
      <c r="LLI30" t="str">
        <f t="shared" si="135"/>
        <v/>
      </c>
      <c r="LLJ30" t="str">
        <f t="shared" si="135"/>
        <v/>
      </c>
      <c r="LLK30" t="str">
        <f t="shared" si="135"/>
        <v/>
      </c>
      <c r="LLL30" t="str">
        <f t="shared" si="135"/>
        <v/>
      </c>
      <c r="LLM30" t="str">
        <f t="shared" si="135"/>
        <v/>
      </c>
      <c r="LLN30" t="str">
        <f t="shared" si="135"/>
        <v/>
      </c>
      <c r="LLO30" t="str">
        <f t="shared" si="135"/>
        <v/>
      </c>
      <c r="LLP30" t="str">
        <f t="shared" si="135"/>
        <v/>
      </c>
      <c r="LLQ30" t="str">
        <f t="shared" si="135"/>
        <v/>
      </c>
      <c r="LLR30" t="str">
        <f t="shared" si="135"/>
        <v/>
      </c>
      <c r="LLS30" t="str">
        <f t="shared" si="135"/>
        <v/>
      </c>
      <c r="LLT30" t="str">
        <f t="shared" si="135"/>
        <v/>
      </c>
      <c r="LLU30" t="str">
        <f t="shared" si="135"/>
        <v/>
      </c>
      <c r="LLV30" t="str">
        <f t="shared" si="135"/>
        <v/>
      </c>
      <c r="LLW30" t="str">
        <f t="shared" si="135"/>
        <v/>
      </c>
      <c r="LLX30" t="str">
        <f t="shared" si="135"/>
        <v/>
      </c>
      <c r="LLY30" t="str">
        <f t="shared" si="135"/>
        <v/>
      </c>
      <c r="LLZ30" t="str">
        <f t="shared" si="135"/>
        <v/>
      </c>
      <c r="LMA30" t="str">
        <f t="shared" si="135"/>
        <v/>
      </c>
      <c r="LMB30" t="str">
        <f t="shared" si="135"/>
        <v/>
      </c>
      <c r="LMC30" t="str">
        <f t="shared" si="135"/>
        <v/>
      </c>
      <c r="LMD30" t="str">
        <f t="shared" si="135"/>
        <v/>
      </c>
      <c r="LME30" t="str">
        <f t="shared" si="135"/>
        <v/>
      </c>
      <c r="LMF30" t="str">
        <f t="shared" si="135"/>
        <v/>
      </c>
      <c r="LMG30" t="str">
        <f t="shared" si="135"/>
        <v/>
      </c>
      <c r="LMH30" t="str">
        <f t="shared" si="135"/>
        <v/>
      </c>
      <c r="LMI30" t="str">
        <f t="shared" si="135"/>
        <v/>
      </c>
      <c r="LMJ30" t="str">
        <f t="shared" si="135"/>
        <v/>
      </c>
      <c r="LMK30" t="str">
        <f t="shared" si="135"/>
        <v/>
      </c>
      <c r="LML30" t="str">
        <f t="shared" si="135"/>
        <v/>
      </c>
      <c r="LMM30" t="str">
        <f t="shared" si="135"/>
        <v/>
      </c>
      <c r="LMN30" t="str">
        <f t="shared" ref="LMN30:LOY30" si="136">TRIM(LMZ11)</f>
        <v/>
      </c>
      <c r="LMO30" t="str">
        <f t="shared" si="136"/>
        <v/>
      </c>
      <c r="LMP30" t="str">
        <f t="shared" si="136"/>
        <v/>
      </c>
      <c r="LMQ30" t="str">
        <f t="shared" si="136"/>
        <v/>
      </c>
      <c r="LMR30" t="str">
        <f t="shared" si="136"/>
        <v/>
      </c>
      <c r="LMS30" t="str">
        <f t="shared" si="136"/>
        <v/>
      </c>
      <c r="LMT30" t="str">
        <f t="shared" si="136"/>
        <v/>
      </c>
      <c r="LMU30" t="str">
        <f t="shared" si="136"/>
        <v/>
      </c>
      <c r="LMV30" t="str">
        <f t="shared" si="136"/>
        <v/>
      </c>
      <c r="LMW30" t="str">
        <f t="shared" si="136"/>
        <v/>
      </c>
      <c r="LMX30" t="str">
        <f t="shared" si="136"/>
        <v/>
      </c>
      <c r="LMY30" t="str">
        <f t="shared" si="136"/>
        <v/>
      </c>
      <c r="LMZ30" t="str">
        <f t="shared" si="136"/>
        <v/>
      </c>
      <c r="LNA30" t="str">
        <f t="shared" si="136"/>
        <v/>
      </c>
      <c r="LNB30" t="str">
        <f t="shared" si="136"/>
        <v/>
      </c>
      <c r="LNC30" t="str">
        <f t="shared" si="136"/>
        <v/>
      </c>
      <c r="LND30" t="str">
        <f t="shared" si="136"/>
        <v/>
      </c>
      <c r="LNE30" t="str">
        <f t="shared" si="136"/>
        <v/>
      </c>
      <c r="LNF30" t="str">
        <f t="shared" si="136"/>
        <v/>
      </c>
      <c r="LNG30" t="str">
        <f t="shared" si="136"/>
        <v/>
      </c>
      <c r="LNH30" t="str">
        <f t="shared" si="136"/>
        <v/>
      </c>
      <c r="LNI30" t="str">
        <f t="shared" si="136"/>
        <v/>
      </c>
      <c r="LNJ30" t="str">
        <f t="shared" si="136"/>
        <v/>
      </c>
      <c r="LNK30" t="str">
        <f t="shared" si="136"/>
        <v/>
      </c>
      <c r="LNL30" t="str">
        <f t="shared" si="136"/>
        <v/>
      </c>
      <c r="LNM30" t="str">
        <f t="shared" si="136"/>
        <v/>
      </c>
      <c r="LNN30" t="str">
        <f t="shared" si="136"/>
        <v/>
      </c>
      <c r="LNO30" t="str">
        <f t="shared" si="136"/>
        <v/>
      </c>
      <c r="LNP30" t="str">
        <f t="shared" si="136"/>
        <v/>
      </c>
      <c r="LNQ30" t="str">
        <f t="shared" si="136"/>
        <v/>
      </c>
      <c r="LNR30" t="str">
        <f t="shared" si="136"/>
        <v/>
      </c>
      <c r="LNS30" t="str">
        <f t="shared" si="136"/>
        <v/>
      </c>
      <c r="LNT30" t="str">
        <f t="shared" si="136"/>
        <v/>
      </c>
      <c r="LNU30" t="str">
        <f t="shared" si="136"/>
        <v/>
      </c>
      <c r="LNV30" t="str">
        <f t="shared" si="136"/>
        <v/>
      </c>
      <c r="LNW30" t="str">
        <f t="shared" si="136"/>
        <v/>
      </c>
      <c r="LNX30" t="str">
        <f t="shared" si="136"/>
        <v/>
      </c>
      <c r="LNY30" t="str">
        <f t="shared" si="136"/>
        <v/>
      </c>
      <c r="LNZ30" t="str">
        <f t="shared" si="136"/>
        <v/>
      </c>
      <c r="LOA30" t="str">
        <f t="shared" si="136"/>
        <v/>
      </c>
      <c r="LOB30" t="str">
        <f t="shared" si="136"/>
        <v/>
      </c>
      <c r="LOC30" t="str">
        <f t="shared" si="136"/>
        <v/>
      </c>
      <c r="LOD30" t="str">
        <f t="shared" si="136"/>
        <v/>
      </c>
      <c r="LOE30" t="str">
        <f t="shared" si="136"/>
        <v/>
      </c>
      <c r="LOF30" t="str">
        <f t="shared" si="136"/>
        <v/>
      </c>
      <c r="LOG30" t="str">
        <f t="shared" si="136"/>
        <v/>
      </c>
      <c r="LOH30" t="str">
        <f t="shared" si="136"/>
        <v/>
      </c>
      <c r="LOI30" t="str">
        <f t="shared" si="136"/>
        <v/>
      </c>
      <c r="LOJ30" t="str">
        <f t="shared" si="136"/>
        <v/>
      </c>
      <c r="LOK30" t="str">
        <f t="shared" si="136"/>
        <v/>
      </c>
      <c r="LOL30" t="str">
        <f t="shared" si="136"/>
        <v/>
      </c>
      <c r="LOM30" t="str">
        <f t="shared" si="136"/>
        <v/>
      </c>
      <c r="LON30" t="str">
        <f t="shared" si="136"/>
        <v/>
      </c>
      <c r="LOO30" t="str">
        <f t="shared" si="136"/>
        <v/>
      </c>
      <c r="LOP30" t="str">
        <f t="shared" si="136"/>
        <v/>
      </c>
      <c r="LOQ30" t="str">
        <f t="shared" si="136"/>
        <v/>
      </c>
      <c r="LOR30" t="str">
        <f t="shared" si="136"/>
        <v/>
      </c>
      <c r="LOS30" t="str">
        <f t="shared" si="136"/>
        <v/>
      </c>
      <c r="LOT30" t="str">
        <f t="shared" si="136"/>
        <v/>
      </c>
      <c r="LOU30" t="str">
        <f t="shared" si="136"/>
        <v/>
      </c>
      <c r="LOV30" t="str">
        <f t="shared" si="136"/>
        <v/>
      </c>
      <c r="LOW30" t="str">
        <f t="shared" si="136"/>
        <v/>
      </c>
      <c r="LOX30" t="str">
        <f t="shared" si="136"/>
        <v/>
      </c>
      <c r="LOY30" t="str">
        <f t="shared" si="136"/>
        <v/>
      </c>
      <c r="LOZ30" t="str">
        <f t="shared" ref="LOZ30:LRK30" si="137">TRIM(LPL11)</f>
        <v/>
      </c>
      <c r="LPA30" t="str">
        <f t="shared" si="137"/>
        <v/>
      </c>
      <c r="LPB30" t="str">
        <f t="shared" si="137"/>
        <v/>
      </c>
      <c r="LPC30" t="str">
        <f t="shared" si="137"/>
        <v/>
      </c>
      <c r="LPD30" t="str">
        <f t="shared" si="137"/>
        <v/>
      </c>
      <c r="LPE30" t="str">
        <f t="shared" si="137"/>
        <v/>
      </c>
      <c r="LPF30" t="str">
        <f t="shared" si="137"/>
        <v/>
      </c>
      <c r="LPG30" t="str">
        <f t="shared" si="137"/>
        <v/>
      </c>
      <c r="LPH30" t="str">
        <f t="shared" si="137"/>
        <v/>
      </c>
      <c r="LPI30" t="str">
        <f t="shared" si="137"/>
        <v/>
      </c>
      <c r="LPJ30" t="str">
        <f t="shared" si="137"/>
        <v/>
      </c>
      <c r="LPK30" t="str">
        <f t="shared" si="137"/>
        <v/>
      </c>
      <c r="LPL30" t="str">
        <f t="shared" si="137"/>
        <v/>
      </c>
      <c r="LPM30" t="str">
        <f t="shared" si="137"/>
        <v/>
      </c>
      <c r="LPN30" t="str">
        <f t="shared" si="137"/>
        <v/>
      </c>
      <c r="LPO30" t="str">
        <f t="shared" si="137"/>
        <v/>
      </c>
      <c r="LPP30" t="str">
        <f t="shared" si="137"/>
        <v/>
      </c>
      <c r="LPQ30" t="str">
        <f t="shared" si="137"/>
        <v/>
      </c>
      <c r="LPR30" t="str">
        <f t="shared" si="137"/>
        <v/>
      </c>
      <c r="LPS30" t="str">
        <f t="shared" si="137"/>
        <v/>
      </c>
      <c r="LPT30" t="str">
        <f t="shared" si="137"/>
        <v/>
      </c>
      <c r="LPU30" t="str">
        <f t="shared" si="137"/>
        <v/>
      </c>
      <c r="LPV30" t="str">
        <f t="shared" si="137"/>
        <v/>
      </c>
      <c r="LPW30" t="str">
        <f t="shared" si="137"/>
        <v/>
      </c>
      <c r="LPX30" t="str">
        <f t="shared" si="137"/>
        <v/>
      </c>
      <c r="LPY30" t="str">
        <f t="shared" si="137"/>
        <v/>
      </c>
      <c r="LPZ30" t="str">
        <f t="shared" si="137"/>
        <v/>
      </c>
      <c r="LQA30" t="str">
        <f t="shared" si="137"/>
        <v/>
      </c>
      <c r="LQB30" t="str">
        <f t="shared" si="137"/>
        <v/>
      </c>
      <c r="LQC30" t="str">
        <f t="shared" si="137"/>
        <v/>
      </c>
      <c r="LQD30" t="str">
        <f t="shared" si="137"/>
        <v/>
      </c>
      <c r="LQE30" t="str">
        <f t="shared" si="137"/>
        <v/>
      </c>
      <c r="LQF30" t="str">
        <f t="shared" si="137"/>
        <v/>
      </c>
      <c r="LQG30" t="str">
        <f t="shared" si="137"/>
        <v/>
      </c>
      <c r="LQH30" t="str">
        <f t="shared" si="137"/>
        <v/>
      </c>
      <c r="LQI30" t="str">
        <f t="shared" si="137"/>
        <v/>
      </c>
      <c r="LQJ30" t="str">
        <f t="shared" si="137"/>
        <v/>
      </c>
      <c r="LQK30" t="str">
        <f t="shared" si="137"/>
        <v/>
      </c>
      <c r="LQL30" t="str">
        <f t="shared" si="137"/>
        <v/>
      </c>
      <c r="LQM30" t="str">
        <f t="shared" si="137"/>
        <v/>
      </c>
      <c r="LQN30" t="str">
        <f t="shared" si="137"/>
        <v/>
      </c>
      <c r="LQO30" t="str">
        <f t="shared" si="137"/>
        <v/>
      </c>
      <c r="LQP30" t="str">
        <f t="shared" si="137"/>
        <v/>
      </c>
      <c r="LQQ30" t="str">
        <f t="shared" si="137"/>
        <v/>
      </c>
      <c r="LQR30" t="str">
        <f t="shared" si="137"/>
        <v/>
      </c>
      <c r="LQS30" t="str">
        <f t="shared" si="137"/>
        <v/>
      </c>
      <c r="LQT30" t="str">
        <f t="shared" si="137"/>
        <v/>
      </c>
      <c r="LQU30" t="str">
        <f t="shared" si="137"/>
        <v/>
      </c>
      <c r="LQV30" t="str">
        <f t="shared" si="137"/>
        <v/>
      </c>
      <c r="LQW30" t="str">
        <f t="shared" si="137"/>
        <v/>
      </c>
      <c r="LQX30" t="str">
        <f t="shared" si="137"/>
        <v/>
      </c>
      <c r="LQY30" t="str">
        <f t="shared" si="137"/>
        <v/>
      </c>
      <c r="LQZ30" t="str">
        <f t="shared" si="137"/>
        <v/>
      </c>
      <c r="LRA30" t="str">
        <f t="shared" si="137"/>
        <v/>
      </c>
      <c r="LRB30" t="str">
        <f t="shared" si="137"/>
        <v/>
      </c>
      <c r="LRC30" t="str">
        <f t="shared" si="137"/>
        <v/>
      </c>
      <c r="LRD30" t="str">
        <f t="shared" si="137"/>
        <v/>
      </c>
      <c r="LRE30" t="str">
        <f t="shared" si="137"/>
        <v/>
      </c>
      <c r="LRF30" t="str">
        <f t="shared" si="137"/>
        <v/>
      </c>
      <c r="LRG30" t="str">
        <f t="shared" si="137"/>
        <v/>
      </c>
      <c r="LRH30" t="str">
        <f t="shared" si="137"/>
        <v/>
      </c>
      <c r="LRI30" t="str">
        <f t="shared" si="137"/>
        <v/>
      </c>
      <c r="LRJ30" t="str">
        <f t="shared" si="137"/>
        <v/>
      </c>
      <c r="LRK30" t="str">
        <f t="shared" si="137"/>
        <v/>
      </c>
      <c r="LRL30" t="str">
        <f t="shared" ref="LRL30:LTW30" si="138">TRIM(LRX11)</f>
        <v/>
      </c>
      <c r="LRM30" t="str">
        <f t="shared" si="138"/>
        <v/>
      </c>
      <c r="LRN30" t="str">
        <f t="shared" si="138"/>
        <v/>
      </c>
      <c r="LRO30" t="str">
        <f t="shared" si="138"/>
        <v/>
      </c>
      <c r="LRP30" t="str">
        <f t="shared" si="138"/>
        <v/>
      </c>
      <c r="LRQ30" t="str">
        <f t="shared" si="138"/>
        <v/>
      </c>
      <c r="LRR30" t="str">
        <f t="shared" si="138"/>
        <v/>
      </c>
      <c r="LRS30" t="str">
        <f t="shared" si="138"/>
        <v/>
      </c>
      <c r="LRT30" t="str">
        <f t="shared" si="138"/>
        <v/>
      </c>
      <c r="LRU30" t="str">
        <f t="shared" si="138"/>
        <v/>
      </c>
      <c r="LRV30" t="str">
        <f t="shared" si="138"/>
        <v/>
      </c>
      <c r="LRW30" t="str">
        <f t="shared" si="138"/>
        <v/>
      </c>
      <c r="LRX30" t="str">
        <f t="shared" si="138"/>
        <v/>
      </c>
      <c r="LRY30" t="str">
        <f t="shared" si="138"/>
        <v/>
      </c>
      <c r="LRZ30" t="str">
        <f t="shared" si="138"/>
        <v/>
      </c>
      <c r="LSA30" t="str">
        <f t="shared" si="138"/>
        <v/>
      </c>
      <c r="LSB30" t="str">
        <f t="shared" si="138"/>
        <v/>
      </c>
      <c r="LSC30" t="str">
        <f t="shared" si="138"/>
        <v/>
      </c>
      <c r="LSD30" t="str">
        <f t="shared" si="138"/>
        <v/>
      </c>
      <c r="LSE30" t="str">
        <f t="shared" si="138"/>
        <v/>
      </c>
      <c r="LSF30" t="str">
        <f t="shared" si="138"/>
        <v/>
      </c>
      <c r="LSG30" t="str">
        <f t="shared" si="138"/>
        <v/>
      </c>
      <c r="LSH30" t="str">
        <f t="shared" si="138"/>
        <v/>
      </c>
      <c r="LSI30" t="str">
        <f t="shared" si="138"/>
        <v/>
      </c>
      <c r="LSJ30" t="str">
        <f t="shared" si="138"/>
        <v/>
      </c>
      <c r="LSK30" t="str">
        <f t="shared" si="138"/>
        <v/>
      </c>
      <c r="LSL30" t="str">
        <f t="shared" si="138"/>
        <v/>
      </c>
      <c r="LSM30" t="str">
        <f t="shared" si="138"/>
        <v/>
      </c>
      <c r="LSN30" t="str">
        <f t="shared" si="138"/>
        <v/>
      </c>
      <c r="LSO30" t="str">
        <f t="shared" si="138"/>
        <v/>
      </c>
      <c r="LSP30" t="str">
        <f t="shared" si="138"/>
        <v/>
      </c>
      <c r="LSQ30" t="str">
        <f t="shared" si="138"/>
        <v/>
      </c>
      <c r="LSR30" t="str">
        <f t="shared" si="138"/>
        <v/>
      </c>
      <c r="LSS30" t="str">
        <f t="shared" si="138"/>
        <v/>
      </c>
      <c r="LST30" t="str">
        <f t="shared" si="138"/>
        <v/>
      </c>
      <c r="LSU30" t="str">
        <f t="shared" si="138"/>
        <v/>
      </c>
      <c r="LSV30" t="str">
        <f t="shared" si="138"/>
        <v/>
      </c>
      <c r="LSW30" t="str">
        <f t="shared" si="138"/>
        <v/>
      </c>
      <c r="LSX30" t="str">
        <f t="shared" si="138"/>
        <v/>
      </c>
      <c r="LSY30" t="str">
        <f t="shared" si="138"/>
        <v/>
      </c>
      <c r="LSZ30" t="str">
        <f t="shared" si="138"/>
        <v/>
      </c>
      <c r="LTA30" t="str">
        <f t="shared" si="138"/>
        <v/>
      </c>
      <c r="LTB30" t="str">
        <f t="shared" si="138"/>
        <v/>
      </c>
      <c r="LTC30" t="str">
        <f t="shared" si="138"/>
        <v/>
      </c>
      <c r="LTD30" t="str">
        <f t="shared" si="138"/>
        <v/>
      </c>
      <c r="LTE30" t="str">
        <f t="shared" si="138"/>
        <v/>
      </c>
      <c r="LTF30" t="str">
        <f t="shared" si="138"/>
        <v/>
      </c>
      <c r="LTG30" t="str">
        <f t="shared" si="138"/>
        <v/>
      </c>
      <c r="LTH30" t="str">
        <f t="shared" si="138"/>
        <v/>
      </c>
      <c r="LTI30" t="str">
        <f t="shared" si="138"/>
        <v/>
      </c>
      <c r="LTJ30" t="str">
        <f t="shared" si="138"/>
        <v/>
      </c>
      <c r="LTK30" t="str">
        <f t="shared" si="138"/>
        <v/>
      </c>
      <c r="LTL30" t="str">
        <f t="shared" si="138"/>
        <v/>
      </c>
      <c r="LTM30" t="str">
        <f t="shared" si="138"/>
        <v/>
      </c>
      <c r="LTN30" t="str">
        <f t="shared" si="138"/>
        <v/>
      </c>
      <c r="LTO30" t="str">
        <f t="shared" si="138"/>
        <v/>
      </c>
      <c r="LTP30" t="str">
        <f t="shared" si="138"/>
        <v/>
      </c>
      <c r="LTQ30" t="str">
        <f t="shared" si="138"/>
        <v/>
      </c>
      <c r="LTR30" t="str">
        <f t="shared" si="138"/>
        <v/>
      </c>
      <c r="LTS30" t="str">
        <f t="shared" si="138"/>
        <v/>
      </c>
      <c r="LTT30" t="str">
        <f t="shared" si="138"/>
        <v/>
      </c>
      <c r="LTU30" t="str">
        <f t="shared" si="138"/>
        <v/>
      </c>
      <c r="LTV30" t="str">
        <f t="shared" si="138"/>
        <v/>
      </c>
      <c r="LTW30" t="str">
        <f t="shared" si="138"/>
        <v/>
      </c>
      <c r="LTX30" t="str">
        <f t="shared" ref="LTX30:LWI30" si="139">TRIM(LUJ11)</f>
        <v/>
      </c>
      <c r="LTY30" t="str">
        <f t="shared" si="139"/>
        <v/>
      </c>
      <c r="LTZ30" t="str">
        <f t="shared" si="139"/>
        <v/>
      </c>
      <c r="LUA30" t="str">
        <f t="shared" si="139"/>
        <v/>
      </c>
      <c r="LUB30" t="str">
        <f t="shared" si="139"/>
        <v/>
      </c>
      <c r="LUC30" t="str">
        <f t="shared" si="139"/>
        <v/>
      </c>
      <c r="LUD30" t="str">
        <f t="shared" si="139"/>
        <v/>
      </c>
      <c r="LUE30" t="str">
        <f t="shared" si="139"/>
        <v/>
      </c>
      <c r="LUF30" t="str">
        <f t="shared" si="139"/>
        <v/>
      </c>
      <c r="LUG30" t="str">
        <f t="shared" si="139"/>
        <v/>
      </c>
      <c r="LUH30" t="str">
        <f t="shared" si="139"/>
        <v/>
      </c>
      <c r="LUI30" t="str">
        <f t="shared" si="139"/>
        <v/>
      </c>
      <c r="LUJ30" t="str">
        <f t="shared" si="139"/>
        <v/>
      </c>
      <c r="LUK30" t="str">
        <f t="shared" si="139"/>
        <v/>
      </c>
      <c r="LUL30" t="str">
        <f t="shared" si="139"/>
        <v/>
      </c>
      <c r="LUM30" t="str">
        <f t="shared" si="139"/>
        <v/>
      </c>
      <c r="LUN30" t="str">
        <f t="shared" si="139"/>
        <v/>
      </c>
      <c r="LUO30" t="str">
        <f t="shared" si="139"/>
        <v/>
      </c>
      <c r="LUP30" t="str">
        <f t="shared" si="139"/>
        <v/>
      </c>
      <c r="LUQ30" t="str">
        <f t="shared" si="139"/>
        <v/>
      </c>
      <c r="LUR30" t="str">
        <f t="shared" si="139"/>
        <v/>
      </c>
      <c r="LUS30" t="str">
        <f t="shared" si="139"/>
        <v/>
      </c>
      <c r="LUT30" t="str">
        <f t="shared" si="139"/>
        <v/>
      </c>
      <c r="LUU30" t="str">
        <f t="shared" si="139"/>
        <v/>
      </c>
      <c r="LUV30" t="str">
        <f t="shared" si="139"/>
        <v/>
      </c>
      <c r="LUW30" t="str">
        <f t="shared" si="139"/>
        <v/>
      </c>
      <c r="LUX30" t="str">
        <f t="shared" si="139"/>
        <v/>
      </c>
      <c r="LUY30" t="str">
        <f t="shared" si="139"/>
        <v/>
      </c>
      <c r="LUZ30" t="str">
        <f t="shared" si="139"/>
        <v/>
      </c>
      <c r="LVA30" t="str">
        <f t="shared" si="139"/>
        <v/>
      </c>
      <c r="LVB30" t="str">
        <f t="shared" si="139"/>
        <v/>
      </c>
      <c r="LVC30" t="str">
        <f t="shared" si="139"/>
        <v/>
      </c>
      <c r="LVD30" t="str">
        <f t="shared" si="139"/>
        <v/>
      </c>
      <c r="LVE30" t="str">
        <f t="shared" si="139"/>
        <v/>
      </c>
      <c r="LVF30" t="str">
        <f t="shared" si="139"/>
        <v/>
      </c>
      <c r="LVG30" t="str">
        <f t="shared" si="139"/>
        <v/>
      </c>
      <c r="LVH30" t="str">
        <f t="shared" si="139"/>
        <v/>
      </c>
      <c r="LVI30" t="str">
        <f t="shared" si="139"/>
        <v/>
      </c>
      <c r="LVJ30" t="str">
        <f t="shared" si="139"/>
        <v/>
      </c>
      <c r="LVK30" t="str">
        <f t="shared" si="139"/>
        <v/>
      </c>
      <c r="LVL30" t="str">
        <f t="shared" si="139"/>
        <v/>
      </c>
      <c r="LVM30" t="str">
        <f t="shared" si="139"/>
        <v/>
      </c>
      <c r="LVN30" t="str">
        <f t="shared" si="139"/>
        <v/>
      </c>
      <c r="LVO30" t="str">
        <f t="shared" si="139"/>
        <v/>
      </c>
      <c r="LVP30" t="str">
        <f t="shared" si="139"/>
        <v/>
      </c>
      <c r="LVQ30" t="str">
        <f t="shared" si="139"/>
        <v/>
      </c>
      <c r="LVR30" t="str">
        <f t="shared" si="139"/>
        <v/>
      </c>
      <c r="LVS30" t="str">
        <f t="shared" si="139"/>
        <v/>
      </c>
      <c r="LVT30" t="str">
        <f t="shared" si="139"/>
        <v/>
      </c>
      <c r="LVU30" t="str">
        <f t="shared" si="139"/>
        <v/>
      </c>
      <c r="LVV30" t="str">
        <f t="shared" si="139"/>
        <v/>
      </c>
      <c r="LVW30" t="str">
        <f t="shared" si="139"/>
        <v/>
      </c>
      <c r="LVX30" t="str">
        <f t="shared" si="139"/>
        <v/>
      </c>
      <c r="LVY30" t="str">
        <f t="shared" si="139"/>
        <v/>
      </c>
      <c r="LVZ30" t="str">
        <f t="shared" si="139"/>
        <v/>
      </c>
      <c r="LWA30" t="str">
        <f t="shared" si="139"/>
        <v/>
      </c>
      <c r="LWB30" t="str">
        <f t="shared" si="139"/>
        <v/>
      </c>
      <c r="LWC30" t="str">
        <f t="shared" si="139"/>
        <v/>
      </c>
      <c r="LWD30" t="str">
        <f t="shared" si="139"/>
        <v/>
      </c>
      <c r="LWE30" t="str">
        <f t="shared" si="139"/>
        <v/>
      </c>
      <c r="LWF30" t="str">
        <f t="shared" si="139"/>
        <v/>
      </c>
      <c r="LWG30" t="str">
        <f t="shared" si="139"/>
        <v/>
      </c>
      <c r="LWH30" t="str">
        <f t="shared" si="139"/>
        <v/>
      </c>
      <c r="LWI30" t="str">
        <f t="shared" si="139"/>
        <v/>
      </c>
      <c r="LWJ30" t="str">
        <f t="shared" ref="LWJ30:LYU30" si="140">TRIM(LWV11)</f>
        <v/>
      </c>
      <c r="LWK30" t="str">
        <f t="shared" si="140"/>
        <v/>
      </c>
      <c r="LWL30" t="str">
        <f t="shared" si="140"/>
        <v/>
      </c>
      <c r="LWM30" t="str">
        <f t="shared" si="140"/>
        <v/>
      </c>
      <c r="LWN30" t="str">
        <f t="shared" si="140"/>
        <v/>
      </c>
      <c r="LWO30" t="str">
        <f t="shared" si="140"/>
        <v/>
      </c>
      <c r="LWP30" t="str">
        <f t="shared" si="140"/>
        <v/>
      </c>
      <c r="LWQ30" t="str">
        <f t="shared" si="140"/>
        <v/>
      </c>
      <c r="LWR30" t="str">
        <f t="shared" si="140"/>
        <v/>
      </c>
      <c r="LWS30" t="str">
        <f t="shared" si="140"/>
        <v/>
      </c>
      <c r="LWT30" t="str">
        <f t="shared" si="140"/>
        <v/>
      </c>
      <c r="LWU30" t="str">
        <f t="shared" si="140"/>
        <v/>
      </c>
      <c r="LWV30" t="str">
        <f t="shared" si="140"/>
        <v/>
      </c>
      <c r="LWW30" t="str">
        <f t="shared" si="140"/>
        <v/>
      </c>
      <c r="LWX30" t="str">
        <f t="shared" si="140"/>
        <v/>
      </c>
      <c r="LWY30" t="str">
        <f t="shared" si="140"/>
        <v/>
      </c>
      <c r="LWZ30" t="str">
        <f t="shared" si="140"/>
        <v/>
      </c>
      <c r="LXA30" t="str">
        <f t="shared" si="140"/>
        <v/>
      </c>
      <c r="LXB30" t="str">
        <f t="shared" si="140"/>
        <v/>
      </c>
      <c r="LXC30" t="str">
        <f t="shared" si="140"/>
        <v/>
      </c>
      <c r="LXD30" t="str">
        <f t="shared" si="140"/>
        <v/>
      </c>
      <c r="LXE30" t="str">
        <f t="shared" si="140"/>
        <v/>
      </c>
      <c r="LXF30" t="str">
        <f t="shared" si="140"/>
        <v/>
      </c>
      <c r="LXG30" t="str">
        <f t="shared" si="140"/>
        <v/>
      </c>
      <c r="LXH30" t="str">
        <f t="shared" si="140"/>
        <v/>
      </c>
      <c r="LXI30" t="str">
        <f t="shared" si="140"/>
        <v/>
      </c>
      <c r="LXJ30" t="str">
        <f t="shared" si="140"/>
        <v/>
      </c>
      <c r="LXK30" t="str">
        <f t="shared" si="140"/>
        <v/>
      </c>
      <c r="LXL30" t="str">
        <f t="shared" si="140"/>
        <v/>
      </c>
      <c r="LXM30" t="str">
        <f t="shared" si="140"/>
        <v/>
      </c>
      <c r="LXN30" t="str">
        <f t="shared" si="140"/>
        <v/>
      </c>
      <c r="LXO30" t="str">
        <f t="shared" si="140"/>
        <v/>
      </c>
      <c r="LXP30" t="str">
        <f t="shared" si="140"/>
        <v/>
      </c>
      <c r="LXQ30" t="str">
        <f t="shared" si="140"/>
        <v/>
      </c>
      <c r="LXR30" t="str">
        <f t="shared" si="140"/>
        <v/>
      </c>
      <c r="LXS30" t="str">
        <f t="shared" si="140"/>
        <v/>
      </c>
      <c r="LXT30" t="str">
        <f t="shared" si="140"/>
        <v/>
      </c>
      <c r="LXU30" t="str">
        <f t="shared" si="140"/>
        <v/>
      </c>
      <c r="LXV30" t="str">
        <f t="shared" si="140"/>
        <v/>
      </c>
      <c r="LXW30" t="str">
        <f t="shared" si="140"/>
        <v/>
      </c>
      <c r="LXX30" t="str">
        <f t="shared" si="140"/>
        <v/>
      </c>
      <c r="LXY30" t="str">
        <f t="shared" si="140"/>
        <v/>
      </c>
      <c r="LXZ30" t="str">
        <f t="shared" si="140"/>
        <v/>
      </c>
      <c r="LYA30" t="str">
        <f t="shared" si="140"/>
        <v/>
      </c>
      <c r="LYB30" t="str">
        <f t="shared" si="140"/>
        <v/>
      </c>
      <c r="LYC30" t="str">
        <f t="shared" si="140"/>
        <v/>
      </c>
      <c r="LYD30" t="str">
        <f t="shared" si="140"/>
        <v/>
      </c>
      <c r="LYE30" t="str">
        <f t="shared" si="140"/>
        <v/>
      </c>
      <c r="LYF30" t="str">
        <f t="shared" si="140"/>
        <v/>
      </c>
      <c r="LYG30" t="str">
        <f t="shared" si="140"/>
        <v/>
      </c>
      <c r="LYH30" t="str">
        <f t="shared" si="140"/>
        <v/>
      </c>
      <c r="LYI30" t="str">
        <f t="shared" si="140"/>
        <v/>
      </c>
      <c r="LYJ30" t="str">
        <f t="shared" si="140"/>
        <v/>
      </c>
      <c r="LYK30" t="str">
        <f t="shared" si="140"/>
        <v/>
      </c>
      <c r="LYL30" t="str">
        <f t="shared" si="140"/>
        <v/>
      </c>
      <c r="LYM30" t="str">
        <f t="shared" si="140"/>
        <v/>
      </c>
      <c r="LYN30" t="str">
        <f t="shared" si="140"/>
        <v/>
      </c>
      <c r="LYO30" t="str">
        <f t="shared" si="140"/>
        <v/>
      </c>
      <c r="LYP30" t="str">
        <f t="shared" si="140"/>
        <v/>
      </c>
      <c r="LYQ30" t="str">
        <f t="shared" si="140"/>
        <v/>
      </c>
      <c r="LYR30" t="str">
        <f t="shared" si="140"/>
        <v/>
      </c>
      <c r="LYS30" t="str">
        <f t="shared" si="140"/>
        <v/>
      </c>
      <c r="LYT30" t="str">
        <f t="shared" si="140"/>
        <v/>
      </c>
      <c r="LYU30" t="str">
        <f t="shared" si="140"/>
        <v/>
      </c>
      <c r="LYV30" t="str">
        <f t="shared" ref="LYV30:MBG30" si="141">TRIM(LZH11)</f>
        <v/>
      </c>
      <c r="LYW30" t="str">
        <f t="shared" si="141"/>
        <v/>
      </c>
      <c r="LYX30" t="str">
        <f t="shared" si="141"/>
        <v/>
      </c>
      <c r="LYY30" t="str">
        <f t="shared" si="141"/>
        <v/>
      </c>
      <c r="LYZ30" t="str">
        <f t="shared" si="141"/>
        <v/>
      </c>
      <c r="LZA30" t="str">
        <f t="shared" si="141"/>
        <v/>
      </c>
      <c r="LZB30" t="str">
        <f t="shared" si="141"/>
        <v/>
      </c>
      <c r="LZC30" t="str">
        <f t="shared" si="141"/>
        <v/>
      </c>
      <c r="LZD30" t="str">
        <f t="shared" si="141"/>
        <v/>
      </c>
      <c r="LZE30" t="str">
        <f t="shared" si="141"/>
        <v/>
      </c>
      <c r="LZF30" t="str">
        <f t="shared" si="141"/>
        <v/>
      </c>
      <c r="LZG30" t="str">
        <f t="shared" si="141"/>
        <v/>
      </c>
      <c r="LZH30" t="str">
        <f t="shared" si="141"/>
        <v/>
      </c>
      <c r="LZI30" t="str">
        <f t="shared" si="141"/>
        <v/>
      </c>
      <c r="LZJ30" t="str">
        <f t="shared" si="141"/>
        <v/>
      </c>
      <c r="LZK30" t="str">
        <f t="shared" si="141"/>
        <v/>
      </c>
      <c r="LZL30" t="str">
        <f t="shared" si="141"/>
        <v/>
      </c>
      <c r="LZM30" t="str">
        <f t="shared" si="141"/>
        <v/>
      </c>
      <c r="LZN30" t="str">
        <f t="shared" si="141"/>
        <v/>
      </c>
      <c r="LZO30" t="str">
        <f t="shared" si="141"/>
        <v/>
      </c>
      <c r="LZP30" t="str">
        <f t="shared" si="141"/>
        <v/>
      </c>
      <c r="LZQ30" t="str">
        <f t="shared" si="141"/>
        <v/>
      </c>
      <c r="LZR30" t="str">
        <f t="shared" si="141"/>
        <v/>
      </c>
      <c r="LZS30" t="str">
        <f t="shared" si="141"/>
        <v/>
      </c>
      <c r="LZT30" t="str">
        <f t="shared" si="141"/>
        <v/>
      </c>
      <c r="LZU30" t="str">
        <f t="shared" si="141"/>
        <v/>
      </c>
      <c r="LZV30" t="str">
        <f t="shared" si="141"/>
        <v/>
      </c>
      <c r="LZW30" t="str">
        <f t="shared" si="141"/>
        <v/>
      </c>
      <c r="LZX30" t="str">
        <f t="shared" si="141"/>
        <v/>
      </c>
      <c r="LZY30" t="str">
        <f t="shared" si="141"/>
        <v/>
      </c>
      <c r="LZZ30" t="str">
        <f t="shared" si="141"/>
        <v/>
      </c>
      <c r="MAA30" t="str">
        <f t="shared" si="141"/>
        <v/>
      </c>
      <c r="MAB30" t="str">
        <f t="shared" si="141"/>
        <v/>
      </c>
      <c r="MAC30" t="str">
        <f t="shared" si="141"/>
        <v/>
      </c>
      <c r="MAD30" t="str">
        <f t="shared" si="141"/>
        <v/>
      </c>
      <c r="MAE30" t="str">
        <f t="shared" si="141"/>
        <v/>
      </c>
      <c r="MAF30" t="str">
        <f t="shared" si="141"/>
        <v/>
      </c>
      <c r="MAG30" t="str">
        <f t="shared" si="141"/>
        <v/>
      </c>
      <c r="MAH30" t="str">
        <f t="shared" si="141"/>
        <v/>
      </c>
      <c r="MAI30" t="str">
        <f t="shared" si="141"/>
        <v/>
      </c>
      <c r="MAJ30" t="str">
        <f t="shared" si="141"/>
        <v/>
      </c>
      <c r="MAK30" t="str">
        <f t="shared" si="141"/>
        <v/>
      </c>
      <c r="MAL30" t="str">
        <f t="shared" si="141"/>
        <v/>
      </c>
      <c r="MAM30" t="str">
        <f t="shared" si="141"/>
        <v/>
      </c>
      <c r="MAN30" t="str">
        <f t="shared" si="141"/>
        <v/>
      </c>
      <c r="MAO30" t="str">
        <f t="shared" si="141"/>
        <v/>
      </c>
      <c r="MAP30" t="str">
        <f t="shared" si="141"/>
        <v/>
      </c>
      <c r="MAQ30" t="str">
        <f t="shared" si="141"/>
        <v/>
      </c>
      <c r="MAR30" t="str">
        <f t="shared" si="141"/>
        <v/>
      </c>
      <c r="MAS30" t="str">
        <f t="shared" si="141"/>
        <v/>
      </c>
      <c r="MAT30" t="str">
        <f t="shared" si="141"/>
        <v/>
      </c>
      <c r="MAU30" t="str">
        <f t="shared" si="141"/>
        <v/>
      </c>
      <c r="MAV30" t="str">
        <f t="shared" si="141"/>
        <v/>
      </c>
      <c r="MAW30" t="str">
        <f t="shared" si="141"/>
        <v/>
      </c>
      <c r="MAX30" t="str">
        <f t="shared" si="141"/>
        <v/>
      </c>
      <c r="MAY30" t="str">
        <f t="shared" si="141"/>
        <v/>
      </c>
      <c r="MAZ30" t="str">
        <f t="shared" si="141"/>
        <v/>
      </c>
      <c r="MBA30" t="str">
        <f t="shared" si="141"/>
        <v/>
      </c>
      <c r="MBB30" t="str">
        <f t="shared" si="141"/>
        <v/>
      </c>
      <c r="MBC30" t="str">
        <f t="shared" si="141"/>
        <v/>
      </c>
      <c r="MBD30" t="str">
        <f t="shared" si="141"/>
        <v/>
      </c>
      <c r="MBE30" t="str">
        <f t="shared" si="141"/>
        <v/>
      </c>
      <c r="MBF30" t="str">
        <f t="shared" si="141"/>
        <v/>
      </c>
      <c r="MBG30" t="str">
        <f t="shared" si="141"/>
        <v/>
      </c>
      <c r="MBH30" t="str">
        <f t="shared" ref="MBH30:MDS30" si="142">TRIM(MBT11)</f>
        <v/>
      </c>
      <c r="MBI30" t="str">
        <f t="shared" si="142"/>
        <v/>
      </c>
      <c r="MBJ30" t="str">
        <f t="shared" si="142"/>
        <v/>
      </c>
      <c r="MBK30" t="str">
        <f t="shared" si="142"/>
        <v/>
      </c>
      <c r="MBL30" t="str">
        <f t="shared" si="142"/>
        <v/>
      </c>
      <c r="MBM30" t="str">
        <f t="shared" si="142"/>
        <v/>
      </c>
      <c r="MBN30" t="str">
        <f t="shared" si="142"/>
        <v/>
      </c>
      <c r="MBO30" t="str">
        <f t="shared" si="142"/>
        <v/>
      </c>
      <c r="MBP30" t="str">
        <f t="shared" si="142"/>
        <v/>
      </c>
      <c r="MBQ30" t="str">
        <f t="shared" si="142"/>
        <v/>
      </c>
      <c r="MBR30" t="str">
        <f t="shared" si="142"/>
        <v/>
      </c>
      <c r="MBS30" t="str">
        <f t="shared" si="142"/>
        <v/>
      </c>
      <c r="MBT30" t="str">
        <f t="shared" si="142"/>
        <v/>
      </c>
      <c r="MBU30" t="str">
        <f t="shared" si="142"/>
        <v/>
      </c>
      <c r="MBV30" t="str">
        <f t="shared" si="142"/>
        <v/>
      </c>
      <c r="MBW30" t="str">
        <f t="shared" si="142"/>
        <v/>
      </c>
      <c r="MBX30" t="str">
        <f t="shared" si="142"/>
        <v/>
      </c>
      <c r="MBY30" t="str">
        <f t="shared" si="142"/>
        <v/>
      </c>
      <c r="MBZ30" t="str">
        <f t="shared" si="142"/>
        <v/>
      </c>
      <c r="MCA30" t="str">
        <f t="shared" si="142"/>
        <v/>
      </c>
      <c r="MCB30" t="str">
        <f t="shared" si="142"/>
        <v/>
      </c>
      <c r="MCC30" t="str">
        <f t="shared" si="142"/>
        <v/>
      </c>
      <c r="MCD30" t="str">
        <f t="shared" si="142"/>
        <v/>
      </c>
      <c r="MCE30" t="str">
        <f t="shared" si="142"/>
        <v/>
      </c>
      <c r="MCF30" t="str">
        <f t="shared" si="142"/>
        <v/>
      </c>
      <c r="MCG30" t="str">
        <f t="shared" si="142"/>
        <v/>
      </c>
      <c r="MCH30" t="str">
        <f t="shared" si="142"/>
        <v/>
      </c>
      <c r="MCI30" t="str">
        <f t="shared" si="142"/>
        <v/>
      </c>
      <c r="MCJ30" t="str">
        <f t="shared" si="142"/>
        <v/>
      </c>
      <c r="MCK30" t="str">
        <f t="shared" si="142"/>
        <v/>
      </c>
      <c r="MCL30" t="str">
        <f t="shared" si="142"/>
        <v/>
      </c>
      <c r="MCM30" t="str">
        <f t="shared" si="142"/>
        <v/>
      </c>
      <c r="MCN30" t="str">
        <f t="shared" si="142"/>
        <v/>
      </c>
      <c r="MCO30" t="str">
        <f t="shared" si="142"/>
        <v/>
      </c>
      <c r="MCP30" t="str">
        <f t="shared" si="142"/>
        <v/>
      </c>
      <c r="MCQ30" t="str">
        <f t="shared" si="142"/>
        <v/>
      </c>
      <c r="MCR30" t="str">
        <f t="shared" si="142"/>
        <v/>
      </c>
      <c r="MCS30" t="str">
        <f t="shared" si="142"/>
        <v/>
      </c>
      <c r="MCT30" t="str">
        <f t="shared" si="142"/>
        <v/>
      </c>
      <c r="MCU30" t="str">
        <f t="shared" si="142"/>
        <v/>
      </c>
      <c r="MCV30" t="str">
        <f t="shared" si="142"/>
        <v/>
      </c>
      <c r="MCW30" t="str">
        <f t="shared" si="142"/>
        <v/>
      </c>
      <c r="MCX30" t="str">
        <f t="shared" si="142"/>
        <v/>
      </c>
      <c r="MCY30" t="str">
        <f t="shared" si="142"/>
        <v/>
      </c>
      <c r="MCZ30" t="str">
        <f t="shared" si="142"/>
        <v/>
      </c>
      <c r="MDA30" t="str">
        <f t="shared" si="142"/>
        <v/>
      </c>
      <c r="MDB30" t="str">
        <f t="shared" si="142"/>
        <v/>
      </c>
      <c r="MDC30" t="str">
        <f t="shared" si="142"/>
        <v/>
      </c>
      <c r="MDD30" t="str">
        <f t="shared" si="142"/>
        <v/>
      </c>
      <c r="MDE30" t="str">
        <f t="shared" si="142"/>
        <v/>
      </c>
      <c r="MDF30" t="str">
        <f t="shared" si="142"/>
        <v/>
      </c>
      <c r="MDG30" t="str">
        <f t="shared" si="142"/>
        <v/>
      </c>
      <c r="MDH30" t="str">
        <f t="shared" si="142"/>
        <v/>
      </c>
      <c r="MDI30" t="str">
        <f t="shared" si="142"/>
        <v/>
      </c>
      <c r="MDJ30" t="str">
        <f t="shared" si="142"/>
        <v/>
      </c>
      <c r="MDK30" t="str">
        <f t="shared" si="142"/>
        <v/>
      </c>
      <c r="MDL30" t="str">
        <f t="shared" si="142"/>
        <v/>
      </c>
      <c r="MDM30" t="str">
        <f t="shared" si="142"/>
        <v/>
      </c>
      <c r="MDN30" t="str">
        <f t="shared" si="142"/>
        <v/>
      </c>
      <c r="MDO30" t="str">
        <f t="shared" si="142"/>
        <v/>
      </c>
      <c r="MDP30" t="str">
        <f t="shared" si="142"/>
        <v/>
      </c>
      <c r="MDQ30" t="str">
        <f t="shared" si="142"/>
        <v/>
      </c>
      <c r="MDR30" t="str">
        <f t="shared" si="142"/>
        <v/>
      </c>
      <c r="MDS30" t="str">
        <f t="shared" si="142"/>
        <v/>
      </c>
      <c r="MDT30" t="str">
        <f t="shared" ref="MDT30:MGE30" si="143">TRIM(MEF11)</f>
        <v/>
      </c>
      <c r="MDU30" t="str">
        <f t="shared" si="143"/>
        <v/>
      </c>
      <c r="MDV30" t="str">
        <f t="shared" si="143"/>
        <v/>
      </c>
      <c r="MDW30" t="str">
        <f t="shared" si="143"/>
        <v/>
      </c>
      <c r="MDX30" t="str">
        <f t="shared" si="143"/>
        <v/>
      </c>
      <c r="MDY30" t="str">
        <f t="shared" si="143"/>
        <v/>
      </c>
      <c r="MDZ30" t="str">
        <f t="shared" si="143"/>
        <v/>
      </c>
      <c r="MEA30" t="str">
        <f t="shared" si="143"/>
        <v/>
      </c>
      <c r="MEB30" t="str">
        <f t="shared" si="143"/>
        <v/>
      </c>
      <c r="MEC30" t="str">
        <f t="shared" si="143"/>
        <v/>
      </c>
      <c r="MED30" t="str">
        <f t="shared" si="143"/>
        <v/>
      </c>
      <c r="MEE30" t="str">
        <f t="shared" si="143"/>
        <v/>
      </c>
      <c r="MEF30" t="str">
        <f t="shared" si="143"/>
        <v/>
      </c>
      <c r="MEG30" t="str">
        <f t="shared" si="143"/>
        <v/>
      </c>
      <c r="MEH30" t="str">
        <f t="shared" si="143"/>
        <v/>
      </c>
      <c r="MEI30" t="str">
        <f t="shared" si="143"/>
        <v/>
      </c>
      <c r="MEJ30" t="str">
        <f t="shared" si="143"/>
        <v/>
      </c>
      <c r="MEK30" t="str">
        <f t="shared" si="143"/>
        <v/>
      </c>
      <c r="MEL30" t="str">
        <f t="shared" si="143"/>
        <v/>
      </c>
      <c r="MEM30" t="str">
        <f t="shared" si="143"/>
        <v/>
      </c>
      <c r="MEN30" t="str">
        <f t="shared" si="143"/>
        <v/>
      </c>
      <c r="MEO30" t="str">
        <f t="shared" si="143"/>
        <v/>
      </c>
      <c r="MEP30" t="str">
        <f t="shared" si="143"/>
        <v/>
      </c>
      <c r="MEQ30" t="str">
        <f t="shared" si="143"/>
        <v/>
      </c>
      <c r="MER30" t="str">
        <f t="shared" si="143"/>
        <v/>
      </c>
      <c r="MES30" t="str">
        <f t="shared" si="143"/>
        <v/>
      </c>
      <c r="MET30" t="str">
        <f t="shared" si="143"/>
        <v/>
      </c>
      <c r="MEU30" t="str">
        <f t="shared" si="143"/>
        <v/>
      </c>
      <c r="MEV30" t="str">
        <f t="shared" si="143"/>
        <v/>
      </c>
      <c r="MEW30" t="str">
        <f t="shared" si="143"/>
        <v/>
      </c>
      <c r="MEX30" t="str">
        <f t="shared" si="143"/>
        <v/>
      </c>
      <c r="MEY30" t="str">
        <f t="shared" si="143"/>
        <v/>
      </c>
      <c r="MEZ30" t="str">
        <f t="shared" si="143"/>
        <v/>
      </c>
      <c r="MFA30" t="str">
        <f t="shared" si="143"/>
        <v/>
      </c>
      <c r="MFB30" t="str">
        <f t="shared" si="143"/>
        <v/>
      </c>
      <c r="MFC30" t="str">
        <f t="shared" si="143"/>
        <v/>
      </c>
      <c r="MFD30" t="str">
        <f t="shared" si="143"/>
        <v/>
      </c>
      <c r="MFE30" t="str">
        <f t="shared" si="143"/>
        <v/>
      </c>
      <c r="MFF30" t="str">
        <f t="shared" si="143"/>
        <v/>
      </c>
      <c r="MFG30" t="str">
        <f t="shared" si="143"/>
        <v/>
      </c>
      <c r="MFH30" t="str">
        <f t="shared" si="143"/>
        <v/>
      </c>
      <c r="MFI30" t="str">
        <f t="shared" si="143"/>
        <v/>
      </c>
      <c r="MFJ30" t="str">
        <f t="shared" si="143"/>
        <v/>
      </c>
      <c r="MFK30" t="str">
        <f t="shared" si="143"/>
        <v/>
      </c>
      <c r="MFL30" t="str">
        <f t="shared" si="143"/>
        <v/>
      </c>
      <c r="MFM30" t="str">
        <f t="shared" si="143"/>
        <v/>
      </c>
      <c r="MFN30" t="str">
        <f t="shared" si="143"/>
        <v/>
      </c>
      <c r="MFO30" t="str">
        <f t="shared" si="143"/>
        <v/>
      </c>
      <c r="MFP30" t="str">
        <f t="shared" si="143"/>
        <v/>
      </c>
      <c r="MFQ30" t="str">
        <f t="shared" si="143"/>
        <v/>
      </c>
      <c r="MFR30" t="str">
        <f t="shared" si="143"/>
        <v/>
      </c>
      <c r="MFS30" t="str">
        <f t="shared" si="143"/>
        <v/>
      </c>
      <c r="MFT30" t="str">
        <f t="shared" si="143"/>
        <v/>
      </c>
      <c r="MFU30" t="str">
        <f t="shared" si="143"/>
        <v/>
      </c>
      <c r="MFV30" t="str">
        <f t="shared" si="143"/>
        <v/>
      </c>
      <c r="MFW30" t="str">
        <f t="shared" si="143"/>
        <v/>
      </c>
      <c r="MFX30" t="str">
        <f t="shared" si="143"/>
        <v/>
      </c>
      <c r="MFY30" t="str">
        <f t="shared" si="143"/>
        <v/>
      </c>
      <c r="MFZ30" t="str">
        <f t="shared" si="143"/>
        <v/>
      </c>
      <c r="MGA30" t="str">
        <f t="shared" si="143"/>
        <v/>
      </c>
      <c r="MGB30" t="str">
        <f t="shared" si="143"/>
        <v/>
      </c>
      <c r="MGC30" t="str">
        <f t="shared" si="143"/>
        <v/>
      </c>
      <c r="MGD30" t="str">
        <f t="shared" si="143"/>
        <v/>
      </c>
      <c r="MGE30" t="str">
        <f t="shared" si="143"/>
        <v/>
      </c>
      <c r="MGF30" t="str">
        <f t="shared" ref="MGF30:MIQ30" si="144">TRIM(MGR11)</f>
        <v/>
      </c>
      <c r="MGG30" t="str">
        <f t="shared" si="144"/>
        <v/>
      </c>
      <c r="MGH30" t="str">
        <f t="shared" si="144"/>
        <v/>
      </c>
      <c r="MGI30" t="str">
        <f t="shared" si="144"/>
        <v/>
      </c>
      <c r="MGJ30" t="str">
        <f t="shared" si="144"/>
        <v/>
      </c>
      <c r="MGK30" t="str">
        <f t="shared" si="144"/>
        <v/>
      </c>
      <c r="MGL30" t="str">
        <f t="shared" si="144"/>
        <v/>
      </c>
      <c r="MGM30" t="str">
        <f t="shared" si="144"/>
        <v/>
      </c>
      <c r="MGN30" t="str">
        <f t="shared" si="144"/>
        <v/>
      </c>
      <c r="MGO30" t="str">
        <f t="shared" si="144"/>
        <v/>
      </c>
      <c r="MGP30" t="str">
        <f t="shared" si="144"/>
        <v/>
      </c>
      <c r="MGQ30" t="str">
        <f t="shared" si="144"/>
        <v/>
      </c>
      <c r="MGR30" t="str">
        <f t="shared" si="144"/>
        <v/>
      </c>
      <c r="MGS30" t="str">
        <f t="shared" si="144"/>
        <v/>
      </c>
      <c r="MGT30" t="str">
        <f t="shared" si="144"/>
        <v/>
      </c>
      <c r="MGU30" t="str">
        <f t="shared" si="144"/>
        <v/>
      </c>
      <c r="MGV30" t="str">
        <f t="shared" si="144"/>
        <v/>
      </c>
      <c r="MGW30" t="str">
        <f t="shared" si="144"/>
        <v/>
      </c>
      <c r="MGX30" t="str">
        <f t="shared" si="144"/>
        <v/>
      </c>
      <c r="MGY30" t="str">
        <f t="shared" si="144"/>
        <v/>
      </c>
      <c r="MGZ30" t="str">
        <f t="shared" si="144"/>
        <v/>
      </c>
      <c r="MHA30" t="str">
        <f t="shared" si="144"/>
        <v/>
      </c>
      <c r="MHB30" t="str">
        <f t="shared" si="144"/>
        <v/>
      </c>
      <c r="MHC30" t="str">
        <f t="shared" si="144"/>
        <v/>
      </c>
      <c r="MHD30" t="str">
        <f t="shared" si="144"/>
        <v/>
      </c>
      <c r="MHE30" t="str">
        <f t="shared" si="144"/>
        <v/>
      </c>
      <c r="MHF30" t="str">
        <f t="shared" si="144"/>
        <v/>
      </c>
      <c r="MHG30" t="str">
        <f t="shared" si="144"/>
        <v/>
      </c>
      <c r="MHH30" t="str">
        <f t="shared" si="144"/>
        <v/>
      </c>
      <c r="MHI30" t="str">
        <f t="shared" si="144"/>
        <v/>
      </c>
      <c r="MHJ30" t="str">
        <f t="shared" si="144"/>
        <v/>
      </c>
      <c r="MHK30" t="str">
        <f t="shared" si="144"/>
        <v/>
      </c>
      <c r="MHL30" t="str">
        <f t="shared" si="144"/>
        <v/>
      </c>
      <c r="MHM30" t="str">
        <f t="shared" si="144"/>
        <v/>
      </c>
      <c r="MHN30" t="str">
        <f t="shared" si="144"/>
        <v/>
      </c>
      <c r="MHO30" t="str">
        <f t="shared" si="144"/>
        <v/>
      </c>
      <c r="MHP30" t="str">
        <f t="shared" si="144"/>
        <v/>
      </c>
      <c r="MHQ30" t="str">
        <f t="shared" si="144"/>
        <v/>
      </c>
      <c r="MHR30" t="str">
        <f t="shared" si="144"/>
        <v/>
      </c>
      <c r="MHS30" t="str">
        <f t="shared" si="144"/>
        <v/>
      </c>
      <c r="MHT30" t="str">
        <f t="shared" si="144"/>
        <v/>
      </c>
      <c r="MHU30" t="str">
        <f t="shared" si="144"/>
        <v/>
      </c>
      <c r="MHV30" t="str">
        <f t="shared" si="144"/>
        <v/>
      </c>
      <c r="MHW30" t="str">
        <f t="shared" si="144"/>
        <v/>
      </c>
      <c r="MHX30" t="str">
        <f t="shared" si="144"/>
        <v/>
      </c>
      <c r="MHY30" t="str">
        <f t="shared" si="144"/>
        <v/>
      </c>
      <c r="MHZ30" t="str">
        <f t="shared" si="144"/>
        <v/>
      </c>
      <c r="MIA30" t="str">
        <f t="shared" si="144"/>
        <v/>
      </c>
      <c r="MIB30" t="str">
        <f t="shared" si="144"/>
        <v/>
      </c>
      <c r="MIC30" t="str">
        <f t="shared" si="144"/>
        <v/>
      </c>
      <c r="MID30" t="str">
        <f t="shared" si="144"/>
        <v/>
      </c>
      <c r="MIE30" t="str">
        <f t="shared" si="144"/>
        <v/>
      </c>
      <c r="MIF30" t="str">
        <f t="shared" si="144"/>
        <v/>
      </c>
      <c r="MIG30" t="str">
        <f t="shared" si="144"/>
        <v/>
      </c>
      <c r="MIH30" t="str">
        <f t="shared" si="144"/>
        <v/>
      </c>
      <c r="MII30" t="str">
        <f t="shared" si="144"/>
        <v/>
      </c>
      <c r="MIJ30" t="str">
        <f t="shared" si="144"/>
        <v/>
      </c>
      <c r="MIK30" t="str">
        <f t="shared" si="144"/>
        <v/>
      </c>
      <c r="MIL30" t="str">
        <f t="shared" si="144"/>
        <v/>
      </c>
      <c r="MIM30" t="str">
        <f t="shared" si="144"/>
        <v/>
      </c>
      <c r="MIN30" t="str">
        <f t="shared" si="144"/>
        <v/>
      </c>
      <c r="MIO30" t="str">
        <f t="shared" si="144"/>
        <v/>
      </c>
      <c r="MIP30" t="str">
        <f t="shared" si="144"/>
        <v/>
      </c>
      <c r="MIQ30" t="str">
        <f t="shared" si="144"/>
        <v/>
      </c>
      <c r="MIR30" t="str">
        <f t="shared" ref="MIR30:MLC30" si="145">TRIM(MJD11)</f>
        <v/>
      </c>
      <c r="MIS30" t="str">
        <f t="shared" si="145"/>
        <v/>
      </c>
      <c r="MIT30" t="str">
        <f t="shared" si="145"/>
        <v/>
      </c>
      <c r="MIU30" t="str">
        <f t="shared" si="145"/>
        <v/>
      </c>
      <c r="MIV30" t="str">
        <f t="shared" si="145"/>
        <v/>
      </c>
      <c r="MIW30" t="str">
        <f t="shared" si="145"/>
        <v/>
      </c>
      <c r="MIX30" t="str">
        <f t="shared" si="145"/>
        <v/>
      </c>
      <c r="MIY30" t="str">
        <f t="shared" si="145"/>
        <v/>
      </c>
      <c r="MIZ30" t="str">
        <f t="shared" si="145"/>
        <v/>
      </c>
      <c r="MJA30" t="str">
        <f t="shared" si="145"/>
        <v/>
      </c>
      <c r="MJB30" t="str">
        <f t="shared" si="145"/>
        <v/>
      </c>
      <c r="MJC30" t="str">
        <f t="shared" si="145"/>
        <v/>
      </c>
      <c r="MJD30" t="str">
        <f t="shared" si="145"/>
        <v/>
      </c>
      <c r="MJE30" t="str">
        <f t="shared" si="145"/>
        <v/>
      </c>
      <c r="MJF30" t="str">
        <f t="shared" si="145"/>
        <v/>
      </c>
      <c r="MJG30" t="str">
        <f t="shared" si="145"/>
        <v/>
      </c>
      <c r="MJH30" t="str">
        <f t="shared" si="145"/>
        <v/>
      </c>
      <c r="MJI30" t="str">
        <f t="shared" si="145"/>
        <v/>
      </c>
      <c r="MJJ30" t="str">
        <f t="shared" si="145"/>
        <v/>
      </c>
      <c r="MJK30" t="str">
        <f t="shared" si="145"/>
        <v/>
      </c>
      <c r="MJL30" t="str">
        <f t="shared" si="145"/>
        <v/>
      </c>
      <c r="MJM30" t="str">
        <f t="shared" si="145"/>
        <v/>
      </c>
      <c r="MJN30" t="str">
        <f t="shared" si="145"/>
        <v/>
      </c>
      <c r="MJO30" t="str">
        <f t="shared" si="145"/>
        <v/>
      </c>
      <c r="MJP30" t="str">
        <f t="shared" si="145"/>
        <v/>
      </c>
      <c r="MJQ30" t="str">
        <f t="shared" si="145"/>
        <v/>
      </c>
      <c r="MJR30" t="str">
        <f t="shared" si="145"/>
        <v/>
      </c>
      <c r="MJS30" t="str">
        <f t="shared" si="145"/>
        <v/>
      </c>
      <c r="MJT30" t="str">
        <f t="shared" si="145"/>
        <v/>
      </c>
      <c r="MJU30" t="str">
        <f t="shared" si="145"/>
        <v/>
      </c>
      <c r="MJV30" t="str">
        <f t="shared" si="145"/>
        <v/>
      </c>
      <c r="MJW30" t="str">
        <f t="shared" si="145"/>
        <v/>
      </c>
      <c r="MJX30" t="str">
        <f t="shared" si="145"/>
        <v/>
      </c>
      <c r="MJY30" t="str">
        <f t="shared" si="145"/>
        <v/>
      </c>
      <c r="MJZ30" t="str">
        <f t="shared" si="145"/>
        <v/>
      </c>
      <c r="MKA30" t="str">
        <f t="shared" si="145"/>
        <v/>
      </c>
      <c r="MKB30" t="str">
        <f t="shared" si="145"/>
        <v/>
      </c>
      <c r="MKC30" t="str">
        <f t="shared" si="145"/>
        <v/>
      </c>
      <c r="MKD30" t="str">
        <f t="shared" si="145"/>
        <v/>
      </c>
      <c r="MKE30" t="str">
        <f t="shared" si="145"/>
        <v/>
      </c>
      <c r="MKF30" t="str">
        <f t="shared" si="145"/>
        <v/>
      </c>
      <c r="MKG30" t="str">
        <f t="shared" si="145"/>
        <v/>
      </c>
      <c r="MKH30" t="str">
        <f t="shared" si="145"/>
        <v/>
      </c>
      <c r="MKI30" t="str">
        <f t="shared" si="145"/>
        <v/>
      </c>
      <c r="MKJ30" t="str">
        <f t="shared" si="145"/>
        <v/>
      </c>
      <c r="MKK30" t="str">
        <f t="shared" si="145"/>
        <v/>
      </c>
      <c r="MKL30" t="str">
        <f t="shared" si="145"/>
        <v/>
      </c>
      <c r="MKM30" t="str">
        <f t="shared" si="145"/>
        <v/>
      </c>
      <c r="MKN30" t="str">
        <f t="shared" si="145"/>
        <v/>
      </c>
      <c r="MKO30" t="str">
        <f t="shared" si="145"/>
        <v/>
      </c>
      <c r="MKP30" t="str">
        <f t="shared" si="145"/>
        <v/>
      </c>
      <c r="MKQ30" t="str">
        <f t="shared" si="145"/>
        <v/>
      </c>
      <c r="MKR30" t="str">
        <f t="shared" si="145"/>
        <v/>
      </c>
      <c r="MKS30" t="str">
        <f t="shared" si="145"/>
        <v/>
      </c>
      <c r="MKT30" t="str">
        <f t="shared" si="145"/>
        <v/>
      </c>
      <c r="MKU30" t="str">
        <f t="shared" si="145"/>
        <v/>
      </c>
      <c r="MKV30" t="str">
        <f t="shared" si="145"/>
        <v/>
      </c>
      <c r="MKW30" t="str">
        <f t="shared" si="145"/>
        <v/>
      </c>
      <c r="MKX30" t="str">
        <f t="shared" si="145"/>
        <v/>
      </c>
      <c r="MKY30" t="str">
        <f t="shared" si="145"/>
        <v/>
      </c>
      <c r="MKZ30" t="str">
        <f t="shared" si="145"/>
        <v/>
      </c>
      <c r="MLA30" t="str">
        <f t="shared" si="145"/>
        <v/>
      </c>
      <c r="MLB30" t="str">
        <f t="shared" si="145"/>
        <v/>
      </c>
      <c r="MLC30" t="str">
        <f t="shared" si="145"/>
        <v/>
      </c>
      <c r="MLD30" t="str">
        <f t="shared" ref="MLD30:MNO30" si="146">TRIM(MLP11)</f>
        <v/>
      </c>
      <c r="MLE30" t="str">
        <f t="shared" si="146"/>
        <v/>
      </c>
      <c r="MLF30" t="str">
        <f t="shared" si="146"/>
        <v/>
      </c>
      <c r="MLG30" t="str">
        <f t="shared" si="146"/>
        <v/>
      </c>
      <c r="MLH30" t="str">
        <f t="shared" si="146"/>
        <v/>
      </c>
      <c r="MLI30" t="str">
        <f t="shared" si="146"/>
        <v/>
      </c>
      <c r="MLJ30" t="str">
        <f t="shared" si="146"/>
        <v/>
      </c>
      <c r="MLK30" t="str">
        <f t="shared" si="146"/>
        <v/>
      </c>
      <c r="MLL30" t="str">
        <f t="shared" si="146"/>
        <v/>
      </c>
      <c r="MLM30" t="str">
        <f t="shared" si="146"/>
        <v/>
      </c>
      <c r="MLN30" t="str">
        <f t="shared" si="146"/>
        <v/>
      </c>
      <c r="MLO30" t="str">
        <f t="shared" si="146"/>
        <v/>
      </c>
      <c r="MLP30" t="str">
        <f t="shared" si="146"/>
        <v/>
      </c>
      <c r="MLQ30" t="str">
        <f t="shared" si="146"/>
        <v/>
      </c>
      <c r="MLR30" t="str">
        <f t="shared" si="146"/>
        <v/>
      </c>
      <c r="MLS30" t="str">
        <f t="shared" si="146"/>
        <v/>
      </c>
      <c r="MLT30" t="str">
        <f t="shared" si="146"/>
        <v/>
      </c>
      <c r="MLU30" t="str">
        <f t="shared" si="146"/>
        <v/>
      </c>
      <c r="MLV30" t="str">
        <f t="shared" si="146"/>
        <v/>
      </c>
      <c r="MLW30" t="str">
        <f t="shared" si="146"/>
        <v/>
      </c>
      <c r="MLX30" t="str">
        <f t="shared" si="146"/>
        <v/>
      </c>
      <c r="MLY30" t="str">
        <f t="shared" si="146"/>
        <v/>
      </c>
      <c r="MLZ30" t="str">
        <f t="shared" si="146"/>
        <v/>
      </c>
      <c r="MMA30" t="str">
        <f t="shared" si="146"/>
        <v/>
      </c>
      <c r="MMB30" t="str">
        <f t="shared" si="146"/>
        <v/>
      </c>
      <c r="MMC30" t="str">
        <f t="shared" si="146"/>
        <v/>
      </c>
      <c r="MMD30" t="str">
        <f t="shared" si="146"/>
        <v/>
      </c>
      <c r="MME30" t="str">
        <f t="shared" si="146"/>
        <v/>
      </c>
      <c r="MMF30" t="str">
        <f t="shared" si="146"/>
        <v/>
      </c>
      <c r="MMG30" t="str">
        <f t="shared" si="146"/>
        <v/>
      </c>
      <c r="MMH30" t="str">
        <f t="shared" si="146"/>
        <v/>
      </c>
      <c r="MMI30" t="str">
        <f t="shared" si="146"/>
        <v/>
      </c>
      <c r="MMJ30" t="str">
        <f t="shared" si="146"/>
        <v/>
      </c>
      <c r="MMK30" t="str">
        <f t="shared" si="146"/>
        <v/>
      </c>
      <c r="MML30" t="str">
        <f t="shared" si="146"/>
        <v/>
      </c>
      <c r="MMM30" t="str">
        <f t="shared" si="146"/>
        <v/>
      </c>
      <c r="MMN30" t="str">
        <f t="shared" si="146"/>
        <v/>
      </c>
      <c r="MMO30" t="str">
        <f t="shared" si="146"/>
        <v/>
      </c>
      <c r="MMP30" t="str">
        <f t="shared" si="146"/>
        <v/>
      </c>
      <c r="MMQ30" t="str">
        <f t="shared" si="146"/>
        <v/>
      </c>
      <c r="MMR30" t="str">
        <f t="shared" si="146"/>
        <v/>
      </c>
      <c r="MMS30" t="str">
        <f t="shared" si="146"/>
        <v/>
      </c>
      <c r="MMT30" t="str">
        <f t="shared" si="146"/>
        <v/>
      </c>
      <c r="MMU30" t="str">
        <f t="shared" si="146"/>
        <v/>
      </c>
      <c r="MMV30" t="str">
        <f t="shared" si="146"/>
        <v/>
      </c>
      <c r="MMW30" t="str">
        <f t="shared" si="146"/>
        <v/>
      </c>
      <c r="MMX30" t="str">
        <f t="shared" si="146"/>
        <v/>
      </c>
      <c r="MMY30" t="str">
        <f t="shared" si="146"/>
        <v/>
      </c>
      <c r="MMZ30" t="str">
        <f t="shared" si="146"/>
        <v/>
      </c>
      <c r="MNA30" t="str">
        <f t="shared" si="146"/>
        <v/>
      </c>
      <c r="MNB30" t="str">
        <f t="shared" si="146"/>
        <v/>
      </c>
      <c r="MNC30" t="str">
        <f t="shared" si="146"/>
        <v/>
      </c>
      <c r="MND30" t="str">
        <f t="shared" si="146"/>
        <v/>
      </c>
      <c r="MNE30" t="str">
        <f t="shared" si="146"/>
        <v/>
      </c>
      <c r="MNF30" t="str">
        <f t="shared" si="146"/>
        <v/>
      </c>
      <c r="MNG30" t="str">
        <f t="shared" si="146"/>
        <v/>
      </c>
      <c r="MNH30" t="str">
        <f t="shared" si="146"/>
        <v/>
      </c>
      <c r="MNI30" t="str">
        <f t="shared" si="146"/>
        <v/>
      </c>
      <c r="MNJ30" t="str">
        <f t="shared" si="146"/>
        <v/>
      </c>
      <c r="MNK30" t="str">
        <f t="shared" si="146"/>
        <v/>
      </c>
      <c r="MNL30" t="str">
        <f t="shared" si="146"/>
        <v/>
      </c>
      <c r="MNM30" t="str">
        <f t="shared" si="146"/>
        <v/>
      </c>
      <c r="MNN30" t="str">
        <f t="shared" si="146"/>
        <v/>
      </c>
      <c r="MNO30" t="str">
        <f t="shared" si="146"/>
        <v/>
      </c>
      <c r="MNP30" t="str">
        <f t="shared" ref="MNP30:MQA30" si="147">TRIM(MOB11)</f>
        <v/>
      </c>
      <c r="MNQ30" t="str">
        <f t="shared" si="147"/>
        <v/>
      </c>
      <c r="MNR30" t="str">
        <f t="shared" si="147"/>
        <v/>
      </c>
      <c r="MNS30" t="str">
        <f t="shared" si="147"/>
        <v/>
      </c>
      <c r="MNT30" t="str">
        <f t="shared" si="147"/>
        <v/>
      </c>
      <c r="MNU30" t="str">
        <f t="shared" si="147"/>
        <v/>
      </c>
      <c r="MNV30" t="str">
        <f t="shared" si="147"/>
        <v/>
      </c>
      <c r="MNW30" t="str">
        <f t="shared" si="147"/>
        <v/>
      </c>
      <c r="MNX30" t="str">
        <f t="shared" si="147"/>
        <v/>
      </c>
      <c r="MNY30" t="str">
        <f t="shared" si="147"/>
        <v/>
      </c>
      <c r="MNZ30" t="str">
        <f t="shared" si="147"/>
        <v/>
      </c>
      <c r="MOA30" t="str">
        <f t="shared" si="147"/>
        <v/>
      </c>
      <c r="MOB30" t="str">
        <f t="shared" si="147"/>
        <v/>
      </c>
      <c r="MOC30" t="str">
        <f t="shared" si="147"/>
        <v/>
      </c>
      <c r="MOD30" t="str">
        <f t="shared" si="147"/>
        <v/>
      </c>
      <c r="MOE30" t="str">
        <f t="shared" si="147"/>
        <v/>
      </c>
      <c r="MOF30" t="str">
        <f t="shared" si="147"/>
        <v/>
      </c>
      <c r="MOG30" t="str">
        <f t="shared" si="147"/>
        <v/>
      </c>
      <c r="MOH30" t="str">
        <f t="shared" si="147"/>
        <v/>
      </c>
      <c r="MOI30" t="str">
        <f t="shared" si="147"/>
        <v/>
      </c>
      <c r="MOJ30" t="str">
        <f t="shared" si="147"/>
        <v/>
      </c>
      <c r="MOK30" t="str">
        <f t="shared" si="147"/>
        <v/>
      </c>
      <c r="MOL30" t="str">
        <f t="shared" si="147"/>
        <v/>
      </c>
      <c r="MOM30" t="str">
        <f t="shared" si="147"/>
        <v/>
      </c>
      <c r="MON30" t="str">
        <f t="shared" si="147"/>
        <v/>
      </c>
      <c r="MOO30" t="str">
        <f t="shared" si="147"/>
        <v/>
      </c>
      <c r="MOP30" t="str">
        <f t="shared" si="147"/>
        <v/>
      </c>
      <c r="MOQ30" t="str">
        <f t="shared" si="147"/>
        <v/>
      </c>
      <c r="MOR30" t="str">
        <f t="shared" si="147"/>
        <v/>
      </c>
      <c r="MOS30" t="str">
        <f t="shared" si="147"/>
        <v/>
      </c>
      <c r="MOT30" t="str">
        <f t="shared" si="147"/>
        <v/>
      </c>
      <c r="MOU30" t="str">
        <f t="shared" si="147"/>
        <v/>
      </c>
      <c r="MOV30" t="str">
        <f t="shared" si="147"/>
        <v/>
      </c>
      <c r="MOW30" t="str">
        <f t="shared" si="147"/>
        <v/>
      </c>
      <c r="MOX30" t="str">
        <f t="shared" si="147"/>
        <v/>
      </c>
      <c r="MOY30" t="str">
        <f t="shared" si="147"/>
        <v/>
      </c>
      <c r="MOZ30" t="str">
        <f t="shared" si="147"/>
        <v/>
      </c>
      <c r="MPA30" t="str">
        <f t="shared" si="147"/>
        <v/>
      </c>
      <c r="MPB30" t="str">
        <f t="shared" si="147"/>
        <v/>
      </c>
      <c r="MPC30" t="str">
        <f t="shared" si="147"/>
        <v/>
      </c>
      <c r="MPD30" t="str">
        <f t="shared" si="147"/>
        <v/>
      </c>
      <c r="MPE30" t="str">
        <f t="shared" si="147"/>
        <v/>
      </c>
      <c r="MPF30" t="str">
        <f t="shared" si="147"/>
        <v/>
      </c>
      <c r="MPG30" t="str">
        <f t="shared" si="147"/>
        <v/>
      </c>
      <c r="MPH30" t="str">
        <f t="shared" si="147"/>
        <v/>
      </c>
      <c r="MPI30" t="str">
        <f t="shared" si="147"/>
        <v/>
      </c>
      <c r="MPJ30" t="str">
        <f t="shared" si="147"/>
        <v/>
      </c>
      <c r="MPK30" t="str">
        <f t="shared" si="147"/>
        <v/>
      </c>
      <c r="MPL30" t="str">
        <f t="shared" si="147"/>
        <v/>
      </c>
      <c r="MPM30" t="str">
        <f t="shared" si="147"/>
        <v/>
      </c>
      <c r="MPN30" t="str">
        <f t="shared" si="147"/>
        <v/>
      </c>
      <c r="MPO30" t="str">
        <f t="shared" si="147"/>
        <v/>
      </c>
      <c r="MPP30" t="str">
        <f t="shared" si="147"/>
        <v/>
      </c>
      <c r="MPQ30" t="str">
        <f t="shared" si="147"/>
        <v/>
      </c>
      <c r="MPR30" t="str">
        <f t="shared" si="147"/>
        <v/>
      </c>
      <c r="MPS30" t="str">
        <f t="shared" si="147"/>
        <v/>
      </c>
      <c r="MPT30" t="str">
        <f t="shared" si="147"/>
        <v/>
      </c>
      <c r="MPU30" t="str">
        <f t="shared" si="147"/>
        <v/>
      </c>
      <c r="MPV30" t="str">
        <f t="shared" si="147"/>
        <v/>
      </c>
      <c r="MPW30" t="str">
        <f t="shared" si="147"/>
        <v/>
      </c>
      <c r="MPX30" t="str">
        <f t="shared" si="147"/>
        <v/>
      </c>
      <c r="MPY30" t="str">
        <f t="shared" si="147"/>
        <v/>
      </c>
      <c r="MPZ30" t="str">
        <f t="shared" si="147"/>
        <v/>
      </c>
      <c r="MQA30" t="str">
        <f t="shared" si="147"/>
        <v/>
      </c>
      <c r="MQB30" t="str">
        <f t="shared" ref="MQB30:MSM30" si="148">TRIM(MQN11)</f>
        <v/>
      </c>
      <c r="MQC30" t="str">
        <f t="shared" si="148"/>
        <v/>
      </c>
      <c r="MQD30" t="str">
        <f t="shared" si="148"/>
        <v/>
      </c>
      <c r="MQE30" t="str">
        <f t="shared" si="148"/>
        <v/>
      </c>
      <c r="MQF30" t="str">
        <f t="shared" si="148"/>
        <v/>
      </c>
      <c r="MQG30" t="str">
        <f t="shared" si="148"/>
        <v/>
      </c>
      <c r="MQH30" t="str">
        <f t="shared" si="148"/>
        <v/>
      </c>
      <c r="MQI30" t="str">
        <f t="shared" si="148"/>
        <v/>
      </c>
      <c r="MQJ30" t="str">
        <f t="shared" si="148"/>
        <v/>
      </c>
      <c r="MQK30" t="str">
        <f t="shared" si="148"/>
        <v/>
      </c>
      <c r="MQL30" t="str">
        <f t="shared" si="148"/>
        <v/>
      </c>
      <c r="MQM30" t="str">
        <f t="shared" si="148"/>
        <v/>
      </c>
      <c r="MQN30" t="str">
        <f t="shared" si="148"/>
        <v/>
      </c>
      <c r="MQO30" t="str">
        <f t="shared" si="148"/>
        <v/>
      </c>
      <c r="MQP30" t="str">
        <f t="shared" si="148"/>
        <v/>
      </c>
      <c r="MQQ30" t="str">
        <f t="shared" si="148"/>
        <v/>
      </c>
      <c r="MQR30" t="str">
        <f t="shared" si="148"/>
        <v/>
      </c>
      <c r="MQS30" t="str">
        <f t="shared" si="148"/>
        <v/>
      </c>
      <c r="MQT30" t="str">
        <f t="shared" si="148"/>
        <v/>
      </c>
      <c r="MQU30" t="str">
        <f t="shared" si="148"/>
        <v/>
      </c>
      <c r="MQV30" t="str">
        <f t="shared" si="148"/>
        <v/>
      </c>
      <c r="MQW30" t="str">
        <f t="shared" si="148"/>
        <v/>
      </c>
      <c r="MQX30" t="str">
        <f t="shared" si="148"/>
        <v/>
      </c>
      <c r="MQY30" t="str">
        <f t="shared" si="148"/>
        <v/>
      </c>
      <c r="MQZ30" t="str">
        <f t="shared" si="148"/>
        <v/>
      </c>
      <c r="MRA30" t="str">
        <f t="shared" si="148"/>
        <v/>
      </c>
      <c r="MRB30" t="str">
        <f t="shared" si="148"/>
        <v/>
      </c>
      <c r="MRC30" t="str">
        <f t="shared" si="148"/>
        <v/>
      </c>
      <c r="MRD30" t="str">
        <f t="shared" si="148"/>
        <v/>
      </c>
      <c r="MRE30" t="str">
        <f t="shared" si="148"/>
        <v/>
      </c>
      <c r="MRF30" t="str">
        <f t="shared" si="148"/>
        <v/>
      </c>
      <c r="MRG30" t="str">
        <f t="shared" si="148"/>
        <v/>
      </c>
      <c r="MRH30" t="str">
        <f t="shared" si="148"/>
        <v/>
      </c>
      <c r="MRI30" t="str">
        <f t="shared" si="148"/>
        <v/>
      </c>
      <c r="MRJ30" t="str">
        <f t="shared" si="148"/>
        <v/>
      </c>
      <c r="MRK30" t="str">
        <f t="shared" si="148"/>
        <v/>
      </c>
      <c r="MRL30" t="str">
        <f t="shared" si="148"/>
        <v/>
      </c>
      <c r="MRM30" t="str">
        <f t="shared" si="148"/>
        <v/>
      </c>
      <c r="MRN30" t="str">
        <f t="shared" si="148"/>
        <v/>
      </c>
      <c r="MRO30" t="str">
        <f t="shared" si="148"/>
        <v/>
      </c>
      <c r="MRP30" t="str">
        <f t="shared" si="148"/>
        <v/>
      </c>
      <c r="MRQ30" t="str">
        <f t="shared" si="148"/>
        <v/>
      </c>
      <c r="MRR30" t="str">
        <f t="shared" si="148"/>
        <v/>
      </c>
      <c r="MRS30" t="str">
        <f t="shared" si="148"/>
        <v/>
      </c>
      <c r="MRT30" t="str">
        <f t="shared" si="148"/>
        <v/>
      </c>
      <c r="MRU30" t="str">
        <f t="shared" si="148"/>
        <v/>
      </c>
      <c r="MRV30" t="str">
        <f t="shared" si="148"/>
        <v/>
      </c>
      <c r="MRW30" t="str">
        <f t="shared" si="148"/>
        <v/>
      </c>
      <c r="MRX30" t="str">
        <f t="shared" si="148"/>
        <v/>
      </c>
      <c r="MRY30" t="str">
        <f t="shared" si="148"/>
        <v/>
      </c>
      <c r="MRZ30" t="str">
        <f t="shared" si="148"/>
        <v/>
      </c>
      <c r="MSA30" t="str">
        <f t="shared" si="148"/>
        <v/>
      </c>
      <c r="MSB30" t="str">
        <f t="shared" si="148"/>
        <v/>
      </c>
      <c r="MSC30" t="str">
        <f t="shared" si="148"/>
        <v/>
      </c>
      <c r="MSD30" t="str">
        <f t="shared" si="148"/>
        <v/>
      </c>
      <c r="MSE30" t="str">
        <f t="shared" si="148"/>
        <v/>
      </c>
      <c r="MSF30" t="str">
        <f t="shared" si="148"/>
        <v/>
      </c>
      <c r="MSG30" t="str">
        <f t="shared" si="148"/>
        <v/>
      </c>
      <c r="MSH30" t="str">
        <f t="shared" si="148"/>
        <v/>
      </c>
      <c r="MSI30" t="str">
        <f t="shared" si="148"/>
        <v/>
      </c>
      <c r="MSJ30" t="str">
        <f t="shared" si="148"/>
        <v/>
      </c>
      <c r="MSK30" t="str">
        <f t="shared" si="148"/>
        <v/>
      </c>
      <c r="MSL30" t="str">
        <f t="shared" si="148"/>
        <v/>
      </c>
      <c r="MSM30" t="str">
        <f t="shared" si="148"/>
        <v/>
      </c>
      <c r="MSN30" t="str">
        <f t="shared" ref="MSN30:MUY30" si="149">TRIM(MSZ11)</f>
        <v/>
      </c>
      <c r="MSO30" t="str">
        <f t="shared" si="149"/>
        <v/>
      </c>
      <c r="MSP30" t="str">
        <f t="shared" si="149"/>
        <v/>
      </c>
      <c r="MSQ30" t="str">
        <f t="shared" si="149"/>
        <v/>
      </c>
      <c r="MSR30" t="str">
        <f t="shared" si="149"/>
        <v/>
      </c>
      <c r="MSS30" t="str">
        <f t="shared" si="149"/>
        <v/>
      </c>
      <c r="MST30" t="str">
        <f t="shared" si="149"/>
        <v/>
      </c>
      <c r="MSU30" t="str">
        <f t="shared" si="149"/>
        <v/>
      </c>
      <c r="MSV30" t="str">
        <f t="shared" si="149"/>
        <v/>
      </c>
      <c r="MSW30" t="str">
        <f t="shared" si="149"/>
        <v/>
      </c>
      <c r="MSX30" t="str">
        <f t="shared" si="149"/>
        <v/>
      </c>
      <c r="MSY30" t="str">
        <f t="shared" si="149"/>
        <v/>
      </c>
      <c r="MSZ30" t="str">
        <f t="shared" si="149"/>
        <v/>
      </c>
      <c r="MTA30" t="str">
        <f t="shared" si="149"/>
        <v/>
      </c>
      <c r="MTB30" t="str">
        <f t="shared" si="149"/>
        <v/>
      </c>
      <c r="MTC30" t="str">
        <f t="shared" si="149"/>
        <v/>
      </c>
      <c r="MTD30" t="str">
        <f t="shared" si="149"/>
        <v/>
      </c>
      <c r="MTE30" t="str">
        <f t="shared" si="149"/>
        <v/>
      </c>
      <c r="MTF30" t="str">
        <f t="shared" si="149"/>
        <v/>
      </c>
      <c r="MTG30" t="str">
        <f t="shared" si="149"/>
        <v/>
      </c>
      <c r="MTH30" t="str">
        <f t="shared" si="149"/>
        <v/>
      </c>
      <c r="MTI30" t="str">
        <f t="shared" si="149"/>
        <v/>
      </c>
      <c r="MTJ30" t="str">
        <f t="shared" si="149"/>
        <v/>
      </c>
      <c r="MTK30" t="str">
        <f t="shared" si="149"/>
        <v/>
      </c>
      <c r="MTL30" t="str">
        <f t="shared" si="149"/>
        <v/>
      </c>
      <c r="MTM30" t="str">
        <f t="shared" si="149"/>
        <v/>
      </c>
      <c r="MTN30" t="str">
        <f t="shared" si="149"/>
        <v/>
      </c>
      <c r="MTO30" t="str">
        <f t="shared" si="149"/>
        <v/>
      </c>
      <c r="MTP30" t="str">
        <f t="shared" si="149"/>
        <v/>
      </c>
      <c r="MTQ30" t="str">
        <f t="shared" si="149"/>
        <v/>
      </c>
      <c r="MTR30" t="str">
        <f t="shared" si="149"/>
        <v/>
      </c>
      <c r="MTS30" t="str">
        <f t="shared" si="149"/>
        <v/>
      </c>
      <c r="MTT30" t="str">
        <f t="shared" si="149"/>
        <v/>
      </c>
      <c r="MTU30" t="str">
        <f t="shared" si="149"/>
        <v/>
      </c>
      <c r="MTV30" t="str">
        <f t="shared" si="149"/>
        <v/>
      </c>
      <c r="MTW30" t="str">
        <f t="shared" si="149"/>
        <v/>
      </c>
      <c r="MTX30" t="str">
        <f t="shared" si="149"/>
        <v/>
      </c>
      <c r="MTY30" t="str">
        <f t="shared" si="149"/>
        <v/>
      </c>
      <c r="MTZ30" t="str">
        <f t="shared" si="149"/>
        <v/>
      </c>
      <c r="MUA30" t="str">
        <f t="shared" si="149"/>
        <v/>
      </c>
      <c r="MUB30" t="str">
        <f t="shared" si="149"/>
        <v/>
      </c>
      <c r="MUC30" t="str">
        <f t="shared" si="149"/>
        <v/>
      </c>
      <c r="MUD30" t="str">
        <f t="shared" si="149"/>
        <v/>
      </c>
      <c r="MUE30" t="str">
        <f t="shared" si="149"/>
        <v/>
      </c>
      <c r="MUF30" t="str">
        <f t="shared" si="149"/>
        <v/>
      </c>
      <c r="MUG30" t="str">
        <f t="shared" si="149"/>
        <v/>
      </c>
      <c r="MUH30" t="str">
        <f t="shared" si="149"/>
        <v/>
      </c>
      <c r="MUI30" t="str">
        <f t="shared" si="149"/>
        <v/>
      </c>
      <c r="MUJ30" t="str">
        <f t="shared" si="149"/>
        <v/>
      </c>
      <c r="MUK30" t="str">
        <f t="shared" si="149"/>
        <v/>
      </c>
      <c r="MUL30" t="str">
        <f t="shared" si="149"/>
        <v/>
      </c>
      <c r="MUM30" t="str">
        <f t="shared" si="149"/>
        <v/>
      </c>
      <c r="MUN30" t="str">
        <f t="shared" si="149"/>
        <v/>
      </c>
      <c r="MUO30" t="str">
        <f t="shared" si="149"/>
        <v/>
      </c>
      <c r="MUP30" t="str">
        <f t="shared" si="149"/>
        <v/>
      </c>
      <c r="MUQ30" t="str">
        <f t="shared" si="149"/>
        <v/>
      </c>
      <c r="MUR30" t="str">
        <f t="shared" si="149"/>
        <v/>
      </c>
      <c r="MUS30" t="str">
        <f t="shared" si="149"/>
        <v/>
      </c>
      <c r="MUT30" t="str">
        <f t="shared" si="149"/>
        <v/>
      </c>
      <c r="MUU30" t="str">
        <f t="shared" si="149"/>
        <v/>
      </c>
      <c r="MUV30" t="str">
        <f t="shared" si="149"/>
        <v/>
      </c>
      <c r="MUW30" t="str">
        <f t="shared" si="149"/>
        <v/>
      </c>
      <c r="MUX30" t="str">
        <f t="shared" si="149"/>
        <v/>
      </c>
      <c r="MUY30" t="str">
        <f t="shared" si="149"/>
        <v/>
      </c>
      <c r="MUZ30" t="str">
        <f t="shared" ref="MUZ30:MXK30" si="150">TRIM(MVL11)</f>
        <v/>
      </c>
      <c r="MVA30" t="str">
        <f t="shared" si="150"/>
        <v/>
      </c>
      <c r="MVB30" t="str">
        <f t="shared" si="150"/>
        <v/>
      </c>
      <c r="MVC30" t="str">
        <f t="shared" si="150"/>
        <v/>
      </c>
      <c r="MVD30" t="str">
        <f t="shared" si="150"/>
        <v/>
      </c>
      <c r="MVE30" t="str">
        <f t="shared" si="150"/>
        <v/>
      </c>
      <c r="MVF30" t="str">
        <f t="shared" si="150"/>
        <v/>
      </c>
      <c r="MVG30" t="str">
        <f t="shared" si="150"/>
        <v/>
      </c>
      <c r="MVH30" t="str">
        <f t="shared" si="150"/>
        <v/>
      </c>
      <c r="MVI30" t="str">
        <f t="shared" si="150"/>
        <v/>
      </c>
      <c r="MVJ30" t="str">
        <f t="shared" si="150"/>
        <v/>
      </c>
      <c r="MVK30" t="str">
        <f t="shared" si="150"/>
        <v/>
      </c>
      <c r="MVL30" t="str">
        <f t="shared" si="150"/>
        <v/>
      </c>
      <c r="MVM30" t="str">
        <f t="shared" si="150"/>
        <v/>
      </c>
      <c r="MVN30" t="str">
        <f t="shared" si="150"/>
        <v/>
      </c>
      <c r="MVO30" t="str">
        <f t="shared" si="150"/>
        <v/>
      </c>
      <c r="MVP30" t="str">
        <f t="shared" si="150"/>
        <v/>
      </c>
      <c r="MVQ30" t="str">
        <f t="shared" si="150"/>
        <v/>
      </c>
      <c r="MVR30" t="str">
        <f t="shared" si="150"/>
        <v/>
      </c>
      <c r="MVS30" t="str">
        <f t="shared" si="150"/>
        <v/>
      </c>
      <c r="MVT30" t="str">
        <f t="shared" si="150"/>
        <v/>
      </c>
      <c r="MVU30" t="str">
        <f t="shared" si="150"/>
        <v/>
      </c>
      <c r="MVV30" t="str">
        <f t="shared" si="150"/>
        <v/>
      </c>
      <c r="MVW30" t="str">
        <f t="shared" si="150"/>
        <v/>
      </c>
      <c r="MVX30" t="str">
        <f t="shared" si="150"/>
        <v/>
      </c>
      <c r="MVY30" t="str">
        <f t="shared" si="150"/>
        <v/>
      </c>
      <c r="MVZ30" t="str">
        <f t="shared" si="150"/>
        <v/>
      </c>
      <c r="MWA30" t="str">
        <f t="shared" si="150"/>
        <v/>
      </c>
      <c r="MWB30" t="str">
        <f t="shared" si="150"/>
        <v/>
      </c>
      <c r="MWC30" t="str">
        <f t="shared" si="150"/>
        <v/>
      </c>
      <c r="MWD30" t="str">
        <f t="shared" si="150"/>
        <v/>
      </c>
      <c r="MWE30" t="str">
        <f t="shared" si="150"/>
        <v/>
      </c>
      <c r="MWF30" t="str">
        <f t="shared" si="150"/>
        <v/>
      </c>
      <c r="MWG30" t="str">
        <f t="shared" si="150"/>
        <v/>
      </c>
      <c r="MWH30" t="str">
        <f t="shared" si="150"/>
        <v/>
      </c>
      <c r="MWI30" t="str">
        <f t="shared" si="150"/>
        <v/>
      </c>
      <c r="MWJ30" t="str">
        <f t="shared" si="150"/>
        <v/>
      </c>
      <c r="MWK30" t="str">
        <f t="shared" si="150"/>
        <v/>
      </c>
      <c r="MWL30" t="str">
        <f t="shared" si="150"/>
        <v/>
      </c>
      <c r="MWM30" t="str">
        <f t="shared" si="150"/>
        <v/>
      </c>
      <c r="MWN30" t="str">
        <f t="shared" si="150"/>
        <v/>
      </c>
      <c r="MWO30" t="str">
        <f t="shared" si="150"/>
        <v/>
      </c>
      <c r="MWP30" t="str">
        <f t="shared" si="150"/>
        <v/>
      </c>
      <c r="MWQ30" t="str">
        <f t="shared" si="150"/>
        <v/>
      </c>
      <c r="MWR30" t="str">
        <f t="shared" si="150"/>
        <v/>
      </c>
      <c r="MWS30" t="str">
        <f t="shared" si="150"/>
        <v/>
      </c>
      <c r="MWT30" t="str">
        <f t="shared" si="150"/>
        <v/>
      </c>
      <c r="MWU30" t="str">
        <f t="shared" si="150"/>
        <v/>
      </c>
      <c r="MWV30" t="str">
        <f t="shared" si="150"/>
        <v/>
      </c>
      <c r="MWW30" t="str">
        <f t="shared" si="150"/>
        <v/>
      </c>
      <c r="MWX30" t="str">
        <f t="shared" si="150"/>
        <v/>
      </c>
      <c r="MWY30" t="str">
        <f t="shared" si="150"/>
        <v/>
      </c>
      <c r="MWZ30" t="str">
        <f t="shared" si="150"/>
        <v/>
      </c>
      <c r="MXA30" t="str">
        <f t="shared" si="150"/>
        <v/>
      </c>
      <c r="MXB30" t="str">
        <f t="shared" si="150"/>
        <v/>
      </c>
      <c r="MXC30" t="str">
        <f t="shared" si="150"/>
        <v/>
      </c>
      <c r="MXD30" t="str">
        <f t="shared" si="150"/>
        <v/>
      </c>
      <c r="MXE30" t="str">
        <f t="shared" si="150"/>
        <v/>
      </c>
      <c r="MXF30" t="str">
        <f t="shared" si="150"/>
        <v/>
      </c>
      <c r="MXG30" t="str">
        <f t="shared" si="150"/>
        <v/>
      </c>
      <c r="MXH30" t="str">
        <f t="shared" si="150"/>
        <v/>
      </c>
      <c r="MXI30" t="str">
        <f t="shared" si="150"/>
        <v/>
      </c>
      <c r="MXJ30" t="str">
        <f t="shared" si="150"/>
        <v/>
      </c>
      <c r="MXK30" t="str">
        <f t="shared" si="150"/>
        <v/>
      </c>
      <c r="MXL30" t="str">
        <f t="shared" ref="MXL30:MZW30" si="151">TRIM(MXX11)</f>
        <v/>
      </c>
      <c r="MXM30" t="str">
        <f t="shared" si="151"/>
        <v/>
      </c>
      <c r="MXN30" t="str">
        <f t="shared" si="151"/>
        <v/>
      </c>
      <c r="MXO30" t="str">
        <f t="shared" si="151"/>
        <v/>
      </c>
      <c r="MXP30" t="str">
        <f t="shared" si="151"/>
        <v/>
      </c>
      <c r="MXQ30" t="str">
        <f t="shared" si="151"/>
        <v/>
      </c>
      <c r="MXR30" t="str">
        <f t="shared" si="151"/>
        <v/>
      </c>
      <c r="MXS30" t="str">
        <f t="shared" si="151"/>
        <v/>
      </c>
      <c r="MXT30" t="str">
        <f t="shared" si="151"/>
        <v/>
      </c>
      <c r="MXU30" t="str">
        <f t="shared" si="151"/>
        <v/>
      </c>
      <c r="MXV30" t="str">
        <f t="shared" si="151"/>
        <v/>
      </c>
      <c r="MXW30" t="str">
        <f t="shared" si="151"/>
        <v/>
      </c>
      <c r="MXX30" t="str">
        <f t="shared" si="151"/>
        <v/>
      </c>
      <c r="MXY30" t="str">
        <f t="shared" si="151"/>
        <v/>
      </c>
      <c r="MXZ30" t="str">
        <f t="shared" si="151"/>
        <v/>
      </c>
      <c r="MYA30" t="str">
        <f t="shared" si="151"/>
        <v/>
      </c>
      <c r="MYB30" t="str">
        <f t="shared" si="151"/>
        <v/>
      </c>
      <c r="MYC30" t="str">
        <f t="shared" si="151"/>
        <v/>
      </c>
      <c r="MYD30" t="str">
        <f t="shared" si="151"/>
        <v/>
      </c>
      <c r="MYE30" t="str">
        <f t="shared" si="151"/>
        <v/>
      </c>
      <c r="MYF30" t="str">
        <f t="shared" si="151"/>
        <v/>
      </c>
      <c r="MYG30" t="str">
        <f t="shared" si="151"/>
        <v/>
      </c>
      <c r="MYH30" t="str">
        <f t="shared" si="151"/>
        <v/>
      </c>
      <c r="MYI30" t="str">
        <f t="shared" si="151"/>
        <v/>
      </c>
      <c r="MYJ30" t="str">
        <f t="shared" si="151"/>
        <v/>
      </c>
      <c r="MYK30" t="str">
        <f t="shared" si="151"/>
        <v/>
      </c>
      <c r="MYL30" t="str">
        <f t="shared" si="151"/>
        <v/>
      </c>
      <c r="MYM30" t="str">
        <f t="shared" si="151"/>
        <v/>
      </c>
      <c r="MYN30" t="str">
        <f t="shared" si="151"/>
        <v/>
      </c>
      <c r="MYO30" t="str">
        <f t="shared" si="151"/>
        <v/>
      </c>
      <c r="MYP30" t="str">
        <f t="shared" si="151"/>
        <v/>
      </c>
      <c r="MYQ30" t="str">
        <f t="shared" si="151"/>
        <v/>
      </c>
      <c r="MYR30" t="str">
        <f t="shared" si="151"/>
        <v/>
      </c>
      <c r="MYS30" t="str">
        <f t="shared" si="151"/>
        <v/>
      </c>
      <c r="MYT30" t="str">
        <f t="shared" si="151"/>
        <v/>
      </c>
      <c r="MYU30" t="str">
        <f t="shared" si="151"/>
        <v/>
      </c>
      <c r="MYV30" t="str">
        <f t="shared" si="151"/>
        <v/>
      </c>
      <c r="MYW30" t="str">
        <f t="shared" si="151"/>
        <v/>
      </c>
      <c r="MYX30" t="str">
        <f t="shared" si="151"/>
        <v/>
      </c>
      <c r="MYY30" t="str">
        <f t="shared" si="151"/>
        <v/>
      </c>
      <c r="MYZ30" t="str">
        <f t="shared" si="151"/>
        <v/>
      </c>
      <c r="MZA30" t="str">
        <f t="shared" si="151"/>
        <v/>
      </c>
      <c r="MZB30" t="str">
        <f t="shared" si="151"/>
        <v/>
      </c>
      <c r="MZC30" t="str">
        <f t="shared" si="151"/>
        <v/>
      </c>
      <c r="MZD30" t="str">
        <f t="shared" si="151"/>
        <v/>
      </c>
      <c r="MZE30" t="str">
        <f t="shared" si="151"/>
        <v/>
      </c>
      <c r="MZF30" t="str">
        <f t="shared" si="151"/>
        <v/>
      </c>
      <c r="MZG30" t="str">
        <f t="shared" si="151"/>
        <v/>
      </c>
      <c r="MZH30" t="str">
        <f t="shared" si="151"/>
        <v/>
      </c>
      <c r="MZI30" t="str">
        <f t="shared" si="151"/>
        <v/>
      </c>
      <c r="MZJ30" t="str">
        <f t="shared" si="151"/>
        <v/>
      </c>
      <c r="MZK30" t="str">
        <f t="shared" si="151"/>
        <v/>
      </c>
      <c r="MZL30" t="str">
        <f t="shared" si="151"/>
        <v/>
      </c>
      <c r="MZM30" t="str">
        <f t="shared" si="151"/>
        <v/>
      </c>
      <c r="MZN30" t="str">
        <f t="shared" si="151"/>
        <v/>
      </c>
      <c r="MZO30" t="str">
        <f t="shared" si="151"/>
        <v/>
      </c>
      <c r="MZP30" t="str">
        <f t="shared" si="151"/>
        <v/>
      </c>
      <c r="MZQ30" t="str">
        <f t="shared" si="151"/>
        <v/>
      </c>
      <c r="MZR30" t="str">
        <f t="shared" si="151"/>
        <v/>
      </c>
      <c r="MZS30" t="str">
        <f t="shared" si="151"/>
        <v/>
      </c>
      <c r="MZT30" t="str">
        <f t="shared" si="151"/>
        <v/>
      </c>
      <c r="MZU30" t="str">
        <f t="shared" si="151"/>
        <v/>
      </c>
      <c r="MZV30" t="str">
        <f t="shared" si="151"/>
        <v/>
      </c>
      <c r="MZW30" t="str">
        <f t="shared" si="151"/>
        <v/>
      </c>
      <c r="MZX30" t="str">
        <f t="shared" ref="MZX30:NCI30" si="152">TRIM(NAJ11)</f>
        <v/>
      </c>
      <c r="MZY30" t="str">
        <f t="shared" si="152"/>
        <v/>
      </c>
      <c r="MZZ30" t="str">
        <f t="shared" si="152"/>
        <v/>
      </c>
      <c r="NAA30" t="str">
        <f t="shared" si="152"/>
        <v/>
      </c>
      <c r="NAB30" t="str">
        <f t="shared" si="152"/>
        <v/>
      </c>
      <c r="NAC30" t="str">
        <f t="shared" si="152"/>
        <v/>
      </c>
      <c r="NAD30" t="str">
        <f t="shared" si="152"/>
        <v/>
      </c>
      <c r="NAE30" t="str">
        <f t="shared" si="152"/>
        <v/>
      </c>
      <c r="NAF30" t="str">
        <f t="shared" si="152"/>
        <v/>
      </c>
      <c r="NAG30" t="str">
        <f t="shared" si="152"/>
        <v/>
      </c>
      <c r="NAH30" t="str">
        <f t="shared" si="152"/>
        <v/>
      </c>
      <c r="NAI30" t="str">
        <f t="shared" si="152"/>
        <v/>
      </c>
      <c r="NAJ30" t="str">
        <f t="shared" si="152"/>
        <v/>
      </c>
      <c r="NAK30" t="str">
        <f t="shared" si="152"/>
        <v/>
      </c>
      <c r="NAL30" t="str">
        <f t="shared" si="152"/>
        <v/>
      </c>
      <c r="NAM30" t="str">
        <f t="shared" si="152"/>
        <v/>
      </c>
      <c r="NAN30" t="str">
        <f t="shared" si="152"/>
        <v/>
      </c>
      <c r="NAO30" t="str">
        <f t="shared" si="152"/>
        <v/>
      </c>
      <c r="NAP30" t="str">
        <f t="shared" si="152"/>
        <v/>
      </c>
      <c r="NAQ30" t="str">
        <f t="shared" si="152"/>
        <v/>
      </c>
      <c r="NAR30" t="str">
        <f t="shared" si="152"/>
        <v/>
      </c>
      <c r="NAS30" t="str">
        <f t="shared" si="152"/>
        <v/>
      </c>
      <c r="NAT30" t="str">
        <f t="shared" si="152"/>
        <v/>
      </c>
      <c r="NAU30" t="str">
        <f t="shared" si="152"/>
        <v/>
      </c>
      <c r="NAV30" t="str">
        <f t="shared" si="152"/>
        <v/>
      </c>
      <c r="NAW30" t="str">
        <f t="shared" si="152"/>
        <v/>
      </c>
      <c r="NAX30" t="str">
        <f t="shared" si="152"/>
        <v/>
      </c>
      <c r="NAY30" t="str">
        <f t="shared" si="152"/>
        <v/>
      </c>
      <c r="NAZ30" t="str">
        <f t="shared" si="152"/>
        <v/>
      </c>
      <c r="NBA30" t="str">
        <f t="shared" si="152"/>
        <v/>
      </c>
      <c r="NBB30" t="str">
        <f t="shared" si="152"/>
        <v/>
      </c>
      <c r="NBC30" t="str">
        <f t="shared" si="152"/>
        <v/>
      </c>
      <c r="NBD30" t="str">
        <f t="shared" si="152"/>
        <v/>
      </c>
      <c r="NBE30" t="str">
        <f t="shared" si="152"/>
        <v/>
      </c>
      <c r="NBF30" t="str">
        <f t="shared" si="152"/>
        <v/>
      </c>
      <c r="NBG30" t="str">
        <f t="shared" si="152"/>
        <v/>
      </c>
      <c r="NBH30" t="str">
        <f t="shared" si="152"/>
        <v/>
      </c>
      <c r="NBI30" t="str">
        <f t="shared" si="152"/>
        <v/>
      </c>
      <c r="NBJ30" t="str">
        <f t="shared" si="152"/>
        <v/>
      </c>
      <c r="NBK30" t="str">
        <f t="shared" si="152"/>
        <v/>
      </c>
      <c r="NBL30" t="str">
        <f t="shared" si="152"/>
        <v/>
      </c>
      <c r="NBM30" t="str">
        <f t="shared" si="152"/>
        <v/>
      </c>
      <c r="NBN30" t="str">
        <f t="shared" si="152"/>
        <v/>
      </c>
      <c r="NBO30" t="str">
        <f t="shared" si="152"/>
        <v/>
      </c>
      <c r="NBP30" t="str">
        <f t="shared" si="152"/>
        <v/>
      </c>
      <c r="NBQ30" t="str">
        <f t="shared" si="152"/>
        <v/>
      </c>
      <c r="NBR30" t="str">
        <f t="shared" si="152"/>
        <v/>
      </c>
      <c r="NBS30" t="str">
        <f t="shared" si="152"/>
        <v/>
      </c>
      <c r="NBT30" t="str">
        <f t="shared" si="152"/>
        <v/>
      </c>
      <c r="NBU30" t="str">
        <f t="shared" si="152"/>
        <v/>
      </c>
      <c r="NBV30" t="str">
        <f t="shared" si="152"/>
        <v/>
      </c>
      <c r="NBW30" t="str">
        <f t="shared" si="152"/>
        <v/>
      </c>
      <c r="NBX30" t="str">
        <f t="shared" si="152"/>
        <v/>
      </c>
      <c r="NBY30" t="str">
        <f t="shared" si="152"/>
        <v/>
      </c>
      <c r="NBZ30" t="str">
        <f t="shared" si="152"/>
        <v/>
      </c>
      <c r="NCA30" t="str">
        <f t="shared" si="152"/>
        <v/>
      </c>
      <c r="NCB30" t="str">
        <f t="shared" si="152"/>
        <v/>
      </c>
      <c r="NCC30" t="str">
        <f t="shared" si="152"/>
        <v/>
      </c>
      <c r="NCD30" t="str">
        <f t="shared" si="152"/>
        <v/>
      </c>
      <c r="NCE30" t="str">
        <f t="shared" si="152"/>
        <v/>
      </c>
      <c r="NCF30" t="str">
        <f t="shared" si="152"/>
        <v/>
      </c>
      <c r="NCG30" t="str">
        <f t="shared" si="152"/>
        <v/>
      </c>
      <c r="NCH30" t="str">
        <f t="shared" si="152"/>
        <v/>
      </c>
      <c r="NCI30" t="str">
        <f t="shared" si="152"/>
        <v/>
      </c>
      <c r="NCJ30" t="str">
        <f t="shared" ref="NCJ30:NEU30" si="153">TRIM(NCV11)</f>
        <v/>
      </c>
      <c r="NCK30" t="str">
        <f t="shared" si="153"/>
        <v/>
      </c>
      <c r="NCL30" t="str">
        <f t="shared" si="153"/>
        <v/>
      </c>
      <c r="NCM30" t="str">
        <f t="shared" si="153"/>
        <v/>
      </c>
      <c r="NCN30" t="str">
        <f t="shared" si="153"/>
        <v/>
      </c>
      <c r="NCO30" t="str">
        <f t="shared" si="153"/>
        <v/>
      </c>
      <c r="NCP30" t="str">
        <f t="shared" si="153"/>
        <v/>
      </c>
      <c r="NCQ30" t="str">
        <f t="shared" si="153"/>
        <v/>
      </c>
      <c r="NCR30" t="str">
        <f t="shared" si="153"/>
        <v/>
      </c>
      <c r="NCS30" t="str">
        <f t="shared" si="153"/>
        <v/>
      </c>
      <c r="NCT30" t="str">
        <f t="shared" si="153"/>
        <v/>
      </c>
      <c r="NCU30" t="str">
        <f t="shared" si="153"/>
        <v/>
      </c>
      <c r="NCV30" t="str">
        <f t="shared" si="153"/>
        <v/>
      </c>
      <c r="NCW30" t="str">
        <f t="shared" si="153"/>
        <v/>
      </c>
      <c r="NCX30" t="str">
        <f t="shared" si="153"/>
        <v/>
      </c>
      <c r="NCY30" t="str">
        <f t="shared" si="153"/>
        <v/>
      </c>
      <c r="NCZ30" t="str">
        <f t="shared" si="153"/>
        <v/>
      </c>
      <c r="NDA30" t="str">
        <f t="shared" si="153"/>
        <v/>
      </c>
      <c r="NDB30" t="str">
        <f t="shared" si="153"/>
        <v/>
      </c>
      <c r="NDC30" t="str">
        <f t="shared" si="153"/>
        <v/>
      </c>
      <c r="NDD30" t="str">
        <f t="shared" si="153"/>
        <v/>
      </c>
      <c r="NDE30" t="str">
        <f t="shared" si="153"/>
        <v/>
      </c>
      <c r="NDF30" t="str">
        <f t="shared" si="153"/>
        <v/>
      </c>
      <c r="NDG30" t="str">
        <f t="shared" si="153"/>
        <v/>
      </c>
      <c r="NDH30" t="str">
        <f t="shared" si="153"/>
        <v/>
      </c>
      <c r="NDI30" t="str">
        <f t="shared" si="153"/>
        <v/>
      </c>
      <c r="NDJ30" t="str">
        <f t="shared" si="153"/>
        <v/>
      </c>
      <c r="NDK30" t="str">
        <f t="shared" si="153"/>
        <v/>
      </c>
      <c r="NDL30" t="str">
        <f t="shared" si="153"/>
        <v/>
      </c>
      <c r="NDM30" t="str">
        <f t="shared" si="153"/>
        <v/>
      </c>
      <c r="NDN30" t="str">
        <f t="shared" si="153"/>
        <v/>
      </c>
      <c r="NDO30" t="str">
        <f t="shared" si="153"/>
        <v/>
      </c>
      <c r="NDP30" t="str">
        <f t="shared" si="153"/>
        <v/>
      </c>
      <c r="NDQ30" t="str">
        <f t="shared" si="153"/>
        <v/>
      </c>
      <c r="NDR30" t="str">
        <f t="shared" si="153"/>
        <v/>
      </c>
      <c r="NDS30" t="str">
        <f t="shared" si="153"/>
        <v/>
      </c>
      <c r="NDT30" t="str">
        <f t="shared" si="153"/>
        <v/>
      </c>
      <c r="NDU30" t="str">
        <f t="shared" si="153"/>
        <v/>
      </c>
      <c r="NDV30" t="str">
        <f t="shared" si="153"/>
        <v/>
      </c>
      <c r="NDW30" t="str">
        <f t="shared" si="153"/>
        <v/>
      </c>
      <c r="NDX30" t="str">
        <f t="shared" si="153"/>
        <v/>
      </c>
      <c r="NDY30" t="str">
        <f t="shared" si="153"/>
        <v/>
      </c>
      <c r="NDZ30" t="str">
        <f t="shared" si="153"/>
        <v/>
      </c>
      <c r="NEA30" t="str">
        <f t="shared" si="153"/>
        <v/>
      </c>
      <c r="NEB30" t="str">
        <f t="shared" si="153"/>
        <v/>
      </c>
      <c r="NEC30" t="str">
        <f t="shared" si="153"/>
        <v/>
      </c>
      <c r="NED30" t="str">
        <f t="shared" si="153"/>
        <v/>
      </c>
      <c r="NEE30" t="str">
        <f t="shared" si="153"/>
        <v/>
      </c>
      <c r="NEF30" t="str">
        <f t="shared" si="153"/>
        <v/>
      </c>
      <c r="NEG30" t="str">
        <f t="shared" si="153"/>
        <v/>
      </c>
      <c r="NEH30" t="str">
        <f t="shared" si="153"/>
        <v/>
      </c>
      <c r="NEI30" t="str">
        <f t="shared" si="153"/>
        <v/>
      </c>
      <c r="NEJ30" t="str">
        <f t="shared" si="153"/>
        <v/>
      </c>
      <c r="NEK30" t="str">
        <f t="shared" si="153"/>
        <v/>
      </c>
      <c r="NEL30" t="str">
        <f t="shared" si="153"/>
        <v/>
      </c>
      <c r="NEM30" t="str">
        <f t="shared" si="153"/>
        <v/>
      </c>
      <c r="NEN30" t="str">
        <f t="shared" si="153"/>
        <v/>
      </c>
      <c r="NEO30" t="str">
        <f t="shared" si="153"/>
        <v/>
      </c>
      <c r="NEP30" t="str">
        <f t="shared" si="153"/>
        <v/>
      </c>
      <c r="NEQ30" t="str">
        <f t="shared" si="153"/>
        <v/>
      </c>
      <c r="NER30" t="str">
        <f t="shared" si="153"/>
        <v/>
      </c>
      <c r="NES30" t="str">
        <f t="shared" si="153"/>
        <v/>
      </c>
      <c r="NET30" t="str">
        <f t="shared" si="153"/>
        <v/>
      </c>
      <c r="NEU30" t="str">
        <f t="shared" si="153"/>
        <v/>
      </c>
      <c r="NEV30" t="str">
        <f t="shared" ref="NEV30:NHG30" si="154">TRIM(NFH11)</f>
        <v/>
      </c>
      <c r="NEW30" t="str">
        <f t="shared" si="154"/>
        <v/>
      </c>
      <c r="NEX30" t="str">
        <f t="shared" si="154"/>
        <v/>
      </c>
      <c r="NEY30" t="str">
        <f t="shared" si="154"/>
        <v/>
      </c>
      <c r="NEZ30" t="str">
        <f t="shared" si="154"/>
        <v/>
      </c>
      <c r="NFA30" t="str">
        <f t="shared" si="154"/>
        <v/>
      </c>
      <c r="NFB30" t="str">
        <f t="shared" si="154"/>
        <v/>
      </c>
      <c r="NFC30" t="str">
        <f t="shared" si="154"/>
        <v/>
      </c>
      <c r="NFD30" t="str">
        <f t="shared" si="154"/>
        <v/>
      </c>
      <c r="NFE30" t="str">
        <f t="shared" si="154"/>
        <v/>
      </c>
      <c r="NFF30" t="str">
        <f t="shared" si="154"/>
        <v/>
      </c>
      <c r="NFG30" t="str">
        <f t="shared" si="154"/>
        <v/>
      </c>
      <c r="NFH30" t="str">
        <f t="shared" si="154"/>
        <v/>
      </c>
      <c r="NFI30" t="str">
        <f t="shared" si="154"/>
        <v/>
      </c>
      <c r="NFJ30" t="str">
        <f t="shared" si="154"/>
        <v/>
      </c>
      <c r="NFK30" t="str">
        <f t="shared" si="154"/>
        <v/>
      </c>
      <c r="NFL30" t="str">
        <f t="shared" si="154"/>
        <v/>
      </c>
      <c r="NFM30" t="str">
        <f t="shared" si="154"/>
        <v/>
      </c>
      <c r="NFN30" t="str">
        <f t="shared" si="154"/>
        <v/>
      </c>
      <c r="NFO30" t="str">
        <f t="shared" si="154"/>
        <v/>
      </c>
      <c r="NFP30" t="str">
        <f t="shared" si="154"/>
        <v/>
      </c>
      <c r="NFQ30" t="str">
        <f t="shared" si="154"/>
        <v/>
      </c>
      <c r="NFR30" t="str">
        <f t="shared" si="154"/>
        <v/>
      </c>
      <c r="NFS30" t="str">
        <f t="shared" si="154"/>
        <v/>
      </c>
      <c r="NFT30" t="str">
        <f t="shared" si="154"/>
        <v/>
      </c>
      <c r="NFU30" t="str">
        <f t="shared" si="154"/>
        <v/>
      </c>
      <c r="NFV30" t="str">
        <f t="shared" si="154"/>
        <v/>
      </c>
      <c r="NFW30" t="str">
        <f t="shared" si="154"/>
        <v/>
      </c>
      <c r="NFX30" t="str">
        <f t="shared" si="154"/>
        <v/>
      </c>
      <c r="NFY30" t="str">
        <f t="shared" si="154"/>
        <v/>
      </c>
      <c r="NFZ30" t="str">
        <f t="shared" si="154"/>
        <v/>
      </c>
      <c r="NGA30" t="str">
        <f t="shared" si="154"/>
        <v/>
      </c>
      <c r="NGB30" t="str">
        <f t="shared" si="154"/>
        <v/>
      </c>
      <c r="NGC30" t="str">
        <f t="shared" si="154"/>
        <v/>
      </c>
      <c r="NGD30" t="str">
        <f t="shared" si="154"/>
        <v/>
      </c>
      <c r="NGE30" t="str">
        <f t="shared" si="154"/>
        <v/>
      </c>
      <c r="NGF30" t="str">
        <f t="shared" si="154"/>
        <v/>
      </c>
      <c r="NGG30" t="str">
        <f t="shared" si="154"/>
        <v/>
      </c>
      <c r="NGH30" t="str">
        <f t="shared" si="154"/>
        <v/>
      </c>
      <c r="NGI30" t="str">
        <f t="shared" si="154"/>
        <v/>
      </c>
      <c r="NGJ30" t="str">
        <f t="shared" si="154"/>
        <v/>
      </c>
      <c r="NGK30" t="str">
        <f t="shared" si="154"/>
        <v/>
      </c>
      <c r="NGL30" t="str">
        <f t="shared" si="154"/>
        <v/>
      </c>
      <c r="NGM30" t="str">
        <f t="shared" si="154"/>
        <v/>
      </c>
      <c r="NGN30" t="str">
        <f t="shared" si="154"/>
        <v/>
      </c>
      <c r="NGO30" t="str">
        <f t="shared" si="154"/>
        <v/>
      </c>
      <c r="NGP30" t="str">
        <f t="shared" si="154"/>
        <v/>
      </c>
      <c r="NGQ30" t="str">
        <f t="shared" si="154"/>
        <v/>
      </c>
      <c r="NGR30" t="str">
        <f t="shared" si="154"/>
        <v/>
      </c>
      <c r="NGS30" t="str">
        <f t="shared" si="154"/>
        <v/>
      </c>
      <c r="NGT30" t="str">
        <f t="shared" si="154"/>
        <v/>
      </c>
      <c r="NGU30" t="str">
        <f t="shared" si="154"/>
        <v/>
      </c>
      <c r="NGV30" t="str">
        <f t="shared" si="154"/>
        <v/>
      </c>
      <c r="NGW30" t="str">
        <f t="shared" si="154"/>
        <v/>
      </c>
      <c r="NGX30" t="str">
        <f t="shared" si="154"/>
        <v/>
      </c>
      <c r="NGY30" t="str">
        <f t="shared" si="154"/>
        <v/>
      </c>
      <c r="NGZ30" t="str">
        <f t="shared" si="154"/>
        <v/>
      </c>
      <c r="NHA30" t="str">
        <f t="shared" si="154"/>
        <v/>
      </c>
      <c r="NHB30" t="str">
        <f t="shared" si="154"/>
        <v/>
      </c>
      <c r="NHC30" t="str">
        <f t="shared" si="154"/>
        <v/>
      </c>
      <c r="NHD30" t="str">
        <f t="shared" si="154"/>
        <v/>
      </c>
      <c r="NHE30" t="str">
        <f t="shared" si="154"/>
        <v/>
      </c>
      <c r="NHF30" t="str">
        <f t="shared" si="154"/>
        <v/>
      </c>
      <c r="NHG30" t="str">
        <f t="shared" si="154"/>
        <v/>
      </c>
      <c r="NHH30" t="str">
        <f t="shared" ref="NHH30:NJS30" si="155">TRIM(NHT11)</f>
        <v/>
      </c>
      <c r="NHI30" t="str">
        <f t="shared" si="155"/>
        <v/>
      </c>
      <c r="NHJ30" t="str">
        <f t="shared" si="155"/>
        <v/>
      </c>
      <c r="NHK30" t="str">
        <f t="shared" si="155"/>
        <v/>
      </c>
      <c r="NHL30" t="str">
        <f t="shared" si="155"/>
        <v/>
      </c>
      <c r="NHM30" t="str">
        <f t="shared" si="155"/>
        <v/>
      </c>
      <c r="NHN30" t="str">
        <f t="shared" si="155"/>
        <v/>
      </c>
      <c r="NHO30" t="str">
        <f t="shared" si="155"/>
        <v/>
      </c>
      <c r="NHP30" t="str">
        <f t="shared" si="155"/>
        <v/>
      </c>
      <c r="NHQ30" t="str">
        <f t="shared" si="155"/>
        <v/>
      </c>
      <c r="NHR30" t="str">
        <f t="shared" si="155"/>
        <v/>
      </c>
      <c r="NHS30" t="str">
        <f t="shared" si="155"/>
        <v/>
      </c>
      <c r="NHT30" t="str">
        <f t="shared" si="155"/>
        <v/>
      </c>
      <c r="NHU30" t="str">
        <f t="shared" si="155"/>
        <v/>
      </c>
      <c r="NHV30" t="str">
        <f t="shared" si="155"/>
        <v/>
      </c>
      <c r="NHW30" t="str">
        <f t="shared" si="155"/>
        <v/>
      </c>
      <c r="NHX30" t="str">
        <f t="shared" si="155"/>
        <v/>
      </c>
      <c r="NHY30" t="str">
        <f t="shared" si="155"/>
        <v/>
      </c>
      <c r="NHZ30" t="str">
        <f t="shared" si="155"/>
        <v/>
      </c>
      <c r="NIA30" t="str">
        <f t="shared" si="155"/>
        <v/>
      </c>
      <c r="NIB30" t="str">
        <f t="shared" si="155"/>
        <v/>
      </c>
      <c r="NIC30" t="str">
        <f t="shared" si="155"/>
        <v/>
      </c>
      <c r="NID30" t="str">
        <f t="shared" si="155"/>
        <v/>
      </c>
      <c r="NIE30" t="str">
        <f t="shared" si="155"/>
        <v/>
      </c>
      <c r="NIF30" t="str">
        <f t="shared" si="155"/>
        <v/>
      </c>
      <c r="NIG30" t="str">
        <f t="shared" si="155"/>
        <v/>
      </c>
      <c r="NIH30" t="str">
        <f t="shared" si="155"/>
        <v/>
      </c>
      <c r="NII30" t="str">
        <f t="shared" si="155"/>
        <v/>
      </c>
      <c r="NIJ30" t="str">
        <f t="shared" si="155"/>
        <v/>
      </c>
      <c r="NIK30" t="str">
        <f t="shared" si="155"/>
        <v/>
      </c>
      <c r="NIL30" t="str">
        <f t="shared" si="155"/>
        <v/>
      </c>
      <c r="NIM30" t="str">
        <f t="shared" si="155"/>
        <v/>
      </c>
      <c r="NIN30" t="str">
        <f t="shared" si="155"/>
        <v/>
      </c>
      <c r="NIO30" t="str">
        <f t="shared" si="155"/>
        <v/>
      </c>
      <c r="NIP30" t="str">
        <f t="shared" si="155"/>
        <v/>
      </c>
      <c r="NIQ30" t="str">
        <f t="shared" si="155"/>
        <v/>
      </c>
      <c r="NIR30" t="str">
        <f t="shared" si="155"/>
        <v/>
      </c>
      <c r="NIS30" t="str">
        <f t="shared" si="155"/>
        <v/>
      </c>
      <c r="NIT30" t="str">
        <f t="shared" si="155"/>
        <v/>
      </c>
      <c r="NIU30" t="str">
        <f t="shared" si="155"/>
        <v/>
      </c>
      <c r="NIV30" t="str">
        <f t="shared" si="155"/>
        <v/>
      </c>
      <c r="NIW30" t="str">
        <f t="shared" si="155"/>
        <v/>
      </c>
      <c r="NIX30" t="str">
        <f t="shared" si="155"/>
        <v/>
      </c>
      <c r="NIY30" t="str">
        <f t="shared" si="155"/>
        <v/>
      </c>
      <c r="NIZ30" t="str">
        <f t="shared" si="155"/>
        <v/>
      </c>
      <c r="NJA30" t="str">
        <f t="shared" si="155"/>
        <v/>
      </c>
      <c r="NJB30" t="str">
        <f t="shared" si="155"/>
        <v/>
      </c>
      <c r="NJC30" t="str">
        <f t="shared" si="155"/>
        <v/>
      </c>
      <c r="NJD30" t="str">
        <f t="shared" si="155"/>
        <v/>
      </c>
      <c r="NJE30" t="str">
        <f t="shared" si="155"/>
        <v/>
      </c>
      <c r="NJF30" t="str">
        <f t="shared" si="155"/>
        <v/>
      </c>
      <c r="NJG30" t="str">
        <f t="shared" si="155"/>
        <v/>
      </c>
      <c r="NJH30" t="str">
        <f t="shared" si="155"/>
        <v/>
      </c>
      <c r="NJI30" t="str">
        <f t="shared" si="155"/>
        <v/>
      </c>
      <c r="NJJ30" t="str">
        <f t="shared" si="155"/>
        <v/>
      </c>
      <c r="NJK30" t="str">
        <f t="shared" si="155"/>
        <v/>
      </c>
      <c r="NJL30" t="str">
        <f t="shared" si="155"/>
        <v/>
      </c>
      <c r="NJM30" t="str">
        <f t="shared" si="155"/>
        <v/>
      </c>
      <c r="NJN30" t="str">
        <f t="shared" si="155"/>
        <v/>
      </c>
      <c r="NJO30" t="str">
        <f t="shared" si="155"/>
        <v/>
      </c>
      <c r="NJP30" t="str">
        <f t="shared" si="155"/>
        <v/>
      </c>
      <c r="NJQ30" t="str">
        <f t="shared" si="155"/>
        <v/>
      </c>
      <c r="NJR30" t="str">
        <f t="shared" si="155"/>
        <v/>
      </c>
      <c r="NJS30" t="str">
        <f t="shared" si="155"/>
        <v/>
      </c>
      <c r="NJT30" t="str">
        <f t="shared" ref="NJT30:NME30" si="156">TRIM(NKF11)</f>
        <v/>
      </c>
      <c r="NJU30" t="str">
        <f t="shared" si="156"/>
        <v/>
      </c>
      <c r="NJV30" t="str">
        <f t="shared" si="156"/>
        <v/>
      </c>
      <c r="NJW30" t="str">
        <f t="shared" si="156"/>
        <v/>
      </c>
      <c r="NJX30" t="str">
        <f t="shared" si="156"/>
        <v/>
      </c>
      <c r="NJY30" t="str">
        <f t="shared" si="156"/>
        <v/>
      </c>
      <c r="NJZ30" t="str">
        <f t="shared" si="156"/>
        <v/>
      </c>
      <c r="NKA30" t="str">
        <f t="shared" si="156"/>
        <v/>
      </c>
      <c r="NKB30" t="str">
        <f t="shared" si="156"/>
        <v/>
      </c>
      <c r="NKC30" t="str">
        <f t="shared" si="156"/>
        <v/>
      </c>
      <c r="NKD30" t="str">
        <f t="shared" si="156"/>
        <v/>
      </c>
      <c r="NKE30" t="str">
        <f t="shared" si="156"/>
        <v/>
      </c>
      <c r="NKF30" t="str">
        <f t="shared" si="156"/>
        <v/>
      </c>
      <c r="NKG30" t="str">
        <f t="shared" si="156"/>
        <v/>
      </c>
      <c r="NKH30" t="str">
        <f t="shared" si="156"/>
        <v/>
      </c>
      <c r="NKI30" t="str">
        <f t="shared" si="156"/>
        <v/>
      </c>
      <c r="NKJ30" t="str">
        <f t="shared" si="156"/>
        <v/>
      </c>
      <c r="NKK30" t="str">
        <f t="shared" si="156"/>
        <v/>
      </c>
      <c r="NKL30" t="str">
        <f t="shared" si="156"/>
        <v/>
      </c>
      <c r="NKM30" t="str">
        <f t="shared" si="156"/>
        <v/>
      </c>
      <c r="NKN30" t="str">
        <f t="shared" si="156"/>
        <v/>
      </c>
      <c r="NKO30" t="str">
        <f t="shared" si="156"/>
        <v/>
      </c>
      <c r="NKP30" t="str">
        <f t="shared" si="156"/>
        <v/>
      </c>
      <c r="NKQ30" t="str">
        <f t="shared" si="156"/>
        <v/>
      </c>
      <c r="NKR30" t="str">
        <f t="shared" si="156"/>
        <v/>
      </c>
      <c r="NKS30" t="str">
        <f t="shared" si="156"/>
        <v/>
      </c>
      <c r="NKT30" t="str">
        <f t="shared" si="156"/>
        <v/>
      </c>
      <c r="NKU30" t="str">
        <f t="shared" si="156"/>
        <v/>
      </c>
      <c r="NKV30" t="str">
        <f t="shared" si="156"/>
        <v/>
      </c>
      <c r="NKW30" t="str">
        <f t="shared" si="156"/>
        <v/>
      </c>
      <c r="NKX30" t="str">
        <f t="shared" si="156"/>
        <v/>
      </c>
      <c r="NKY30" t="str">
        <f t="shared" si="156"/>
        <v/>
      </c>
      <c r="NKZ30" t="str">
        <f t="shared" si="156"/>
        <v/>
      </c>
      <c r="NLA30" t="str">
        <f t="shared" si="156"/>
        <v/>
      </c>
      <c r="NLB30" t="str">
        <f t="shared" si="156"/>
        <v/>
      </c>
      <c r="NLC30" t="str">
        <f t="shared" si="156"/>
        <v/>
      </c>
      <c r="NLD30" t="str">
        <f t="shared" si="156"/>
        <v/>
      </c>
      <c r="NLE30" t="str">
        <f t="shared" si="156"/>
        <v/>
      </c>
      <c r="NLF30" t="str">
        <f t="shared" si="156"/>
        <v/>
      </c>
      <c r="NLG30" t="str">
        <f t="shared" si="156"/>
        <v/>
      </c>
      <c r="NLH30" t="str">
        <f t="shared" si="156"/>
        <v/>
      </c>
      <c r="NLI30" t="str">
        <f t="shared" si="156"/>
        <v/>
      </c>
      <c r="NLJ30" t="str">
        <f t="shared" si="156"/>
        <v/>
      </c>
      <c r="NLK30" t="str">
        <f t="shared" si="156"/>
        <v/>
      </c>
      <c r="NLL30" t="str">
        <f t="shared" si="156"/>
        <v/>
      </c>
      <c r="NLM30" t="str">
        <f t="shared" si="156"/>
        <v/>
      </c>
      <c r="NLN30" t="str">
        <f t="shared" si="156"/>
        <v/>
      </c>
      <c r="NLO30" t="str">
        <f t="shared" si="156"/>
        <v/>
      </c>
      <c r="NLP30" t="str">
        <f t="shared" si="156"/>
        <v/>
      </c>
      <c r="NLQ30" t="str">
        <f t="shared" si="156"/>
        <v/>
      </c>
      <c r="NLR30" t="str">
        <f t="shared" si="156"/>
        <v/>
      </c>
      <c r="NLS30" t="str">
        <f t="shared" si="156"/>
        <v/>
      </c>
      <c r="NLT30" t="str">
        <f t="shared" si="156"/>
        <v/>
      </c>
      <c r="NLU30" t="str">
        <f t="shared" si="156"/>
        <v/>
      </c>
      <c r="NLV30" t="str">
        <f t="shared" si="156"/>
        <v/>
      </c>
      <c r="NLW30" t="str">
        <f t="shared" si="156"/>
        <v/>
      </c>
      <c r="NLX30" t="str">
        <f t="shared" si="156"/>
        <v/>
      </c>
      <c r="NLY30" t="str">
        <f t="shared" si="156"/>
        <v/>
      </c>
      <c r="NLZ30" t="str">
        <f t="shared" si="156"/>
        <v/>
      </c>
      <c r="NMA30" t="str">
        <f t="shared" si="156"/>
        <v/>
      </c>
      <c r="NMB30" t="str">
        <f t="shared" si="156"/>
        <v/>
      </c>
      <c r="NMC30" t="str">
        <f t="shared" si="156"/>
        <v/>
      </c>
      <c r="NMD30" t="str">
        <f t="shared" si="156"/>
        <v/>
      </c>
      <c r="NME30" t="str">
        <f t="shared" si="156"/>
        <v/>
      </c>
      <c r="NMF30" t="str">
        <f t="shared" ref="NMF30:NOQ30" si="157">TRIM(NMR11)</f>
        <v/>
      </c>
      <c r="NMG30" t="str">
        <f t="shared" si="157"/>
        <v/>
      </c>
      <c r="NMH30" t="str">
        <f t="shared" si="157"/>
        <v/>
      </c>
      <c r="NMI30" t="str">
        <f t="shared" si="157"/>
        <v/>
      </c>
      <c r="NMJ30" t="str">
        <f t="shared" si="157"/>
        <v/>
      </c>
      <c r="NMK30" t="str">
        <f t="shared" si="157"/>
        <v/>
      </c>
      <c r="NML30" t="str">
        <f t="shared" si="157"/>
        <v/>
      </c>
      <c r="NMM30" t="str">
        <f t="shared" si="157"/>
        <v/>
      </c>
      <c r="NMN30" t="str">
        <f t="shared" si="157"/>
        <v/>
      </c>
      <c r="NMO30" t="str">
        <f t="shared" si="157"/>
        <v/>
      </c>
      <c r="NMP30" t="str">
        <f t="shared" si="157"/>
        <v/>
      </c>
      <c r="NMQ30" t="str">
        <f t="shared" si="157"/>
        <v/>
      </c>
      <c r="NMR30" t="str">
        <f t="shared" si="157"/>
        <v/>
      </c>
      <c r="NMS30" t="str">
        <f t="shared" si="157"/>
        <v/>
      </c>
      <c r="NMT30" t="str">
        <f t="shared" si="157"/>
        <v/>
      </c>
      <c r="NMU30" t="str">
        <f t="shared" si="157"/>
        <v/>
      </c>
      <c r="NMV30" t="str">
        <f t="shared" si="157"/>
        <v/>
      </c>
      <c r="NMW30" t="str">
        <f t="shared" si="157"/>
        <v/>
      </c>
      <c r="NMX30" t="str">
        <f t="shared" si="157"/>
        <v/>
      </c>
      <c r="NMY30" t="str">
        <f t="shared" si="157"/>
        <v/>
      </c>
      <c r="NMZ30" t="str">
        <f t="shared" si="157"/>
        <v/>
      </c>
      <c r="NNA30" t="str">
        <f t="shared" si="157"/>
        <v/>
      </c>
      <c r="NNB30" t="str">
        <f t="shared" si="157"/>
        <v/>
      </c>
      <c r="NNC30" t="str">
        <f t="shared" si="157"/>
        <v/>
      </c>
      <c r="NND30" t="str">
        <f t="shared" si="157"/>
        <v/>
      </c>
      <c r="NNE30" t="str">
        <f t="shared" si="157"/>
        <v/>
      </c>
      <c r="NNF30" t="str">
        <f t="shared" si="157"/>
        <v/>
      </c>
      <c r="NNG30" t="str">
        <f t="shared" si="157"/>
        <v/>
      </c>
      <c r="NNH30" t="str">
        <f t="shared" si="157"/>
        <v/>
      </c>
      <c r="NNI30" t="str">
        <f t="shared" si="157"/>
        <v/>
      </c>
      <c r="NNJ30" t="str">
        <f t="shared" si="157"/>
        <v/>
      </c>
      <c r="NNK30" t="str">
        <f t="shared" si="157"/>
        <v/>
      </c>
      <c r="NNL30" t="str">
        <f t="shared" si="157"/>
        <v/>
      </c>
      <c r="NNM30" t="str">
        <f t="shared" si="157"/>
        <v/>
      </c>
      <c r="NNN30" t="str">
        <f t="shared" si="157"/>
        <v/>
      </c>
      <c r="NNO30" t="str">
        <f t="shared" si="157"/>
        <v/>
      </c>
      <c r="NNP30" t="str">
        <f t="shared" si="157"/>
        <v/>
      </c>
      <c r="NNQ30" t="str">
        <f t="shared" si="157"/>
        <v/>
      </c>
      <c r="NNR30" t="str">
        <f t="shared" si="157"/>
        <v/>
      </c>
      <c r="NNS30" t="str">
        <f t="shared" si="157"/>
        <v/>
      </c>
      <c r="NNT30" t="str">
        <f t="shared" si="157"/>
        <v/>
      </c>
      <c r="NNU30" t="str">
        <f t="shared" si="157"/>
        <v/>
      </c>
      <c r="NNV30" t="str">
        <f t="shared" si="157"/>
        <v/>
      </c>
      <c r="NNW30" t="str">
        <f t="shared" si="157"/>
        <v/>
      </c>
      <c r="NNX30" t="str">
        <f t="shared" si="157"/>
        <v/>
      </c>
      <c r="NNY30" t="str">
        <f t="shared" si="157"/>
        <v/>
      </c>
      <c r="NNZ30" t="str">
        <f t="shared" si="157"/>
        <v/>
      </c>
      <c r="NOA30" t="str">
        <f t="shared" si="157"/>
        <v/>
      </c>
      <c r="NOB30" t="str">
        <f t="shared" si="157"/>
        <v/>
      </c>
      <c r="NOC30" t="str">
        <f t="shared" si="157"/>
        <v/>
      </c>
      <c r="NOD30" t="str">
        <f t="shared" si="157"/>
        <v/>
      </c>
      <c r="NOE30" t="str">
        <f t="shared" si="157"/>
        <v/>
      </c>
      <c r="NOF30" t="str">
        <f t="shared" si="157"/>
        <v/>
      </c>
      <c r="NOG30" t="str">
        <f t="shared" si="157"/>
        <v/>
      </c>
      <c r="NOH30" t="str">
        <f t="shared" si="157"/>
        <v/>
      </c>
      <c r="NOI30" t="str">
        <f t="shared" si="157"/>
        <v/>
      </c>
      <c r="NOJ30" t="str">
        <f t="shared" si="157"/>
        <v/>
      </c>
      <c r="NOK30" t="str">
        <f t="shared" si="157"/>
        <v/>
      </c>
      <c r="NOL30" t="str">
        <f t="shared" si="157"/>
        <v/>
      </c>
      <c r="NOM30" t="str">
        <f t="shared" si="157"/>
        <v/>
      </c>
      <c r="NON30" t="str">
        <f t="shared" si="157"/>
        <v/>
      </c>
      <c r="NOO30" t="str">
        <f t="shared" si="157"/>
        <v/>
      </c>
      <c r="NOP30" t="str">
        <f t="shared" si="157"/>
        <v/>
      </c>
      <c r="NOQ30" t="str">
        <f t="shared" si="157"/>
        <v/>
      </c>
      <c r="NOR30" t="str">
        <f t="shared" ref="NOR30:NRC30" si="158">TRIM(NPD11)</f>
        <v/>
      </c>
      <c r="NOS30" t="str">
        <f t="shared" si="158"/>
        <v/>
      </c>
      <c r="NOT30" t="str">
        <f t="shared" si="158"/>
        <v/>
      </c>
      <c r="NOU30" t="str">
        <f t="shared" si="158"/>
        <v/>
      </c>
      <c r="NOV30" t="str">
        <f t="shared" si="158"/>
        <v/>
      </c>
      <c r="NOW30" t="str">
        <f t="shared" si="158"/>
        <v/>
      </c>
      <c r="NOX30" t="str">
        <f t="shared" si="158"/>
        <v/>
      </c>
      <c r="NOY30" t="str">
        <f t="shared" si="158"/>
        <v/>
      </c>
      <c r="NOZ30" t="str">
        <f t="shared" si="158"/>
        <v/>
      </c>
      <c r="NPA30" t="str">
        <f t="shared" si="158"/>
        <v/>
      </c>
      <c r="NPB30" t="str">
        <f t="shared" si="158"/>
        <v/>
      </c>
      <c r="NPC30" t="str">
        <f t="shared" si="158"/>
        <v/>
      </c>
      <c r="NPD30" t="str">
        <f t="shared" si="158"/>
        <v/>
      </c>
      <c r="NPE30" t="str">
        <f t="shared" si="158"/>
        <v/>
      </c>
      <c r="NPF30" t="str">
        <f t="shared" si="158"/>
        <v/>
      </c>
      <c r="NPG30" t="str">
        <f t="shared" si="158"/>
        <v/>
      </c>
      <c r="NPH30" t="str">
        <f t="shared" si="158"/>
        <v/>
      </c>
      <c r="NPI30" t="str">
        <f t="shared" si="158"/>
        <v/>
      </c>
      <c r="NPJ30" t="str">
        <f t="shared" si="158"/>
        <v/>
      </c>
      <c r="NPK30" t="str">
        <f t="shared" si="158"/>
        <v/>
      </c>
      <c r="NPL30" t="str">
        <f t="shared" si="158"/>
        <v/>
      </c>
      <c r="NPM30" t="str">
        <f t="shared" si="158"/>
        <v/>
      </c>
      <c r="NPN30" t="str">
        <f t="shared" si="158"/>
        <v/>
      </c>
      <c r="NPO30" t="str">
        <f t="shared" si="158"/>
        <v/>
      </c>
      <c r="NPP30" t="str">
        <f t="shared" si="158"/>
        <v/>
      </c>
      <c r="NPQ30" t="str">
        <f t="shared" si="158"/>
        <v/>
      </c>
      <c r="NPR30" t="str">
        <f t="shared" si="158"/>
        <v/>
      </c>
      <c r="NPS30" t="str">
        <f t="shared" si="158"/>
        <v/>
      </c>
      <c r="NPT30" t="str">
        <f t="shared" si="158"/>
        <v/>
      </c>
      <c r="NPU30" t="str">
        <f t="shared" si="158"/>
        <v/>
      </c>
      <c r="NPV30" t="str">
        <f t="shared" si="158"/>
        <v/>
      </c>
      <c r="NPW30" t="str">
        <f t="shared" si="158"/>
        <v/>
      </c>
      <c r="NPX30" t="str">
        <f t="shared" si="158"/>
        <v/>
      </c>
      <c r="NPY30" t="str">
        <f t="shared" si="158"/>
        <v/>
      </c>
      <c r="NPZ30" t="str">
        <f t="shared" si="158"/>
        <v/>
      </c>
      <c r="NQA30" t="str">
        <f t="shared" si="158"/>
        <v/>
      </c>
      <c r="NQB30" t="str">
        <f t="shared" si="158"/>
        <v/>
      </c>
      <c r="NQC30" t="str">
        <f t="shared" si="158"/>
        <v/>
      </c>
      <c r="NQD30" t="str">
        <f t="shared" si="158"/>
        <v/>
      </c>
      <c r="NQE30" t="str">
        <f t="shared" si="158"/>
        <v/>
      </c>
      <c r="NQF30" t="str">
        <f t="shared" si="158"/>
        <v/>
      </c>
      <c r="NQG30" t="str">
        <f t="shared" si="158"/>
        <v/>
      </c>
      <c r="NQH30" t="str">
        <f t="shared" si="158"/>
        <v/>
      </c>
      <c r="NQI30" t="str">
        <f t="shared" si="158"/>
        <v/>
      </c>
      <c r="NQJ30" t="str">
        <f t="shared" si="158"/>
        <v/>
      </c>
      <c r="NQK30" t="str">
        <f t="shared" si="158"/>
        <v/>
      </c>
      <c r="NQL30" t="str">
        <f t="shared" si="158"/>
        <v/>
      </c>
      <c r="NQM30" t="str">
        <f t="shared" si="158"/>
        <v/>
      </c>
      <c r="NQN30" t="str">
        <f t="shared" si="158"/>
        <v/>
      </c>
      <c r="NQO30" t="str">
        <f t="shared" si="158"/>
        <v/>
      </c>
      <c r="NQP30" t="str">
        <f t="shared" si="158"/>
        <v/>
      </c>
      <c r="NQQ30" t="str">
        <f t="shared" si="158"/>
        <v/>
      </c>
      <c r="NQR30" t="str">
        <f t="shared" si="158"/>
        <v/>
      </c>
      <c r="NQS30" t="str">
        <f t="shared" si="158"/>
        <v/>
      </c>
      <c r="NQT30" t="str">
        <f t="shared" si="158"/>
        <v/>
      </c>
      <c r="NQU30" t="str">
        <f t="shared" si="158"/>
        <v/>
      </c>
      <c r="NQV30" t="str">
        <f t="shared" si="158"/>
        <v/>
      </c>
      <c r="NQW30" t="str">
        <f t="shared" si="158"/>
        <v/>
      </c>
      <c r="NQX30" t="str">
        <f t="shared" si="158"/>
        <v/>
      </c>
      <c r="NQY30" t="str">
        <f t="shared" si="158"/>
        <v/>
      </c>
      <c r="NQZ30" t="str">
        <f t="shared" si="158"/>
        <v/>
      </c>
      <c r="NRA30" t="str">
        <f t="shared" si="158"/>
        <v/>
      </c>
      <c r="NRB30" t="str">
        <f t="shared" si="158"/>
        <v/>
      </c>
      <c r="NRC30" t="str">
        <f t="shared" si="158"/>
        <v/>
      </c>
      <c r="NRD30" t="str">
        <f t="shared" ref="NRD30:NTO30" si="159">TRIM(NRP11)</f>
        <v/>
      </c>
      <c r="NRE30" t="str">
        <f t="shared" si="159"/>
        <v/>
      </c>
      <c r="NRF30" t="str">
        <f t="shared" si="159"/>
        <v/>
      </c>
      <c r="NRG30" t="str">
        <f t="shared" si="159"/>
        <v/>
      </c>
      <c r="NRH30" t="str">
        <f t="shared" si="159"/>
        <v/>
      </c>
      <c r="NRI30" t="str">
        <f t="shared" si="159"/>
        <v/>
      </c>
      <c r="NRJ30" t="str">
        <f t="shared" si="159"/>
        <v/>
      </c>
      <c r="NRK30" t="str">
        <f t="shared" si="159"/>
        <v/>
      </c>
      <c r="NRL30" t="str">
        <f t="shared" si="159"/>
        <v/>
      </c>
      <c r="NRM30" t="str">
        <f t="shared" si="159"/>
        <v/>
      </c>
      <c r="NRN30" t="str">
        <f t="shared" si="159"/>
        <v/>
      </c>
      <c r="NRO30" t="str">
        <f t="shared" si="159"/>
        <v/>
      </c>
      <c r="NRP30" t="str">
        <f t="shared" si="159"/>
        <v/>
      </c>
      <c r="NRQ30" t="str">
        <f t="shared" si="159"/>
        <v/>
      </c>
      <c r="NRR30" t="str">
        <f t="shared" si="159"/>
        <v/>
      </c>
      <c r="NRS30" t="str">
        <f t="shared" si="159"/>
        <v/>
      </c>
      <c r="NRT30" t="str">
        <f t="shared" si="159"/>
        <v/>
      </c>
      <c r="NRU30" t="str">
        <f t="shared" si="159"/>
        <v/>
      </c>
      <c r="NRV30" t="str">
        <f t="shared" si="159"/>
        <v/>
      </c>
      <c r="NRW30" t="str">
        <f t="shared" si="159"/>
        <v/>
      </c>
      <c r="NRX30" t="str">
        <f t="shared" si="159"/>
        <v/>
      </c>
      <c r="NRY30" t="str">
        <f t="shared" si="159"/>
        <v/>
      </c>
      <c r="NRZ30" t="str">
        <f t="shared" si="159"/>
        <v/>
      </c>
      <c r="NSA30" t="str">
        <f t="shared" si="159"/>
        <v/>
      </c>
      <c r="NSB30" t="str">
        <f t="shared" si="159"/>
        <v/>
      </c>
      <c r="NSC30" t="str">
        <f t="shared" si="159"/>
        <v/>
      </c>
      <c r="NSD30" t="str">
        <f t="shared" si="159"/>
        <v/>
      </c>
      <c r="NSE30" t="str">
        <f t="shared" si="159"/>
        <v/>
      </c>
      <c r="NSF30" t="str">
        <f t="shared" si="159"/>
        <v/>
      </c>
      <c r="NSG30" t="str">
        <f t="shared" si="159"/>
        <v/>
      </c>
      <c r="NSH30" t="str">
        <f t="shared" si="159"/>
        <v/>
      </c>
      <c r="NSI30" t="str">
        <f t="shared" si="159"/>
        <v/>
      </c>
      <c r="NSJ30" t="str">
        <f t="shared" si="159"/>
        <v/>
      </c>
      <c r="NSK30" t="str">
        <f t="shared" si="159"/>
        <v/>
      </c>
      <c r="NSL30" t="str">
        <f t="shared" si="159"/>
        <v/>
      </c>
      <c r="NSM30" t="str">
        <f t="shared" si="159"/>
        <v/>
      </c>
      <c r="NSN30" t="str">
        <f t="shared" si="159"/>
        <v/>
      </c>
      <c r="NSO30" t="str">
        <f t="shared" si="159"/>
        <v/>
      </c>
      <c r="NSP30" t="str">
        <f t="shared" si="159"/>
        <v/>
      </c>
      <c r="NSQ30" t="str">
        <f t="shared" si="159"/>
        <v/>
      </c>
      <c r="NSR30" t="str">
        <f t="shared" si="159"/>
        <v/>
      </c>
      <c r="NSS30" t="str">
        <f t="shared" si="159"/>
        <v/>
      </c>
      <c r="NST30" t="str">
        <f t="shared" si="159"/>
        <v/>
      </c>
      <c r="NSU30" t="str">
        <f t="shared" si="159"/>
        <v/>
      </c>
      <c r="NSV30" t="str">
        <f t="shared" si="159"/>
        <v/>
      </c>
      <c r="NSW30" t="str">
        <f t="shared" si="159"/>
        <v/>
      </c>
      <c r="NSX30" t="str">
        <f t="shared" si="159"/>
        <v/>
      </c>
      <c r="NSY30" t="str">
        <f t="shared" si="159"/>
        <v/>
      </c>
      <c r="NSZ30" t="str">
        <f t="shared" si="159"/>
        <v/>
      </c>
      <c r="NTA30" t="str">
        <f t="shared" si="159"/>
        <v/>
      </c>
      <c r="NTB30" t="str">
        <f t="shared" si="159"/>
        <v/>
      </c>
      <c r="NTC30" t="str">
        <f t="shared" si="159"/>
        <v/>
      </c>
      <c r="NTD30" t="str">
        <f t="shared" si="159"/>
        <v/>
      </c>
      <c r="NTE30" t="str">
        <f t="shared" si="159"/>
        <v/>
      </c>
      <c r="NTF30" t="str">
        <f t="shared" si="159"/>
        <v/>
      </c>
      <c r="NTG30" t="str">
        <f t="shared" si="159"/>
        <v/>
      </c>
      <c r="NTH30" t="str">
        <f t="shared" si="159"/>
        <v/>
      </c>
      <c r="NTI30" t="str">
        <f t="shared" si="159"/>
        <v/>
      </c>
      <c r="NTJ30" t="str">
        <f t="shared" si="159"/>
        <v/>
      </c>
      <c r="NTK30" t="str">
        <f t="shared" si="159"/>
        <v/>
      </c>
      <c r="NTL30" t="str">
        <f t="shared" si="159"/>
        <v/>
      </c>
      <c r="NTM30" t="str">
        <f t="shared" si="159"/>
        <v/>
      </c>
      <c r="NTN30" t="str">
        <f t="shared" si="159"/>
        <v/>
      </c>
      <c r="NTO30" t="str">
        <f t="shared" si="159"/>
        <v/>
      </c>
      <c r="NTP30" t="str">
        <f t="shared" ref="NTP30:NWA30" si="160">TRIM(NUB11)</f>
        <v/>
      </c>
      <c r="NTQ30" t="str">
        <f t="shared" si="160"/>
        <v/>
      </c>
      <c r="NTR30" t="str">
        <f t="shared" si="160"/>
        <v/>
      </c>
      <c r="NTS30" t="str">
        <f t="shared" si="160"/>
        <v/>
      </c>
      <c r="NTT30" t="str">
        <f t="shared" si="160"/>
        <v/>
      </c>
      <c r="NTU30" t="str">
        <f t="shared" si="160"/>
        <v/>
      </c>
      <c r="NTV30" t="str">
        <f t="shared" si="160"/>
        <v/>
      </c>
      <c r="NTW30" t="str">
        <f t="shared" si="160"/>
        <v/>
      </c>
      <c r="NTX30" t="str">
        <f t="shared" si="160"/>
        <v/>
      </c>
      <c r="NTY30" t="str">
        <f t="shared" si="160"/>
        <v/>
      </c>
      <c r="NTZ30" t="str">
        <f t="shared" si="160"/>
        <v/>
      </c>
      <c r="NUA30" t="str">
        <f t="shared" si="160"/>
        <v/>
      </c>
      <c r="NUB30" t="str">
        <f t="shared" si="160"/>
        <v/>
      </c>
      <c r="NUC30" t="str">
        <f t="shared" si="160"/>
        <v/>
      </c>
      <c r="NUD30" t="str">
        <f t="shared" si="160"/>
        <v/>
      </c>
      <c r="NUE30" t="str">
        <f t="shared" si="160"/>
        <v/>
      </c>
      <c r="NUF30" t="str">
        <f t="shared" si="160"/>
        <v/>
      </c>
      <c r="NUG30" t="str">
        <f t="shared" si="160"/>
        <v/>
      </c>
      <c r="NUH30" t="str">
        <f t="shared" si="160"/>
        <v/>
      </c>
      <c r="NUI30" t="str">
        <f t="shared" si="160"/>
        <v/>
      </c>
      <c r="NUJ30" t="str">
        <f t="shared" si="160"/>
        <v/>
      </c>
      <c r="NUK30" t="str">
        <f t="shared" si="160"/>
        <v/>
      </c>
      <c r="NUL30" t="str">
        <f t="shared" si="160"/>
        <v/>
      </c>
      <c r="NUM30" t="str">
        <f t="shared" si="160"/>
        <v/>
      </c>
      <c r="NUN30" t="str">
        <f t="shared" si="160"/>
        <v/>
      </c>
      <c r="NUO30" t="str">
        <f t="shared" si="160"/>
        <v/>
      </c>
      <c r="NUP30" t="str">
        <f t="shared" si="160"/>
        <v/>
      </c>
      <c r="NUQ30" t="str">
        <f t="shared" si="160"/>
        <v/>
      </c>
      <c r="NUR30" t="str">
        <f t="shared" si="160"/>
        <v/>
      </c>
      <c r="NUS30" t="str">
        <f t="shared" si="160"/>
        <v/>
      </c>
      <c r="NUT30" t="str">
        <f t="shared" si="160"/>
        <v/>
      </c>
      <c r="NUU30" t="str">
        <f t="shared" si="160"/>
        <v/>
      </c>
      <c r="NUV30" t="str">
        <f t="shared" si="160"/>
        <v/>
      </c>
      <c r="NUW30" t="str">
        <f t="shared" si="160"/>
        <v/>
      </c>
      <c r="NUX30" t="str">
        <f t="shared" si="160"/>
        <v/>
      </c>
      <c r="NUY30" t="str">
        <f t="shared" si="160"/>
        <v/>
      </c>
      <c r="NUZ30" t="str">
        <f t="shared" si="160"/>
        <v/>
      </c>
      <c r="NVA30" t="str">
        <f t="shared" si="160"/>
        <v/>
      </c>
      <c r="NVB30" t="str">
        <f t="shared" si="160"/>
        <v/>
      </c>
      <c r="NVC30" t="str">
        <f t="shared" si="160"/>
        <v/>
      </c>
      <c r="NVD30" t="str">
        <f t="shared" si="160"/>
        <v/>
      </c>
      <c r="NVE30" t="str">
        <f t="shared" si="160"/>
        <v/>
      </c>
      <c r="NVF30" t="str">
        <f t="shared" si="160"/>
        <v/>
      </c>
      <c r="NVG30" t="str">
        <f t="shared" si="160"/>
        <v/>
      </c>
      <c r="NVH30" t="str">
        <f t="shared" si="160"/>
        <v/>
      </c>
      <c r="NVI30" t="str">
        <f t="shared" si="160"/>
        <v/>
      </c>
      <c r="NVJ30" t="str">
        <f t="shared" si="160"/>
        <v/>
      </c>
      <c r="NVK30" t="str">
        <f t="shared" si="160"/>
        <v/>
      </c>
      <c r="NVL30" t="str">
        <f t="shared" si="160"/>
        <v/>
      </c>
      <c r="NVM30" t="str">
        <f t="shared" si="160"/>
        <v/>
      </c>
      <c r="NVN30" t="str">
        <f t="shared" si="160"/>
        <v/>
      </c>
      <c r="NVO30" t="str">
        <f t="shared" si="160"/>
        <v/>
      </c>
      <c r="NVP30" t="str">
        <f t="shared" si="160"/>
        <v/>
      </c>
      <c r="NVQ30" t="str">
        <f t="shared" si="160"/>
        <v/>
      </c>
      <c r="NVR30" t="str">
        <f t="shared" si="160"/>
        <v/>
      </c>
      <c r="NVS30" t="str">
        <f t="shared" si="160"/>
        <v/>
      </c>
      <c r="NVT30" t="str">
        <f t="shared" si="160"/>
        <v/>
      </c>
      <c r="NVU30" t="str">
        <f t="shared" si="160"/>
        <v/>
      </c>
      <c r="NVV30" t="str">
        <f t="shared" si="160"/>
        <v/>
      </c>
      <c r="NVW30" t="str">
        <f t="shared" si="160"/>
        <v/>
      </c>
      <c r="NVX30" t="str">
        <f t="shared" si="160"/>
        <v/>
      </c>
      <c r="NVY30" t="str">
        <f t="shared" si="160"/>
        <v/>
      </c>
      <c r="NVZ30" t="str">
        <f t="shared" si="160"/>
        <v/>
      </c>
      <c r="NWA30" t="str">
        <f t="shared" si="160"/>
        <v/>
      </c>
      <c r="NWB30" t="str">
        <f t="shared" ref="NWB30:NYM30" si="161">TRIM(NWN11)</f>
        <v/>
      </c>
      <c r="NWC30" t="str">
        <f t="shared" si="161"/>
        <v/>
      </c>
      <c r="NWD30" t="str">
        <f t="shared" si="161"/>
        <v/>
      </c>
      <c r="NWE30" t="str">
        <f t="shared" si="161"/>
        <v/>
      </c>
      <c r="NWF30" t="str">
        <f t="shared" si="161"/>
        <v/>
      </c>
      <c r="NWG30" t="str">
        <f t="shared" si="161"/>
        <v/>
      </c>
      <c r="NWH30" t="str">
        <f t="shared" si="161"/>
        <v/>
      </c>
      <c r="NWI30" t="str">
        <f t="shared" si="161"/>
        <v/>
      </c>
      <c r="NWJ30" t="str">
        <f t="shared" si="161"/>
        <v/>
      </c>
      <c r="NWK30" t="str">
        <f t="shared" si="161"/>
        <v/>
      </c>
      <c r="NWL30" t="str">
        <f t="shared" si="161"/>
        <v/>
      </c>
      <c r="NWM30" t="str">
        <f t="shared" si="161"/>
        <v/>
      </c>
      <c r="NWN30" t="str">
        <f t="shared" si="161"/>
        <v/>
      </c>
      <c r="NWO30" t="str">
        <f t="shared" si="161"/>
        <v/>
      </c>
      <c r="NWP30" t="str">
        <f t="shared" si="161"/>
        <v/>
      </c>
      <c r="NWQ30" t="str">
        <f t="shared" si="161"/>
        <v/>
      </c>
      <c r="NWR30" t="str">
        <f t="shared" si="161"/>
        <v/>
      </c>
      <c r="NWS30" t="str">
        <f t="shared" si="161"/>
        <v/>
      </c>
      <c r="NWT30" t="str">
        <f t="shared" si="161"/>
        <v/>
      </c>
      <c r="NWU30" t="str">
        <f t="shared" si="161"/>
        <v/>
      </c>
      <c r="NWV30" t="str">
        <f t="shared" si="161"/>
        <v/>
      </c>
      <c r="NWW30" t="str">
        <f t="shared" si="161"/>
        <v/>
      </c>
      <c r="NWX30" t="str">
        <f t="shared" si="161"/>
        <v/>
      </c>
      <c r="NWY30" t="str">
        <f t="shared" si="161"/>
        <v/>
      </c>
      <c r="NWZ30" t="str">
        <f t="shared" si="161"/>
        <v/>
      </c>
      <c r="NXA30" t="str">
        <f t="shared" si="161"/>
        <v/>
      </c>
      <c r="NXB30" t="str">
        <f t="shared" si="161"/>
        <v/>
      </c>
      <c r="NXC30" t="str">
        <f t="shared" si="161"/>
        <v/>
      </c>
      <c r="NXD30" t="str">
        <f t="shared" si="161"/>
        <v/>
      </c>
      <c r="NXE30" t="str">
        <f t="shared" si="161"/>
        <v/>
      </c>
      <c r="NXF30" t="str">
        <f t="shared" si="161"/>
        <v/>
      </c>
      <c r="NXG30" t="str">
        <f t="shared" si="161"/>
        <v/>
      </c>
      <c r="NXH30" t="str">
        <f t="shared" si="161"/>
        <v/>
      </c>
      <c r="NXI30" t="str">
        <f t="shared" si="161"/>
        <v/>
      </c>
      <c r="NXJ30" t="str">
        <f t="shared" si="161"/>
        <v/>
      </c>
      <c r="NXK30" t="str">
        <f t="shared" si="161"/>
        <v/>
      </c>
      <c r="NXL30" t="str">
        <f t="shared" si="161"/>
        <v/>
      </c>
      <c r="NXM30" t="str">
        <f t="shared" si="161"/>
        <v/>
      </c>
      <c r="NXN30" t="str">
        <f t="shared" si="161"/>
        <v/>
      </c>
      <c r="NXO30" t="str">
        <f t="shared" si="161"/>
        <v/>
      </c>
      <c r="NXP30" t="str">
        <f t="shared" si="161"/>
        <v/>
      </c>
      <c r="NXQ30" t="str">
        <f t="shared" si="161"/>
        <v/>
      </c>
      <c r="NXR30" t="str">
        <f t="shared" si="161"/>
        <v/>
      </c>
      <c r="NXS30" t="str">
        <f t="shared" si="161"/>
        <v/>
      </c>
      <c r="NXT30" t="str">
        <f t="shared" si="161"/>
        <v/>
      </c>
      <c r="NXU30" t="str">
        <f t="shared" si="161"/>
        <v/>
      </c>
      <c r="NXV30" t="str">
        <f t="shared" si="161"/>
        <v/>
      </c>
      <c r="NXW30" t="str">
        <f t="shared" si="161"/>
        <v/>
      </c>
      <c r="NXX30" t="str">
        <f t="shared" si="161"/>
        <v/>
      </c>
      <c r="NXY30" t="str">
        <f t="shared" si="161"/>
        <v/>
      </c>
      <c r="NXZ30" t="str">
        <f t="shared" si="161"/>
        <v/>
      </c>
      <c r="NYA30" t="str">
        <f t="shared" si="161"/>
        <v/>
      </c>
      <c r="NYB30" t="str">
        <f t="shared" si="161"/>
        <v/>
      </c>
      <c r="NYC30" t="str">
        <f t="shared" si="161"/>
        <v/>
      </c>
      <c r="NYD30" t="str">
        <f t="shared" si="161"/>
        <v/>
      </c>
      <c r="NYE30" t="str">
        <f t="shared" si="161"/>
        <v/>
      </c>
      <c r="NYF30" t="str">
        <f t="shared" si="161"/>
        <v/>
      </c>
      <c r="NYG30" t="str">
        <f t="shared" si="161"/>
        <v/>
      </c>
      <c r="NYH30" t="str">
        <f t="shared" si="161"/>
        <v/>
      </c>
      <c r="NYI30" t="str">
        <f t="shared" si="161"/>
        <v/>
      </c>
      <c r="NYJ30" t="str">
        <f t="shared" si="161"/>
        <v/>
      </c>
      <c r="NYK30" t="str">
        <f t="shared" si="161"/>
        <v/>
      </c>
      <c r="NYL30" t="str">
        <f t="shared" si="161"/>
        <v/>
      </c>
      <c r="NYM30" t="str">
        <f t="shared" si="161"/>
        <v/>
      </c>
      <c r="NYN30" t="str">
        <f t="shared" ref="NYN30:OAY30" si="162">TRIM(NYZ11)</f>
        <v/>
      </c>
      <c r="NYO30" t="str">
        <f t="shared" si="162"/>
        <v/>
      </c>
      <c r="NYP30" t="str">
        <f t="shared" si="162"/>
        <v/>
      </c>
      <c r="NYQ30" t="str">
        <f t="shared" si="162"/>
        <v/>
      </c>
      <c r="NYR30" t="str">
        <f t="shared" si="162"/>
        <v/>
      </c>
      <c r="NYS30" t="str">
        <f t="shared" si="162"/>
        <v/>
      </c>
      <c r="NYT30" t="str">
        <f t="shared" si="162"/>
        <v/>
      </c>
      <c r="NYU30" t="str">
        <f t="shared" si="162"/>
        <v/>
      </c>
      <c r="NYV30" t="str">
        <f t="shared" si="162"/>
        <v/>
      </c>
      <c r="NYW30" t="str">
        <f t="shared" si="162"/>
        <v/>
      </c>
      <c r="NYX30" t="str">
        <f t="shared" si="162"/>
        <v/>
      </c>
      <c r="NYY30" t="str">
        <f t="shared" si="162"/>
        <v/>
      </c>
      <c r="NYZ30" t="str">
        <f t="shared" si="162"/>
        <v/>
      </c>
      <c r="NZA30" t="str">
        <f t="shared" si="162"/>
        <v/>
      </c>
      <c r="NZB30" t="str">
        <f t="shared" si="162"/>
        <v/>
      </c>
      <c r="NZC30" t="str">
        <f t="shared" si="162"/>
        <v/>
      </c>
      <c r="NZD30" t="str">
        <f t="shared" si="162"/>
        <v/>
      </c>
      <c r="NZE30" t="str">
        <f t="shared" si="162"/>
        <v/>
      </c>
      <c r="NZF30" t="str">
        <f t="shared" si="162"/>
        <v/>
      </c>
      <c r="NZG30" t="str">
        <f t="shared" si="162"/>
        <v/>
      </c>
      <c r="NZH30" t="str">
        <f t="shared" si="162"/>
        <v/>
      </c>
      <c r="NZI30" t="str">
        <f t="shared" si="162"/>
        <v/>
      </c>
      <c r="NZJ30" t="str">
        <f t="shared" si="162"/>
        <v/>
      </c>
      <c r="NZK30" t="str">
        <f t="shared" si="162"/>
        <v/>
      </c>
      <c r="NZL30" t="str">
        <f t="shared" si="162"/>
        <v/>
      </c>
      <c r="NZM30" t="str">
        <f t="shared" si="162"/>
        <v/>
      </c>
      <c r="NZN30" t="str">
        <f t="shared" si="162"/>
        <v/>
      </c>
      <c r="NZO30" t="str">
        <f t="shared" si="162"/>
        <v/>
      </c>
      <c r="NZP30" t="str">
        <f t="shared" si="162"/>
        <v/>
      </c>
      <c r="NZQ30" t="str">
        <f t="shared" si="162"/>
        <v/>
      </c>
      <c r="NZR30" t="str">
        <f t="shared" si="162"/>
        <v/>
      </c>
      <c r="NZS30" t="str">
        <f t="shared" si="162"/>
        <v/>
      </c>
      <c r="NZT30" t="str">
        <f t="shared" si="162"/>
        <v/>
      </c>
      <c r="NZU30" t="str">
        <f t="shared" si="162"/>
        <v/>
      </c>
      <c r="NZV30" t="str">
        <f t="shared" si="162"/>
        <v/>
      </c>
      <c r="NZW30" t="str">
        <f t="shared" si="162"/>
        <v/>
      </c>
      <c r="NZX30" t="str">
        <f t="shared" si="162"/>
        <v/>
      </c>
      <c r="NZY30" t="str">
        <f t="shared" si="162"/>
        <v/>
      </c>
      <c r="NZZ30" t="str">
        <f t="shared" si="162"/>
        <v/>
      </c>
      <c r="OAA30" t="str">
        <f t="shared" si="162"/>
        <v/>
      </c>
      <c r="OAB30" t="str">
        <f t="shared" si="162"/>
        <v/>
      </c>
      <c r="OAC30" t="str">
        <f t="shared" si="162"/>
        <v/>
      </c>
      <c r="OAD30" t="str">
        <f t="shared" si="162"/>
        <v/>
      </c>
      <c r="OAE30" t="str">
        <f t="shared" si="162"/>
        <v/>
      </c>
      <c r="OAF30" t="str">
        <f t="shared" si="162"/>
        <v/>
      </c>
      <c r="OAG30" t="str">
        <f t="shared" si="162"/>
        <v/>
      </c>
      <c r="OAH30" t="str">
        <f t="shared" si="162"/>
        <v/>
      </c>
      <c r="OAI30" t="str">
        <f t="shared" si="162"/>
        <v/>
      </c>
      <c r="OAJ30" t="str">
        <f t="shared" si="162"/>
        <v/>
      </c>
      <c r="OAK30" t="str">
        <f t="shared" si="162"/>
        <v/>
      </c>
      <c r="OAL30" t="str">
        <f t="shared" si="162"/>
        <v/>
      </c>
      <c r="OAM30" t="str">
        <f t="shared" si="162"/>
        <v/>
      </c>
      <c r="OAN30" t="str">
        <f t="shared" si="162"/>
        <v/>
      </c>
      <c r="OAO30" t="str">
        <f t="shared" si="162"/>
        <v/>
      </c>
      <c r="OAP30" t="str">
        <f t="shared" si="162"/>
        <v/>
      </c>
      <c r="OAQ30" t="str">
        <f t="shared" si="162"/>
        <v/>
      </c>
      <c r="OAR30" t="str">
        <f t="shared" si="162"/>
        <v/>
      </c>
      <c r="OAS30" t="str">
        <f t="shared" si="162"/>
        <v/>
      </c>
      <c r="OAT30" t="str">
        <f t="shared" si="162"/>
        <v/>
      </c>
      <c r="OAU30" t="str">
        <f t="shared" si="162"/>
        <v/>
      </c>
      <c r="OAV30" t="str">
        <f t="shared" si="162"/>
        <v/>
      </c>
      <c r="OAW30" t="str">
        <f t="shared" si="162"/>
        <v/>
      </c>
      <c r="OAX30" t="str">
        <f t="shared" si="162"/>
        <v/>
      </c>
      <c r="OAY30" t="str">
        <f t="shared" si="162"/>
        <v/>
      </c>
      <c r="OAZ30" t="str">
        <f t="shared" ref="OAZ30:ODK30" si="163">TRIM(OBL11)</f>
        <v/>
      </c>
      <c r="OBA30" t="str">
        <f t="shared" si="163"/>
        <v/>
      </c>
      <c r="OBB30" t="str">
        <f t="shared" si="163"/>
        <v/>
      </c>
      <c r="OBC30" t="str">
        <f t="shared" si="163"/>
        <v/>
      </c>
      <c r="OBD30" t="str">
        <f t="shared" si="163"/>
        <v/>
      </c>
      <c r="OBE30" t="str">
        <f t="shared" si="163"/>
        <v/>
      </c>
      <c r="OBF30" t="str">
        <f t="shared" si="163"/>
        <v/>
      </c>
      <c r="OBG30" t="str">
        <f t="shared" si="163"/>
        <v/>
      </c>
      <c r="OBH30" t="str">
        <f t="shared" si="163"/>
        <v/>
      </c>
      <c r="OBI30" t="str">
        <f t="shared" si="163"/>
        <v/>
      </c>
      <c r="OBJ30" t="str">
        <f t="shared" si="163"/>
        <v/>
      </c>
      <c r="OBK30" t="str">
        <f t="shared" si="163"/>
        <v/>
      </c>
      <c r="OBL30" t="str">
        <f t="shared" si="163"/>
        <v/>
      </c>
      <c r="OBM30" t="str">
        <f t="shared" si="163"/>
        <v/>
      </c>
      <c r="OBN30" t="str">
        <f t="shared" si="163"/>
        <v/>
      </c>
      <c r="OBO30" t="str">
        <f t="shared" si="163"/>
        <v/>
      </c>
      <c r="OBP30" t="str">
        <f t="shared" si="163"/>
        <v/>
      </c>
      <c r="OBQ30" t="str">
        <f t="shared" si="163"/>
        <v/>
      </c>
      <c r="OBR30" t="str">
        <f t="shared" si="163"/>
        <v/>
      </c>
      <c r="OBS30" t="str">
        <f t="shared" si="163"/>
        <v/>
      </c>
      <c r="OBT30" t="str">
        <f t="shared" si="163"/>
        <v/>
      </c>
      <c r="OBU30" t="str">
        <f t="shared" si="163"/>
        <v/>
      </c>
      <c r="OBV30" t="str">
        <f t="shared" si="163"/>
        <v/>
      </c>
      <c r="OBW30" t="str">
        <f t="shared" si="163"/>
        <v/>
      </c>
      <c r="OBX30" t="str">
        <f t="shared" si="163"/>
        <v/>
      </c>
      <c r="OBY30" t="str">
        <f t="shared" si="163"/>
        <v/>
      </c>
      <c r="OBZ30" t="str">
        <f t="shared" si="163"/>
        <v/>
      </c>
      <c r="OCA30" t="str">
        <f t="shared" si="163"/>
        <v/>
      </c>
      <c r="OCB30" t="str">
        <f t="shared" si="163"/>
        <v/>
      </c>
      <c r="OCC30" t="str">
        <f t="shared" si="163"/>
        <v/>
      </c>
      <c r="OCD30" t="str">
        <f t="shared" si="163"/>
        <v/>
      </c>
      <c r="OCE30" t="str">
        <f t="shared" si="163"/>
        <v/>
      </c>
      <c r="OCF30" t="str">
        <f t="shared" si="163"/>
        <v/>
      </c>
      <c r="OCG30" t="str">
        <f t="shared" si="163"/>
        <v/>
      </c>
      <c r="OCH30" t="str">
        <f t="shared" si="163"/>
        <v/>
      </c>
      <c r="OCI30" t="str">
        <f t="shared" si="163"/>
        <v/>
      </c>
      <c r="OCJ30" t="str">
        <f t="shared" si="163"/>
        <v/>
      </c>
      <c r="OCK30" t="str">
        <f t="shared" si="163"/>
        <v/>
      </c>
      <c r="OCL30" t="str">
        <f t="shared" si="163"/>
        <v/>
      </c>
      <c r="OCM30" t="str">
        <f t="shared" si="163"/>
        <v/>
      </c>
      <c r="OCN30" t="str">
        <f t="shared" si="163"/>
        <v/>
      </c>
      <c r="OCO30" t="str">
        <f t="shared" si="163"/>
        <v/>
      </c>
      <c r="OCP30" t="str">
        <f t="shared" si="163"/>
        <v/>
      </c>
      <c r="OCQ30" t="str">
        <f t="shared" si="163"/>
        <v/>
      </c>
      <c r="OCR30" t="str">
        <f t="shared" si="163"/>
        <v/>
      </c>
      <c r="OCS30" t="str">
        <f t="shared" si="163"/>
        <v/>
      </c>
      <c r="OCT30" t="str">
        <f t="shared" si="163"/>
        <v/>
      </c>
      <c r="OCU30" t="str">
        <f t="shared" si="163"/>
        <v/>
      </c>
      <c r="OCV30" t="str">
        <f t="shared" si="163"/>
        <v/>
      </c>
      <c r="OCW30" t="str">
        <f t="shared" si="163"/>
        <v/>
      </c>
      <c r="OCX30" t="str">
        <f t="shared" si="163"/>
        <v/>
      </c>
      <c r="OCY30" t="str">
        <f t="shared" si="163"/>
        <v/>
      </c>
      <c r="OCZ30" t="str">
        <f t="shared" si="163"/>
        <v/>
      </c>
      <c r="ODA30" t="str">
        <f t="shared" si="163"/>
        <v/>
      </c>
      <c r="ODB30" t="str">
        <f t="shared" si="163"/>
        <v/>
      </c>
      <c r="ODC30" t="str">
        <f t="shared" si="163"/>
        <v/>
      </c>
      <c r="ODD30" t="str">
        <f t="shared" si="163"/>
        <v/>
      </c>
      <c r="ODE30" t="str">
        <f t="shared" si="163"/>
        <v/>
      </c>
      <c r="ODF30" t="str">
        <f t="shared" si="163"/>
        <v/>
      </c>
      <c r="ODG30" t="str">
        <f t="shared" si="163"/>
        <v/>
      </c>
      <c r="ODH30" t="str">
        <f t="shared" si="163"/>
        <v/>
      </c>
      <c r="ODI30" t="str">
        <f t="shared" si="163"/>
        <v/>
      </c>
      <c r="ODJ30" t="str">
        <f t="shared" si="163"/>
        <v/>
      </c>
      <c r="ODK30" t="str">
        <f t="shared" si="163"/>
        <v/>
      </c>
      <c r="ODL30" t="str">
        <f t="shared" ref="ODL30:OFW30" si="164">TRIM(ODX11)</f>
        <v/>
      </c>
      <c r="ODM30" t="str">
        <f t="shared" si="164"/>
        <v/>
      </c>
      <c r="ODN30" t="str">
        <f t="shared" si="164"/>
        <v/>
      </c>
      <c r="ODO30" t="str">
        <f t="shared" si="164"/>
        <v/>
      </c>
      <c r="ODP30" t="str">
        <f t="shared" si="164"/>
        <v/>
      </c>
      <c r="ODQ30" t="str">
        <f t="shared" si="164"/>
        <v/>
      </c>
      <c r="ODR30" t="str">
        <f t="shared" si="164"/>
        <v/>
      </c>
      <c r="ODS30" t="str">
        <f t="shared" si="164"/>
        <v/>
      </c>
      <c r="ODT30" t="str">
        <f t="shared" si="164"/>
        <v/>
      </c>
      <c r="ODU30" t="str">
        <f t="shared" si="164"/>
        <v/>
      </c>
      <c r="ODV30" t="str">
        <f t="shared" si="164"/>
        <v/>
      </c>
      <c r="ODW30" t="str">
        <f t="shared" si="164"/>
        <v/>
      </c>
      <c r="ODX30" t="str">
        <f t="shared" si="164"/>
        <v/>
      </c>
      <c r="ODY30" t="str">
        <f t="shared" si="164"/>
        <v/>
      </c>
      <c r="ODZ30" t="str">
        <f t="shared" si="164"/>
        <v/>
      </c>
      <c r="OEA30" t="str">
        <f t="shared" si="164"/>
        <v/>
      </c>
      <c r="OEB30" t="str">
        <f t="shared" si="164"/>
        <v/>
      </c>
      <c r="OEC30" t="str">
        <f t="shared" si="164"/>
        <v/>
      </c>
      <c r="OED30" t="str">
        <f t="shared" si="164"/>
        <v/>
      </c>
      <c r="OEE30" t="str">
        <f t="shared" si="164"/>
        <v/>
      </c>
      <c r="OEF30" t="str">
        <f t="shared" si="164"/>
        <v/>
      </c>
      <c r="OEG30" t="str">
        <f t="shared" si="164"/>
        <v/>
      </c>
      <c r="OEH30" t="str">
        <f t="shared" si="164"/>
        <v/>
      </c>
      <c r="OEI30" t="str">
        <f t="shared" si="164"/>
        <v/>
      </c>
      <c r="OEJ30" t="str">
        <f t="shared" si="164"/>
        <v/>
      </c>
      <c r="OEK30" t="str">
        <f t="shared" si="164"/>
        <v/>
      </c>
      <c r="OEL30" t="str">
        <f t="shared" si="164"/>
        <v/>
      </c>
      <c r="OEM30" t="str">
        <f t="shared" si="164"/>
        <v/>
      </c>
      <c r="OEN30" t="str">
        <f t="shared" si="164"/>
        <v/>
      </c>
      <c r="OEO30" t="str">
        <f t="shared" si="164"/>
        <v/>
      </c>
      <c r="OEP30" t="str">
        <f t="shared" si="164"/>
        <v/>
      </c>
      <c r="OEQ30" t="str">
        <f t="shared" si="164"/>
        <v/>
      </c>
      <c r="OER30" t="str">
        <f t="shared" si="164"/>
        <v/>
      </c>
      <c r="OES30" t="str">
        <f t="shared" si="164"/>
        <v/>
      </c>
      <c r="OET30" t="str">
        <f t="shared" si="164"/>
        <v/>
      </c>
      <c r="OEU30" t="str">
        <f t="shared" si="164"/>
        <v/>
      </c>
      <c r="OEV30" t="str">
        <f t="shared" si="164"/>
        <v/>
      </c>
      <c r="OEW30" t="str">
        <f t="shared" si="164"/>
        <v/>
      </c>
      <c r="OEX30" t="str">
        <f t="shared" si="164"/>
        <v/>
      </c>
      <c r="OEY30" t="str">
        <f t="shared" si="164"/>
        <v/>
      </c>
      <c r="OEZ30" t="str">
        <f t="shared" si="164"/>
        <v/>
      </c>
      <c r="OFA30" t="str">
        <f t="shared" si="164"/>
        <v/>
      </c>
      <c r="OFB30" t="str">
        <f t="shared" si="164"/>
        <v/>
      </c>
      <c r="OFC30" t="str">
        <f t="shared" si="164"/>
        <v/>
      </c>
      <c r="OFD30" t="str">
        <f t="shared" si="164"/>
        <v/>
      </c>
      <c r="OFE30" t="str">
        <f t="shared" si="164"/>
        <v/>
      </c>
      <c r="OFF30" t="str">
        <f t="shared" si="164"/>
        <v/>
      </c>
      <c r="OFG30" t="str">
        <f t="shared" si="164"/>
        <v/>
      </c>
      <c r="OFH30" t="str">
        <f t="shared" si="164"/>
        <v/>
      </c>
      <c r="OFI30" t="str">
        <f t="shared" si="164"/>
        <v/>
      </c>
      <c r="OFJ30" t="str">
        <f t="shared" si="164"/>
        <v/>
      </c>
      <c r="OFK30" t="str">
        <f t="shared" si="164"/>
        <v/>
      </c>
      <c r="OFL30" t="str">
        <f t="shared" si="164"/>
        <v/>
      </c>
      <c r="OFM30" t="str">
        <f t="shared" si="164"/>
        <v/>
      </c>
      <c r="OFN30" t="str">
        <f t="shared" si="164"/>
        <v/>
      </c>
      <c r="OFO30" t="str">
        <f t="shared" si="164"/>
        <v/>
      </c>
      <c r="OFP30" t="str">
        <f t="shared" si="164"/>
        <v/>
      </c>
      <c r="OFQ30" t="str">
        <f t="shared" si="164"/>
        <v/>
      </c>
      <c r="OFR30" t="str">
        <f t="shared" si="164"/>
        <v/>
      </c>
      <c r="OFS30" t="str">
        <f t="shared" si="164"/>
        <v/>
      </c>
      <c r="OFT30" t="str">
        <f t="shared" si="164"/>
        <v/>
      </c>
      <c r="OFU30" t="str">
        <f t="shared" si="164"/>
        <v/>
      </c>
      <c r="OFV30" t="str">
        <f t="shared" si="164"/>
        <v/>
      </c>
      <c r="OFW30" t="str">
        <f t="shared" si="164"/>
        <v/>
      </c>
      <c r="OFX30" t="str">
        <f t="shared" ref="OFX30:OII30" si="165">TRIM(OGJ11)</f>
        <v/>
      </c>
      <c r="OFY30" t="str">
        <f t="shared" si="165"/>
        <v/>
      </c>
      <c r="OFZ30" t="str">
        <f t="shared" si="165"/>
        <v/>
      </c>
      <c r="OGA30" t="str">
        <f t="shared" si="165"/>
        <v/>
      </c>
      <c r="OGB30" t="str">
        <f t="shared" si="165"/>
        <v/>
      </c>
      <c r="OGC30" t="str">
        <f t="shared" si="165"/>
        <v/>
      </c>
      <c r="OGD30" t="str">
        <f t="shared" si="165"/>
        <v/>
      </c>
      <c r="OGE30" t="str">
        <f t="shared" si="165"/>
        <v/>
      </c>
      <c r="OGF30" t="str">
        <f t="shared" si="165"/>
        <v/>
      </c>
      <c r="OGG30" t="str">
        <f t="shared" si="165"/>
        <v/>
      </c>
      <c r="OGH30" t="str">
        <f t="shared" si="165"/>
        <v/>
      </c>
      <c r="OGI30" t="str">
        <f t="shared" si="165"/>
        <v/>
      </c>
      <c r="OGJ30" t="str">
        <f t="shared" si="165"/>
        <v/>
      </c>
      <c r="OGK30" t="str">
        <f t="shared" si="165"/>
        <v/>
      </c>
      <c r="OGL30" t="str">
        <f t="shared" si="165"/>
        <v/>
      </c>
      <c r="OGM30" t="str">
        <f t="shared" si="165"/>
        <v/>
      </c>
      <c r="OGN30" t="str">
        <f t="shared" si="165"/>
        <v/>
      </c>
      <c r="OGO30" t="str">
        <f t="shared" si="165"/>
        <v/>
      </c>
      <c r="OGP30" t="str">
        <f t="shared" si="165"/>
        <v/>
      </c>
      <c r="OGQ30" t="str">
        <f t="shared" si="165"/>
        <v/>
      </c>
      <c r="OGR30" t="str">
        <f t="shared" si="165"/>
        <v/>
      </c>
      <c r="OGS30" t="str">
        <f t="shared" si="165"/>
        <v/>
      </c>
      <c r="OGT30" t="str">
        <f t="shared" si="165"/>
        <v/>
      </c>
      <c r="OGU30" t="str">
        <f t="shared" si="165"/>
        <v/>
      </c>
      <c r="OGV30" t="str">
        <f t="shared" si="165"/>
        <v/>
      </c>
      <c r="OGW30" t="str">
        <f t="shared" si="165"/>
        <v/>
      </c>
      <c r="OGX30" t="str">
        <f t="shared" si="165"/>
        <v/>
      </c>
      <c r="OGY30" t="str">
        <f t="shared" si="165"/>
        <v/>
      </c>
      <c r="OGZ30" t="str">
        <f t="shared" si="165"/>
        <v/>
      </c>
      <c r="OHA30" t="str">
        <f t="shared" si="165"/>
        <v/>
      </c>
      <c r="OHB30" t="str">
        <f t="shared" si="165"/>
        <v/>
      </c>
      <c r="OHC30" t="str">
        <f t="shared" si="165"/>
        <v/>
      </c>
      <c r="OHD30" t="str">
        <f t="shared" si="165"/>
        <v/>
      </c>
      <c r="OHE30" t="str">
        <f t="shared" si="165"/>
        <v/>
      </c>
      <c r="OHF30" t="str">
        <f t="shared" si="165"/>
        <v/>
      </c>
      <c r="OHG30" t="str">
        <f t="shared" si="165"/>
        <v/>
      </c>
      <c r="OHH30" t="str">
        <f t="shared" si="165"/>
        <v/>
      </c>
      <c r="OHI30" t="str">
        <f t="shared" si="165"/>
        <v/>
      </c>
      <c r="OHJ30" t="str">
        <f t="shared" si="165"/>
        <v/>
      </c>
      <c r="OHK30" t="str">
        <f t="shared" si="165"/>
        <v/>
      </c>
      <c r="OHL30" t="str">
        <f t="shared" si="165"/>
        <v/>
      </c>
      <c r="OHM30" t="str">
        <f t="shared" si="165"/>
        <v/>
      </c>
      <c r="OHN30" t="str">
        <f t="shared" si="165"/>
        <v/>
      </c>
      <c r="OHO30" t="str">
        <f t="shared" si="165"/>
        <v/>
      </c>
      <c r="OHP30" t="str">
        <f t="shared" si="165"/>
        <v/>
      </c>
      <c r="OHQ30" t="str">
        <f t="shared" si="165"/>
        <v/>
      </c>
      <c r="OHR30" t="str">
        <f t="shared" si="165"/>
        <v/>
      </c>
      <c r="OHS30" t="str">
        <f t="shared" si="165"/>
        <v/>
      </c>
      <c r="OHT30" t="str">
        <f t="shared" si="165"/>
        <v/>
      </c>
      <c r="OHU30" t="str">
        <f t="shared" si="165"/>
        <v/>
      </c>
      <c r="OHV30" t="str">
        <f t="shared" si="165"/>
        <v/>
      </c>
      <c r="OHW30" t="str">
        <f t="shared" si="165"/>
        <v/>
      </c>
      <c r="OHX30" t="str">
        <f t="shared" si="165"/>
        <v/>
      </c>
      <c r="OHY30" t="str">
        <f t="shared" si="165"/>
        <v/>
      </c>
      <c r="OHZ30" t="str">
        <f t="shared" si="165"/>
        <v/>
      </c>
      <c r="OIA30" t="str">
        <f t="shared" si="165"/>
        <v/>
      </c>
      <c r="OIB30" t="str">
        <f t="shared" si="165"/>
        <v/>
      </c>
      <c r="OIC30" t="str">
        <f t="shared" si="165"/>
        <v/>
      </c>
      <c r="OID30" t="str">
        <f t="shared" si="165"/>
        <v/>
      </c>
      <c r="OIE30" t="str">
        <f t="shared" si="165"/>
        <v/>
      </c>
      <c r="OIF30" t="str">
        <f t="shared" si="165"/>
        <v/>
      </c>
      <c r="OIG30" t="str">
        <f t="shared" si="165"/>
        <v/>
      </c>
      <c r="OIH30" t="str">
        <f t="shared" si="165"/>
        <v/>
      </c>
      <c r="OII30" t="str">
        <f t="shared" si="165"/>
        <v/>
      </c>
      <c r="OIJ30" t="str">
        <f t="shared" ref="OIJ30:OKU30" si="166">TRIM(OIV11)</f>
        <v/>
      </c>
      <c r="OIK30" t="str">
        <f t="shared" si="166"/>
        <v/>
      </c>
      <c r="OIL30" t="str">
        <f t="shared" si="166"/>
        <v/>
      </c>
      <c r="OIM30" t="str">
        <f t="shared" si="166"/>
        <v/>
      </c>
      <c r="OIN30" t="str">
        <f t="shared" si="166"/>
        <v/>
      </c>
      <c r="OIO30" t="str">
        <f t="shared" si="166"/>
        <v/>
      </c>
      <c r="OIP30" t="str">
        <f t="shared" si="166"/>
        <v/>
      </c>
      <c r="OIQ30" t="str">
        <f t="shared" si="166"/>
        <v/>
      </c>
      <c r="OIR30" t="str">
        <f t="shared" si="166"/>
        <v/>
      </c>
      <c r="OIS30" t="str">
        <f t="shared" si="166"/>
        <v/>
      </c>
      <c r="OIT30" t="str">
        <f t="shared" si="166"/>
        <v/>
      </c>
      <c r="OIU30" t="str">
        <f t="shared" si="166"/>
        <v/>
      </c>
      <c r="OIV30" t="str">
        <f t="shared" si="166"/>
        <v/>
      </c>
      <c r="OIW30" t="str">
        <f t="shared" si="166"/>
        <v/>
      </c>
      <c r="OIX30" t="str">
        <f t="shared" si="166"/>
        <v/>
      </c>
      <c r="OIY30" t="str">
        <f t="shared" si="166"/>
        <v/>
      </c>
      <c r="OIZ30" t="str">
        <f t="shared" si="166"/>
        <v/>
      </c>
      <c r="OJA30" t="str">
        <f t="shared" si="166"/>
        <v/>
      </c>
      <c r="OJB30" t="str">
        <f t="shared" si="166"/>
        <v/>
      </c>
      <c r="OJC30" t="str">
        <f t="shared" si="166"/>
        <v/>
      </c>
      <c r="OJD30" t="str">
        <f t="shared" si="166"/>
        <v/>
      </c>
      <c r="OJE30" t="str">
        <f t="shared" si="166"/>
        <v/>
      </c>
      <c r="OJF30" t="str">
        <f t="shared" si="166"/>
        <v/>
      </c>
      <c r="OJG30" t="str">
        <f t="shared" si="166"/>
        <v/>
      </c>
      <c r="OJH30" t="str">
        <f t="shared" si="166"/>
        <v/>
      </c>
      <c r="OJI30" t="str">
        <f t="shared" si="166"/>
        <v/>
      </c>
      <c r="OJJ30" t="str">
        <f t="shared" si="166"/>
        <v/>
      </c>
      <c r="OJK30" t="str">
        <f t="shared" si="166"/>
        <v/>
      </c>
      <c r="OJL30" t="str">
        <f t="shared" si="166"/>
        <v/>
      </c>
      <c r="OJM30" t="str">
        <f t="shared" si="166"/>
        <v/>
      </c>
      <c r="OJN30" t="str">
        <f t="shared" si="166"/>
        <v/>
      </c>
      <c r="OJO30" t="str">
        <f t="shared" si="166"/>
        <v/>
      </c>
      <c r="OJP30" t="str">
        <f t="shared" si="166"/>
        <v/>
      </c>
      <c r="OJQ30" t="str">
        <f t="shared" si="166"/>
        <v/>
      </c>
      <c r="OJR30" t="str">
        <f t="shared" si="166"/>
        <v/>
      </c>
      <c r="OJS30" t="str">
        <f t="shared" si="166"/>
        <v/>
      </c>
      <c r="OJT30" t="str">
        <f t="shared" si="166"/>
        <v/>
      </c>
      <c r="OJU30" t="str">
        <f t="shared" si="166"/>
        <v/>
      </c>
      <c r="OJV30" t="str">
        <f t="shared" si="166"/>
        <v/>
      </c>
      <c r="OJW30" t="str">
        <f t="shared" si="166"/>
        <v/>
      </c>
      <c r="OJX30" t="str">
        <f t="shared" si="166"/>
        <v/>
      </c>
      <c r="OJY30" t="str">
        <f t="shared" si="166"/>
        <v/>
      </c>
      <c r="OJZ30" t="str">
        <f t="shared" si="166"/>
        <v/>
      </c>
      <c r="OKA30" t="str">
        <f t="shared" si="166"/>
        <v/>
      </c>
      <c r="OKB30" t="str">
        <f t="shared" si="166"/>
        <v/>
      </c>
      <c r="OKC30" t="str">
        <f t="shared" si="166"/>
        <v/>
      </c>
      <c r="OKD30" t="str">
        <f t="shared" si="166"/>
        <v/>
      </c>
      <c r="OKE30" t="str">
        <f t="shared" si="166"/>
        <v/>
      </c>
      <c r="OKF30" t="str">
        <f t="shared" si="166"/>
        <v/>
      </c>
      <c r="OKG30" t="str">
        <f t="shared" si="166"/>
        <v/>
      </c>
      <c r="OKH30" t="str">
        <f t="shared" si="166"/>
        <v/>
      </c>
      <c r="OKI30" t="str">
        <f t="shared" si="166"/>
        <v/>
      </c>
      <c r="OKJ30" t="str">
        <f t="shared" si="166"/>
        <v/>
      </c>
      <c r="OKK30" t="str">
        <f t="shared" si="166"/>
        <v/>
      </c>
      <c r="OKL30" t="str">
        <f t="shared" si="166"/>
        <v/>
      </c>
      <c r="OKM30" t="str">
        <f t="shared" si="166"/>
        <v/>
      </c>
      <c r="OKN30" t="str">
        <f t="shared" si="166"/>
        <v/>
      </c>
      <c r="OKO30" t="str">
        <f t="shared" si="166"/>
        <v/>
      </c>
      <c r="OKP30" t="str">
        <f t="shared" si="166"/>
        <v/>
      </c>
      <c r="OKQ30" t="str">
        <f t="shared" si="166"/>
        <v/>
      </c>
      <c r="OKR30" t="str">
        <f t="shared" si="166"/>
        <v/>
      </c>
      <c r="OKS30" t="str">
        <f t="shared" si="166"/>
        <v/>
      </c>
      <c r="OKT30" t="str">
        <f t="shared" si="166"/>
        <v/>
      </c>
      <c r="OKU30" t="str">
        <f t="shared" si="166"/>
        <v/>
      </c>
      <c r="OKV30" t="str">
        <f t="shared" ref="OKV30:ONG30" si="167">TRIM(OLH11)</f>
        <v/>
      </c>
      <c r="OKW30" t="str">
        <f t="shared" si="167"/>
        <v/>
      </c>
      <c r="OKX30" t="str">
        <f t="shared" si="167"/>
        <v/>
      </c>
      <c r="OKY30" t="str">
        <f t="shared" si="167"/>
        <v/>
      </c>
      <c r="OKZ30" t="str">
        <f t="shared" si="167"/>
        <v/>
      </c>
      <c r="OLA30" t="str">
        <f t="shared" si="167"/>
        <v/>
      </c>
      <c r="OLB30" t="str">
        <f t="shared" si="167"/>
        <v/>
      </c>
      <c r="OLC30" t="str">
        <f t="shared" si="167"/>
        <v/>
      </c>
      <c r="OLD30" t="str">
        <f t="shared" si="167"/>
        <v/>
      </c>
      <c r="OLE30" t="str">
        <f t="shared" si="167"/>
        <v/>
      </c>
      <c r="OLF30" t="str">
        <f t="shared" si="167"/>
        <v/>
      </c>
      <c r="OLG30" t="str">
        <f t="shared" si="167"/>
        <v/>
      </c>
      <c r="OLH30" t="str">
        <f t="shared" si="167"/>
        <v/>
      </c>
      <c r="OLI30" t="str">
        <f t="shared" si="167"/>
        <v/>
      </c>
      <c r="OLJ30" t="str">
        <f t="shared" si="167"/>
        <v/>
      </c>
      <c r="OLK30" t="str">
        <f t="shared" si="167"/>
        <v/>
      </c>
      <c r="OLL30" t="str">
        <f t="shared" si="167"/>
        <v/>
      </c>
      <c r="OLM30" t="str">
        <f t="shared" si="167"/>
        <v/>
      </c>
      <c r="OLN30" t="str">
        <f t="shared" si="167"/>
        <v/>
      </c>
      <c r="OLO30" t="str">
        <f t="shared" si="167"/>
        <v/>
      </c>
      <c r="OLP30" t="str">
        <f t="shared" si="167"/>
        <v/>
      </c>
      <c r="OLQ30" t="str">
        <f t="shared" si="167"/>
        <v/>
      </c>
      <c r="OLR30" t="str">
        <f t="shared" si="167"/>
        <v/>
      </c>
      <c r="OLS30" t="str">
        <f t="shared" si="167"/>
        <v/>
      </c>
      <c r="OLT30" t="str">
        <f t="shared" si="167"/>
        <v/>
      </c>
      <c r="OLU30" t="str">
        <f t="shared" si="167"/>
        <v/>
      </c>
      <c r="OLV30" t="str">
        <f t="shared" si="167"/>
        <v/>
      </c>
      <c r="OLW30" t="str">
        <f t="shared" si="167"/>
        <v/>
      </c>
      <c r="OLX30" t="str">
        <f t="shared" si="167"/>
        <v/>
      </c>
      <c r="OLY30" t="str">
        <f t="shared" si="167"/>
        <v/>
      </c>
      <c r="OLZ30" t="str">
        <f t="shared" si="167"/>
        <v/>
      </c>
      <c r="OMA30" t="str">
        <f t="shared" si="167"/>
        <v/>
      </c>
      <c r="OMB30" t="str">
        <f t="shared" si="167"/>
        <v/>
      </c>
      <c r="OMC30" t="str">
        <f t="shared" si="167"/>
        <v/>
      </c>
      <c r="OMD30" t="str">
        <f t="shared" si="167"/>
        <v/>
      </c>
      <c r="OME30" t="str">
        <f t="shared" si="167"/>
        <v/>
      </c>
      <c r="OMF30" t="str">
        <f t="shared" si="167"/>
        <v/>
      </c>
      <c r="OMG30" t="str">
        <f t="shared" si="167"/>
        <v/>
      </c>
      <c r="OMH30" t="str">
        <f t="shared" si="167"/>
        <v/>
      </c>
      <c r="OMI30" t="str">
        <f t="shared" si="167"/>
        <v/>
      </c>
      <c r="OMJ30" t="str">
        <f t="shared" si="167"/>
        <v/>
      </c>
      <c r="OMK30" t="str">
        <f t="shared" si="167"/>
        <v/>
      </c>
      <c r="OML30" t="str">
        <f t="shared" si="167"/>
        <v/>
      </c>
      <c r="OMM30" t="str">
        <f t="shared" si="167"/>
        <v/>
      </c>
      <c r="OMN30" t="str">
        <f t="shared" si="167"/>
        <v/>
      </c>
      <c r="OMO30" t="str">
        <f t="shared" si="167"/>
        <v/>
      </c>
      <c r="OMP30" t="str">
        <f t="shared" si="167"/>
        <v/>
      </c>
      <c r="OMQ30" t="str">
        <f t="shared" si="167"/>
        <v/>
      </c>
      <c r="OMR30" t="str">
        <f t="shared" si="167"/>
        <v/>
      </c>
      <c r="OMS30" t="str">
        <f t="shared" si="167"/>
        <v/>
      </c>
      <c r="OMT30" t="str">
        <f t="shared" si="167"/>
        <v/>
      </c>
      <c r="OMU30" t="str">
        <f t="shared" si="167"/>
        <v/>
      </c>
      <c r="OMV30" t="str">
        <f t="shared" si="167"/>
        <v/>
      </c>
      <c r="OMW30" t="str">
        <f t="shared" si="167"/>
        <v/>
      </c>
      <c r="OMX30" t="str">
        <f t="shared" si="167"/>
        <v/>
      </c>
      <c r="OMY30" t="str">
        <f t="shared" si="167"/>
        <v/>
      </c>
      <c r="OMZ30" t="str">
        <f t="shared" si="167"/>
        <v/>
      </c>
      <c r="ONA30" t="str">
        <f t="shared" si="167"/>
        <v/>
      </c>
      <c r="ONB30" t="str">
        <f t="shared" si="167"/>
        <v/>
      </c>
      <c r="ONC30" t="str">
        <f t="shared" si="167"/>
        <v/>
      </c>
      <c r="OND30" t="str">
        <f t="shared" si="167"/>
        <v/>
      </c>
      <c r="ONE30" t="str">
        <f t="shared" si="167"/>
        <v/>
      </c>
      <c r="ONF30" t="str">
        <f t="shared" si="167"/>
        <v/>
      </c>
      <c r="ONG30" t="str">
        <f t="shared" si="167"/>
        <v/>
      </c>
      <c r="ONH30" t="str">
        <f t="shared" ref="ONH30:OPS30" si="168">TRIM(ONT11)</f>
        <v/>
      </c>
      <c r="ONI30" t="str">
        <f t="shared" si="168"/>
        <v/>
      </c>
      <c r="ONJ30" t="str">
        <f t="shared" si="168"/>
        <v/>
      </c>
      <c r="ONK30" t="str">
        <f t="shared" si="168"/>
        <v/>
      </c>
      <c r="ONL30" t="str">
        <f t="shared" si="168"/>
        <v/>
      </c>
      <c r="ONM30" t="str">
        <f t="shared" si="168"/>
        <v/>
      </c>
      <c r="ONN30" t="str">
        <f t="shared" si="168"/>
        <v/>
      </c>
      <c r="ONO30" t="str">
        <f t="shared" si="168"/>
        <v/>
      </c>
      <c r="ONP30" t="str">
        <f t="shared" si="168"/>
        <v/>
      </c>
      <c r="ONQ30" t="str">
        <f t="shared" si="168"/>
        <v/>
      </c>
      <c r="ONR30" t="str">
        <f t="shared" si="168"/>
        <v/>
      </c>
      <c r="ONS30" t="str">
        <f t="shared" si="168"/>
        <v/>
      </c>
      <c r="ONT30" t="str">
        <f t="shared" si="168"/>
        <v/>
      </c>
      <c r="ONU30" t="str">
        <f t="shared" si="168"/>
        <v/>
      </c>
      <c r="ONV30" t="str">
        <f t="shared" si="168"/>
        <v/>
      </c>
      <c r="ONW30" t="str">
        <f t="shared" si="168"/>
        <v/>
      </c>
      <c r="ONX30" t="str">
        <f t="shared" si="168"/>
        <v/>
      </c>
      <c r="ONY30" t="str">
        <f t="shared" si="168"/>
        <v/>
      </c>
      <c r="ONZ30" t="str">
        <f t="shared" si="168"/>
        <v/>
      </c>
      <c r="OOA30" t="str">
        <f t="shared" si="168"/>
        <v/>
      </c>
      <c r="OOB30" t="str">
        <f t="shared" si="168"/>
        <v/>
      </c>
      <c r="OOC30" t="str">
        <f t="shared" si="168"/>
        <v/>
      </c>
      <c r="OOD30" t="str">
        <f t="shared" si="168"/>
        <v/>
      </c>
      <c r="OOE30" t="str">
        <f t="shared" si="168"/>
        <v/>
      </c>
      <c r="OOF30" t="str">
        <f t="shared" si="168"/>
        <v/>
      </c>
      <c r="OOG30" t="str">
        <f t="shared" si="168"/>
        <v/>
      </c>
      <c r="OOH30" t="str">
        <f t="shared" si="168"/>
        <v/>
      </c>
      <c r="OOI30" t="str">
        <f t="shared" si="168"/>
        <v/>
      </c>
      <c r="OOJ30" t="str">
        <f t="shared" si="168"/>
        <v/>
      </c>
      <c r="OOK30" t="str">
        <f t="shared" si="168"/>
        <v/>
      </c>
      <c r="OOL30" t="str">
        <f t="shared" si="168"/>
        <v/>
      </c>
      <c r="OOM30" t="str">
        <f t="shared" si="168"/>
        <v/>
      </c>
      <c r="OON30" t="str">
        <f t="shared" si="168"/>
        <v/>
      </c>
      <c r="OOO30" t="str">
        <f t="shared" si="168"/>
        <v/>
      </c>
      <c r="OOP30" t="str">
        <f t="shared" si="168"/>
        <v/>
      </c>
      <c r="OOQ30" t="str">
        <f t="shared" si="168"/>
        <v/>
      </c>
      <c r="OOR30" t="str">
        <f t="shared" si="168"/>
        <v/>
      </c>
      <c r="OOS30" t="str">
        <f t="shared" si="168"/>
        <v/>
      </c>
      <c r="OOT30" t="str">
        <f t="shared" si="168"/>
        <v/>
      </c>
      <c r="OOU30" t="str">
        <f t="shared" si="168"/>
        <v/>
      </c>
      <c r="OOV30" t="str">
        <f t="shared" si="168"/>
        <v/>
      </c>
      <c r="OOW30" t="str">
        <f t="shared" si="168"/>
        <v/>
      </c>
      <c r="OOX30" t="str">
        <f t="shared" si="168"/>
        <v/>
      </c>
      <c r="OOY30" t="str">
        <f t="shared" si="168"/>
        <v/>
      </c>
      <c r="OOZ30" t="str">
        <f t="shared" si="168"/>
        <v/>
      </c>
      <c r="OPA30" t="str">
        <f t="shared" si="168"/>
        <v/>
      </c>
      <c r="OPB30" t="str">
        <f t="shared" si="168"/>
        <v/>
      </c>
      <c r="OPC30" t="str">
        <f t="shared" si="168"/>
        <v/>
      </c>
      <c r="OPD30" t="str">
        <f t="shared" si="168"/>
        <v/>
      </c>
      <c r="OPE30" t="str">
        <f t="shared" si="168"/>
        <v/>
      </c>
      <c r="OPF30" t="str">
        <f t="shared" si="168"/>
        <v/>
      </c>
      <c r="OPG30" t="str">
        <f t="shared" si="168"/>
        <v/>
      </c>
      <c r="OPH30" t="str">
        <f t="shared" si="168"/>
        <v/>
      </c>
      <c r="OPI30" t="str">
        <f t="shared" si="168"/>
        <v/>
      </c>
      <c r="OPJ30" t="str">
        <f t="shared" si="168"/>
        <v/>
      </c>
      <c r="OPK30" t="str">
        <f t="shared" si="168"/>
        <v/>
      </c>
      <c r="OPL30" t="str">
        <f t="shared" si="168"/>
        <v/>
      </c>
      <c r="OPM30" t="str">
        <f t="shared" si="168"/>
        <v/>
      </c>
      <c r="OPN30" t="str">
        <f t="shared" si="168"/>
        <v/>
      </c>
      <c r="OPO30" t="str">
        <f t="shared" si="168"/>
        <v/>
      </c>
      <c r="OPP30" t="str">
        <f t="shared" si="168"/>
        <v/>
      </c>
      <c r="OPQ30" t="str">
        <f t="shared" si="168"/>
        <v/>
      </c>
      <c r="OPR30" t="str">
        <f t="shared" si="168"/>
        <v/>
      </c>
      <c r="OPS30" t="str">
        <f t="shared" si="168"/>
        <v/>
      </c>
      <c r="OPT30" t="str">
        <f t="shared" ref="OPT30:OSE30" si="169">TRIM(OQF11)</f>
        <v/>
      </c>
      <c r="OPU30" t="str">
        <f t="shared" si="169"/>
        <v/>
      </c>
      <c r="OPV30" t="str">
        <f t="shared" si="169"/>
        <v/>
      </c>
      <c r="OPW30" t="str">
        <f t="shared" si="169"/>
        <v/>
      </c>
      <c r="OPX30" t="str">
        <f t="shared" si="169"/>
        <v/>
      </c>
      <c r="OPY30" t="str">
        <f t="shared" si="169"/>
        <v/>
      </c>
      <c r="OPZ30" t="str">
        <f t="shared" si="169"/>
        <v/>
      </c>
      <c r="OQA30" t="str">
        <f t="shared" si="169"/>
        <v/>
      </c>
      <c r="OQB30" t="str">
        <f t="shared" si="169"/>
        <v/>
      </c>
      <c r="OQC30" t="str">
        <f t="shared" si="169"/>
        <v/>
      </c>
      <c r="OQD30" t="str">
        <f t="shared" si="169"/>
        <v/>
      </c>
      <c r="OQE30" t="str">
        <f t="shared" si="169"/>
        <v/>
      </c>
      <c r="OQF30" t="str">
        <f t="shared" si="169"/>
        <v/>
      </c>
      <c r="OQG30" t="str">
        <f t="shared" si="169"/>
        <v/>
      </c>
      <c r="OQH30" t="str">
        <f t="shared" si="169"/>
        <v/>
      </c>
      <c r="OQI30" t="str">
        <f t="shared" si="169"/>
        <v/>
      </c>
      <c r="OQJ30" t="str">
        <f t="shared" si="169"/>
        <v/>
      </c>
      <c r="OQK30" t="str">
        <f t="shared" si="169"/>
        <v/>
      </c>
      <c r="OQL30" t="str">
        <f t="shared" si="169"/>
        <v/>
      </c>
      <c r="OQM30" t="str">
        <f t="shared" si="169"/>
        <v/>
      </c>
      <c r="OQN30" t="str">
        <f t="shared" si="169"/>
        <v/>
      </c>
      <c r="OQO30" t="str">
        <f t="shared" si="169"/>
        <v/>
      </c>
      <c r="OQP30" t="str">
        <f t="shared" si="169"/>
        <v/>
      </c>
      <c r="OQQ30" t="str">
        <f t="shared" si="169"/>
        <v/>
      </c>
      <c r="OQR30" t="str">
        <f t="shared" si="169"/>
        <v/>
      </c>
      <c r="OQS30" t="str">
        <f t="shared" si="169"/>
        <v/>
      </c>
      <c r="OQT30" t="str">
        <f t="shared" si="169"/>
        <v/>
      </c>
      <c r="OQU30" t="str">
        <f t="shared" si="169"/>
        <v/>
      </c>
      <c r="OQV30" t="str">
        <f t="shared" si="169"/>
        <v/>
      </c>
      <c r="OQW30" t="str">
        <f t="shared" si="169"/>
        <v/>
      </c>
      <c r="OQX30" t="str">
        <f t="shared" si="169"/>
        <v/>
      </c>
      <c r="OQY30" t="str">
        <f t="shared" si="169"/>
        <v/>
      </c>
      <c r="OQZ30" t="str">
        <f t="shared" si="169"/>
        <v/>
      </c>
      <c r="ORA30" t="str">
        <f t="shared" si="169"/>
        <v/>
      </c>
      <c r="ORB30" t="str">
        <f t="shared" si="169"/>
        <v/>
      </c>
      <c r="ORC30" t="str">
        <f t="shared" si="169"/>
        <v/>
      </c>
      <c r="ORD30" t="str">
        <f t="shared" si="169"/>
        <v/>
      </c>
      <c r="ORE30" t="str">
        <f t="shared" si="169"/>
        <v/>
      </c>
      <c r="ORF30" t="str">
        <f t="shared" si="169"/>
        <v/>
      </c>
      <c r="ORG30" t="str">
        <f t="shared" si="169"/>
        <v/>
      </c>
      <c r="ORH30" t="str">
        <f t="shared" si="169"/>
        <v/>
      </c>
      <c r="ORI30" t="str">
        <f t="shared" si="169"/>
        <v/>
      </c>
      <c r="ORJ30" t="str">
        <f t="shared" si="169"/>
        <v/>
      </c>
      <c r="ORK30" t="str">
        <f t="shared" si="169"/>
        <v/>
      </c>
      <c r="ORL30" t="str">
        <f t="shared" si="169"/>
        <v/>
      </c>
      <c r="ORM30" t="str">
        <f t="shared" si="169"/>
        <v/>
      </c>
      <c r="ORN30" t="str">
        <f t="shared" si="169"/>
        <v/>
      </c>
      <c r="ORO30" t="str">
        <f t="shared" si="169"/>
        <v/>
      </c>
      <c r="ORP30" t="str">
        <f t="shared" si="169"/>
        <v/>
      </c>
      <c r="ORQ30" t="str">
        <f t="shared" si="169"/>
        <v/>
      </c>
      <c r="ORR30" t="str">
        <f t="shared" si="169"/>
        <v/>
      </c>
      <c r="ORS30" t="str">
        <f t="shared" si="169"/>
        <v/>
      </c>
      <c r="ORT30" t="str">
        <f t="shared" si="169"/>
        <v/>
      </c>
      <c r="ORU30" t="str">
        <f t="shared" si="169"/>
        <v/>
      </c>
      <c r="ORV30" t="str">
        <f t="shared" si="169"/>
        <v/>
      </c>
      <c r="ORW30" t="str">
        <f t="shared" si="169"/>
        <v/>
      </c>
      <c r="ORX30" t="str">
        <f t="shared" si="169"/>
        <v/>
      </c>
      <c r="ORY30" t="str">
        <f t="shared" si="169"/>
        <v/>
      </c>
      <c r="ORZ30" t="str">
        <f t="shared" si="169"/>
        <v/>
      </c>
      <c r="OSA30" t="str">
        <f t="shared" si="169"/>
        <v/>
      </c>
      <c r="OSB30" t="str">
        <f t="shared" si="169"/>
        <v/>
      </c>
      <c r="OSC30" t="str">
        <f t="shared" si="169"/>
        <v/>
      </c>
      <c r="OSD30" t="str">
        <f t="shared" si="169"/>
        <v/>
      </c>
      <c r="OSE30" t="str">
        <f t="shared" si="169"/>
        <v/>
      </c>
      <c r="OSF30" t="str">
        <f t="shared" ref="OSF30:OUQ30" si="170">TRIM(OSR11)</f>
        <v/>
      </c>
      <c r="OSG30" t="str">
        <f t="shared" si="170"/>
        <v/>
      </c>
      <c r="OSH30" t="str">
        <f t="shared" si="170"/>
        <v/>
      </c>
      <c r="OSI30" t="str">
        <f t="shared" si="170"/>
        <v/>
      </c>
      <c r="OSJ30" t="str">
        <f t="shared" si="170"/>
        <v/>
      </c>
      <c r="OSK30" t="str">
        <f t="shared" si="170"/>
        <v/>
      </c>
      <c r="OSL30" t="str">
        <f t="shared" si="170"/>
        <v/>
      </c>
      <c r="OSM30" t="str">
        <f t="shared" si="170"/>
        <v/>
      </c>
      <c r="OSN30" t="str">
        <f t="shared" si="170"/>
        <v/>
      </c>
      <c r="OSO30" t="str">
        <f t="shared" si="170"/>
        <v/>
      </c>
      <c r="OSP30" t="str">
        <f t="shared" si="170"/>
        <v/>
      </c>
      <c r="OSQ30" t="str">
        <f t="shared" si="170"/>
        <v/>
      </c>
      <c r="OSR30" t="str">
        <f t="shared" si="170"/>
        <v/>
      </c>
      <c r="OSS30" t="str">
        <f t="shared" si="170"/>
        <v/>
      </c>
      <c r="OST30" t="str">
        <f t="shared" si="170"/>
        <v/>
      </c>
      <c r="OSU30" t="str">
        <f t="shared" si="170"/>
        <v/>
      </c>
      <c r="OSV30" t="str">
        <f t="shared" si="170"/>
        <v/>
      </c>
      <c r="OSW30" t="str">
        <f t="shared" si="170"/>
        <v/>
      </c>
      <c r="OSX30" t="str">
        <f t="shared" si="170"/>
        <v/>
      </c>
      <c r="OSY30" t="str">
        <f t="shared" si="170"/>
        <v/>
      </c>
      <c r="OSZ30" t="str">
        <f t="shared" si="170"/>
        <v/>
      </c>
      <c r="OTA30" t="str">
        <f t="shared" si="170"/>
        <v/>
      </c>
      <c r="OTB30" t="str">
        <f t="shared" si="170"/>
        <v/>
      </c>
      <c r="OTC30" t="str">
        <f t="shared" si="170"/>
        <v/>
      </c>
      <c r="OTD30" t="str">
        <f t="shared" si="170"/>
        <v/>
      </c>
      <c r="OTE30" t="str">
        <f t="shared" si="170"/>
        <v/>
      </c>
      <c r="OTF30" t="str">
        <f t="shared" si="170"/>
        <v/>
      </c>
      <c r="OTG30" t="str">
        <f t="shared" si="170"/>
        <v/>
      </c>
      <c r="OTH30" t="str">
        <f t="shared" si="170"/>
        <v/>
      </c>
      <c r="OTI30" t="str">
        <f t="shared" si="170"/>
        <v/>
      </c>
      <c r="OTJ30" t="str">
        <f t="shared" si="170"/>
        <v/>
      </c>
      <c r="OTK30" t="str">
        <f t="shared" si="170"/>
        <v/>
      </c>
      <c r="OTL30" t="str">
        <f t="shared" si="170"/>
        <v/>
      </c>
      <c r="OTM30" t="str">
        <f t="shared" si="170"/>
        <v/>
      </c>
      <c r="OTN30" t="str">
        <f t="shared" si="170"/>
        <v/>
      </c>
      <c r="OTO30" t="str">
        <f t="shared" si="170"/>
        <v/>
      </c>
      <c r="OTP30" t="str">
        <f t="shared" si="170"/>
        <v/>
      </c>
      <c r="OTQ30" t="str">
        <f t="shared" si="170"/>
        <v/>
      </c>
      <c r="OTR30" t="str">
        <f t="shared" si="170"/>
        <v/>
      </c>
      <c r="OTS30" t="str">
        <f t="shared" si="170"/>
        <v/>
      </c>
      <c r="OTT30" t="str">
        <f t="shared" si="170"/>
        <v/>
      </c>
      <c r="OTU30" t="str">
        <f t="shared" si="170"/>
        <v/>
      </c>
      <c r="OTV30" t="str">
        <f t="shared" si="170"/>
        <v/>
      </c>
      <c r="OTW30" t="str">
        <f t="shared" si="170"/>
        <v/>
      </c>
      <c r="OTX30" t="str">
        <f t="shared" si="170"/>
        <v/>
      </c>
      <c r="OTY30" t="str">
        <f t="shared" si="170"/>
        <v/>
      </c>
      <c r="OTZ30" t="str">
        <f t="shared" si="170"/>
        <v/>
      </c>
      <c r="OUA30" t="str">
        <f t="shared" si="170"/>
        <v/>
      </c>
      <c r="OUB30" t="str">
        <f t="shared" si="170"/>
        <v/>
      </c>
      <c r="OUC30" t="str">
        <f t="shared" si="170"/>
        <v/>
      </c>
      <c r="OUD30" t="str">
        <f t="shared" si="170"/>
        <v/>
      </c>
      <c r="OUE30" t="str">
        <f t="shared" si="170"/>
        <v/>
      </c>
      <c r="OUF30" t="str">
        <f t="shared" si="170"/>
        <v/>
      </c>
      <c r="OUG30" t="str">
        <f t="shared" si="170"/>
        <v/>
      </c>
      <c r="OUH30" t="str">
        <f t="shared" si="170"/>
        <v/>
      </c>
      <c r="OUI30" t="str">
        <f t="shared" si="170"/>
        <v/>
      </c>
      <c r="OUJ30" t="str">
        <f t="shared" si="170"/>
        <v/>
      </c>
      <c r="OUK30" t="str">
        <f t="shared" si="170"/>
        <v/>
      </c>
      <c r="OUL30" t="str">
        <f t="shared" si="170"/>
        <v/>
      </c>
      <c r="OUM30" t="str">
        <f t="shared" si="170"/>
        <v/>
      </c>
      <c r="OUN30" t="str">
        <f t="shared" si="170"/>
        <v/>
      </c>
      <c r="OUO30" t="str">
        <f t="shared" si="170"/>
        <v/>
      </c>
      <c r="OUP30" t="str">
        <f t="shared" si="170"/>
        <v/>
      </c>
      <c r="OUQ30" t="str">
        <f t="shared" si="170"/>
        <v/>
      </c>
      <c r="OUR30" t="str">
        <f t="shared" ref="OUR30:OXC30" si="171">TRIM(OVD11)</f>
        <v/>
      </c>
      <c r="OUS30" t="str">
        <f t="shared" si="171"/>
        <v/>
      </c>
      <c r="OUT30" t="str">
        <f t="shared" si="171"/>
        <v/>
      </c>
      <c r="OUU30" t="str">
        <f t="shared" si="171"/>
        <v/>
      </c>
      <c r="OUV30" t="str">
        <f t="shared" si="171"/>
        <v/>
      </c>
      <c r="OUW30" t="str">
        <f t="shared" si="171"/>
        <v/>
      </c>
      <c r="OUX30" t="str">
        <f t="shared" si="171"/>
        <v/>
      </c>
      <c r="OUY30" t="str">
        <f t="shared" si="171"/>
        <v/>
      </c>
      <c r="OUZ30" t="str">
        <f t="shared" si="171"/>
        <v/>
      </c>
      <c r="OVA30" t="str">
        <f t="shared" si="171"/>
        <v/>
      </c>
      <c r="OVB30" t="str">
        <f t="shared" si="171"/>
        <v/>
      </c>
      <c r="OVC30" t="str">
        <f t="shared" si="171"/>
        <v/>
      </c>
      <c r="OVD30" t="str">
        <f t="shared" si="171"/>
        <v/>
      </c>
      <c r="OVE30" t="str">
        <f t="shared" si="171"/>
        <v/>
      </c>
      <c r="OVF30" t="str">
        <f t="shared" si="171"/>
        <v/>
      </c>
      <c r="OVG30" t="str">
        <f t="shared" si="171"/>
        <v/>
      </c>
      <c r="OVH30" t="str">
        <f t="shared" si="171"/>
        <v/>
      </c>
      <c r="OVI30" t="str">
        <f t="shared" si="171"/>
        <v/>
      </c>
      <c r="OVJ30" t="str">
        <f t="shared" si="171"/>
        <v/>
      </c>
      <c r="OVK30" t="str">
        <f t="shared" si="171"/>
        <v/>
      </c>
      <c r="OVL30" t="str">
        <f t="shared" si="171"/>
        <v/>
      </c>
      <c r="OVM30" t="str">
        <f t="shared" si="171"/>
        <v/>
      </c>
      <c r="OVN30" t="str">
        <f t="shared" si="171"/>
        <v/>
      </c>
      <c r="OVO30" t="str">
        <f t="shared" si="171"/>
        <v/>
      </c>
      <c r="OVP30" t="str">
        <f t="shared" si="171"/>
        <v/>
      </c>
      <c r="OVQ30" t="str">
        <f t="shared" si="171"/>
        <v/>
      </c>
      <c r="OVR30" t="str">
        <f t="shared" si="171"/>
        <v/>
      </c>
      <c r="OVS30" t="str">
        <f t="shared" si="171"/>
        <v/>
      </c>
      <c r="OVT30" t="str">
        <f t="shared" si="171"/>
        <v/>
      </c>
      <c r="OVU30" t="str">
        <f t="shared" si="171"/>
        <v/>
      </c>
      <c r="OVV30" t="str">
        <f t="shared" si="171"/>
        <v/>
      </c>
      <c r="OVW30" t="str">
        <f t="shared" si="171"/>
        <v/>
      </c>
      <c r="OVX30" t="str">
        <f t="shared" si="171"/>
        <v/>
      </c>
      <c r="OVY30" t="str">
        <f t="shared" si="171"/>
        <v/>
      </c>
      <c r="OVZ30" t="str">
        <f t="shared" si="171"/>
        <v/>
      </c>
      <c r="OWA30" t="str">
        <f t="shared" si="171"/>
        <v/>
      </c>
      <c r="OWB30" t="str">
        <f t="shared" si="171"/>
        <v/>
      </c>
      <c r="OWC30" t="str">
        <f t="shared" si="171"/>
        <v/>
      </c>
      <c r="OWD30" t="str">
        <f t="shared" si="171"/>
        <v/>
      </c>
      <c r="OWE30" t="str">
        <f t="shared" si="171"/>
        <v/>
      </c>
      <c r="OWF30" t="str">
        <f t="shared" si="171"/>
        <v/>
      </c>
      <c r="OWG30" t="str">
        <f t="shared" si="171"/>
        <v/>
      </c>
      <c r="OWH30" t="str">
        <f t="shared" si="171"/>
        <v/>
      </c>
      <c r="OWI30" t="str">
        <f t="shared" si="171"/>
        <v/>
      </c>
      <c r="OWJ30" t="str">
        <f t="shared" si="171"/>
        <v/>
      </c>
      <c r="OWK30" t="str">
        <f t="shared" si="171"/>
        <v/>
      </c>
      <c r="OWL30" t="str">
        <f t="shared" si="171"/>
        <v/>
      </c>
      <c r="OWM30" t="str">
        <f t="shared" si="171"/>
        <v/>
      </c>
      <c r="OWN30" t="str">
        <f t="shared" si="171"/>
        <v/>
      </c>
      <c r="OWO30" t="str">
        <f t="shared" si="171"/>
        <v/>
      </c>
      <c r="OWP30" t="str">
        <f t="shared" si="171"/>
        <v/>
      </c>
      <c r="OWQ30" t="str">
        <f t="shared" si="171"/>
        <v/>
      </c>
      <c r="OWR30" t="str">
        <f t="shared" si="171"/>
        <v/>
      </c>
      <c r="OWS30" t="str">
        <f t="shared" si="171"/>
        <v/>
      </c>
      <c r="OWT30" t="str">
        <f t="shared" si="171"/>
        <v/>
      </c>
      <c r="OWU30" t="str">
        <f t="shared" si="171"/>
        <v/>
      </c>
      <c r="OWV30" t="str">
        <f t="shared" si="171"/>
        <v/>
      </c>
      <c r="OWW30" t="str">
        <f t="shared" si="171"/>
        <v/>
      </c>
      <c r="OWX30" t="str">
        <f t="shared" si="171"/>
        <v/>
      </c>
      <c r="OWY30" t="str">
        <f t="shared" si="171"/>
        <v/>
      </c>
      <c r="OWZ30" t="str">
        <f t="shared" si="171"/>
        <v/>
      </c>
      <c r="OXA30" t="str">
        <f t="shared" si="171"/>
        <v/>
      </c>
      <c r="OXB30" t="str">
        <f t="shared" si="171"/>
        <v/>
      </c>
      <c r="OXC30" t="str">
        <f t="shared" si="171"/>
        <v/>
      </c>
      <c r="OXD30" t="str">
        <f t="shared" ref="OXD30:OZO30" si="172">TRIM(OXP11)</f>
        <v/>
      </c>
      <c r="OXE30" t="str">
        <f t="shared" si="172"/>
        <v/>
      </c>
      <c r="OXF30" t="str">
        <f t="shared" si="172"/>
        <v/>
      </c>
      <c r="OXG30" t="str">
        <f t="shared" si="172"/>
        <v/>
      </c>
      <c r="OXH30" t="str">
        <f t="shared" si="172"/>
        <v/>
      </c>
      <c r="OXI30" t="str">
        <f t="shared" si="172"/>
        <v/>
      </c>
      <c r="OXJ30" t="str">
        <f t="shared" si="172"/>
        <v/>
      </c>
      <c r="OXK30" t="str">
        <f t="shared" si="172"/>
        <v/>
      </c>
      <c r="OXL30" t="str">
        <f t="shared" si="172"/>
        <v/>
      </c>
      <c r="OXM30" t="str">
        <f t="shared" si="172"/>
        <v/>
      </c>
      <c r="OXN30" t="str">
        <f t="shared" si="172"/>
        <v/>
      </c>
      <c r="OXO30" t="str">
        <f t="shared" si="172"/>
        <v/>
      </c>
      <c r="OXP30" t="str">
        <f t="shared" si="172"/>
        <v/>
      </c>
      <c r="OXQ30" t="str">
        <f t="shared" si="172"/>
        <v/>
      </c>
      <c r="OXR30" t="str">
        <f t="shared" si="172"/>
        <v/>
      </c>
      <c r="OXS30" t="str">
        <f t="shared" si="172"/>
        <v/>
      </c>
      <c r="OXT30" t="str">
        <f t="shared" si="172"/>
        <v/>
      </c>
      <c r="OXU30" t="str">
        <f t="shared" si="172"/>
        <v/>
      </c>
      <c r="OXV30" t="str">
        <f t="shared" si="172"/>
        <v/>
      </c>
      <c r="OXW30" t="str">
        <f t="shared" si="172"/>
        <v/>
      </c>
      <c r="OXX30" t="str">
        <f t="shared" si="172"/>
        <v/>
      </c>
      <c r="OXY30" t="str">
        <f t="shared" si="172"/>
        <v/>
      </c>
      <c r="OXZ30" t="str">
        <f t="shared" si="172"/>
        <v/>
      </c>
      <c r="OYA30" t="str">
        <f t="shared" si="172"/>
        <v/>
      </c>
      <c r="OYB30" t="str">
        <f t="shared" si="172"/>
        <v/>
      </c>
      <c r="OYC30" t="str">
        <f t="shared" si="172"/>
        <v/>
      </c>
      <c r="OYD30" t="str">
        <f t="shared" si="172"/>
        <v/>
      </c>
      <c r="OYE30" t="str">
        <f t="shared" si="172"/>
        <v/>
      </c>
      <c r="OYF30" t="str">
        <f t="shared" si="172"/>
        <v/>
      </c>
      <c r="OYG30" t="str">
        <f t="shared" si="172"/>
        <v/>
      </c>
      <c r="OYH30" t="str">
        <f t="shared" si="172"/>
        <v/>
      </c>
      <c r="OYI30" t="str">
        <f t="shared" si="172"/>
        <v/>
      </c>
      <c r="OYJ30" t="str">
        <f t="shared" si="172"/>
        <v/>
      </c>
      <c r="OYK30" t="str">
        <f t="shared" si="172"/>
        <v/>
      </c>
      <c r="OYL30" t="str">
        <f t="shared" si="172"/>
        <v/>
      </c>
      <c r="OYM30" t="str">
        <f t="shared" si="172"/>
        <v/>
      </c>
      <c r="OYN30" t="str">
        <f t="shared" si="172"/>
        <v/>
      </c>
      <c r="OYO30" t="str">
        <f t="shared" si="172"/>
        <v/>
      </c>
      <c r="OYP30" t="str">
        <f t="shared" si="172"/>
        <v/>
      </c>
      <c r="OYQ30" t="str">
        <f t="shared" si="172"/>
        <v/>
      </c>
      <c r="OYR30" t="str">
        <f t="shared" si="172"/>
        <v/>
      </c>
      <c r="OYS30" t="str">
        <f t="shared" si="172"/>
        <v/>
      </c>
      <c r="OYT30" t="str">
        <f t="shared" si="172"/>
        <v/>
      </c>
      <c r="OYU30" t="str">
        <f t="shared" si="172"/>
        <v/>
      </c>
      <c r="OYV30" t="str">
        <f t="shared" si="172"/>
        <v/>
      </c>
      <c r="OYW30" t="str">
        <f t="shared" si="172"/>
        <v/>
      </c>
      <c r="OYX30" t="str">
        <f t="shared" si="172"/>
        <v/>
      </c>
      <c r="OYY30" t="str">
        <f t="shared" si="172"/>
        <v/>
      </c>
      <c r="OYZ30" t="str">
        <f t="shared" si="172"/>
        <v/>
      </c>
      <c r="OZA30" t="str">
        <f t="shared" si="172"/>
        <v/>
      </c>
      <c r="OZB30" t="str">
        <f t="shared" si="172"/>
        <v/>
      </c>
      <c r="OZC30" t="str">
        <f t="shared" si="172"/>
        <v/>
      </c>
      <c r="OZD30" t="str">
        <f t="shared" si="172"/>
        <v/>
      </c>
      <c r="OZE30" t="str">
        <f t="shared" si="172"/>
        <v/>
      </c>
      <c r="OZF30" t="str">
        <f t="shared" si="172"/>
        <v/>
      </c>
      <c r="OZG30" t="str">
        <f t="shared" si="172"/>
        <v/>
      </c>
      <c r="OZH30" t="str">
        <f t="shared" si="172"/>
        <v/>
      </c>
      <c r="OZI30" t="str">
        <f t="shared" si="172"/>
        <v/>
      </c>
      <c r="OZJ30" t="str">
        <f t="shared" si="172"/>
        <v/>
      </c>
      <c r="OZK30" t="str">
        <f t="shared" si="172"/>
        <v/>
      </c>
      <c r="OZL30" t="str">
        <f t="shared" si="172"/>
        <v/>
      </c>
      <c r="OZM30" t="str">
        <f t="shared" si="172"/>
        <v/>
      </c>
      <c r="OZN30" t="str">
        <f t="shared" si="172"/>
        <v/>
      </c>
      <c r="OZO30" t="str">
        <f t="shared" si="172"/>
        <v/>
      </c>
      <c r="OZP30" t="str">
        <f t="shared" ref="OZP30:PCA30" si="173">TRIM(PAB11)</f>
        <v/>
      </c>
      <c r="OZQ30" t="str">
        <f t="shared" si="173"/>
        <v/>
      </c>
      <c r="OZR30" t="str">
        <f t="shared" si="173"/>
        <v/>
      </c>
      <c r="OZS30" t="str">
        <f t="shared" si="173"/>
        <v/>
      </c>
      <c r="OZT30" t="str">
        <f t="shared" si="173"/>
        <v/>
      </c>
      <c r="OZU30" t="str">
        <f t="shared" si="173"/>
        <v/>
      </c>
      <c r="OZV30" t="str">
        <f t="shared" si="173"/>
        <v/>
      </c>
      <c r="OZW30" t="str">
        <f t="shared" si="173"/>
        <v/>
      </c>
      <c r="OZX30" t="str">
        <f t="shared" si="173"/>
        <v/>
      </c>
      <c r="OZY30" t="str">
        <f t="shared" si="173"/>
        <v/>
      </c>
      <c r="OZZ30" t="str">
        <f t="shared" si="173"/>
        <v/>
      </c>
      <c r="PAA30" t="str">
        <f t="shared" si="173"/>
        <v/>
      </c>
      <c r="PAB30" t="str">
        <f t="shared" si="173"/>
        <v/>
      </c>
      <c r="PAC30" t="str">
        <f t="shared" si="173"/>
        <v/>
      </c>
      <c r="PAD30" t="str">
        <f t="shared" si="173"/>
        <v/>
      </c>
      <c r="PAE30" t="str">
        <f t="shared" si="173"/>
        <v/>
      </c>
      <c r="PAF30" t="str">
        <f t="shared" si="173"/>
        <v/>
      </c>
      <c r="PAG30" t="str">
        <f t="shared" si="173"/>
        <v/>
      </c>
      <c r="PAH30" t="str">
        <f t="shared" si="173"/>
        <v/>
      </c>
      <c r="PAI30" t="str">
        <f t="shared" si="173"/>
        <v/>
      </c>
      <c r="PAJ30" t="str">
        <f t="shared" si="173"/>
        <v/>
      </c>
      <c r="PAK30" t="str">
        <f t="shared" si="173"/>
        <v/>
      </c>
      <c r="PAL30" t="str">
        <f t="shared" si="173"/>
        <v/>
      </c>
      <c r="PAM30" t="str">
        <f t="shared" si="173"/>
        <v/>
      </c>
      <c r="PAN30" t="str">
        <f t="shared" si="173"/>
        <v/>
      </c>
      <c r="PAO30" t="str">
        <f t="shared" si="173"/>
        <v/>
      </c>
      <c r="PAP30" t="str">
        <f t="shared" si="173"/>
        <v/>
      </c>
      <c r="PAQ30" t="str">
        <f t="shared" si="173"/>
        <v/>
      </c>
      <c r="PAR30" t="str">
        <f t="shared" si="173"/>
        <v/>
      </c>
      <c r="PAS30" t="str">
        <f t="shared" si="173"/>
        <v/>
      </c>
      <c r="PAT30" t="str">
        <f t="shared" si="173"/>
        <v/>
      </c>
      <c r="PAU30" t="str">
        <f t="shared" si="173"/>
        <v/>
      </c>
      <c r="PAV30" t="str">
        <f t="shared" si="173"/>
        <v/>
      </c>
      <c r="PAW30" t="str">
        <f t="shared" si="173"/>
        <v/>
      </c>
      <c r="PAX30" t="str">
        <f t="shared" si="173"/>
        <v/>
      </c>
      <c r="PAY30" t="str">
        <f t="shared" si="173"/>
        <v/>
      </c>
      <c r="PAZ30" t="str">
        <f t="shared" si="173"/>
        <v/>
      </c>
      <c r="PBA30" t="str">
        <f t="shared" si="173"/>
        <v/>
      </c>
      <c r="PBB30" t="str">
        <f t="shared" si="173"/>
        <v/>
      </c>
      <c r="PBC30" t="str">
        <f t="shared" si="173"/>
        <v/>
      </c>
      <c r="PBD30" t="str">
        <f t="shared" si="173"/>
        <v/>
      </c>
      <c r="PBE30" t="str">
        <f t="shared" si="173"/>
        <v/>
      </c>
      <c r="PBF30" t="str">
        <f t="shared" si="173"/>
        <v/>
      </c>
      <c r="PBG30" t="str">
        <f t="shared" si="173"/>
        <v/>
      </c>
      <c r="PBH30" t="str">
        <f t="shared" si="173"/>
        <v/>
      </c>
      <c r="PBI30" t="str">
        <f t="shared" si="173"/>
        <v/>
      </c>
      <c r="PBJ30" t="str">
        <f t="shared" si="173"/>
        <v/>
      </c>
      <c r="PBK30" t="str">
        <f t="shared" si="173"/>
        <v/>
      </c>
      <c r="PBL30" t="str">
        <f t="shared" si="173"/>
        <v/>
      </c>
      <c r="PBM30" t="str">
        <f t="shared" si="173"/>
        <v/>
      </c>
      <c r="PBN30" t="str">
        <f t="shared" si="173"/>
        <v/>
      </c>
      <c r="PBO30" t="str">
        <f t="shared" si="173"/>
        <v/>
      </c>
      <c r="PBP30" t="str">
        <f t="shared" si="173"/>
        <v/>
      </c>
      <c r="PBQ30" t="str">
        <f t="shared" si="173"/>
        <v/>
      </c>
      <c r="PBR30" t="str">
        <f t="shared" si="173"/>
        <v/>
      </c>
      <c r="PBS30" t="str">
        <f t="shared" si="173"/>
        <v/>
      </c>
      <c r="PBT30" t="str">
        <f t="shared" si="173"/>
        <v/>
      </c>
      <c r="PBU30" t="str">
        <f t="shared" si="173"/>
        <v/>
      </c>
      <c r="PBV30" t="str">
        <f t="shared" si="173"/>
        <v/>
      </c>
      <c r="PBW30" t="str">
        <f t="shared" si="173"/>
        <v/>
      </c>
      <c r="PBX30" t="str">
        <f t="shared" si="173"/>
        <v/>
      </c>
      <c r="PBY30" t="str">
        <f t="shared" si="173"/>
        <v/>
      </c>
      <c r="PBZ30" t="str">
        <f t="shared" si="173"/>
        <v/>
      </c>
      <c r="PCA30" t="str">
        <f t="shared" si="173"/>
        <v/>
      </c>
      <c r="PCB30" t="str">
        <f t="shared" ref="PCB30:PEM30" si="174">TRIM(PCN11)</f>
        <v/>
      </c>
      <c r="PCC30" t="str">
        <f t="shared" si="174"/>
        <v/>
      </c>
      <c r="PCD30" t="str">
        <f t="shared" si="174"/>
        <v/>
      </c>
      <c r="PCE30" t="str">
        <f t="shared" si="174"/>
        <v/>
      </c>
      <c r="PCF30" t="str">
        <f t="shared" si="174"/>
        <v/>
      </c>
      <c r="PCG30" t="str">
        <f t="shared" si="174"/>
        <v/>
      </c>
      <c r="PCH30" t="str">
        <f t="shared" si="174"/>
        <v/>
      </c>
      <c r="PCI30" t="str">
        <f t="shared" si="174"/>
        <v/>
      </c>
      <c r="PCJ30" t="str">
        <f t="shared" si="174"/>
        <v/>
      </c>
      <c r="PCK30" t="str">
        <f t="shared" si="174"/>
        <v/>
      </c>
      <c r="PCL30" t="str">
        <f t="shared" si="174"/>
        <v/>
      </c>
      <c r="PCM30" t="str">
        <f t="shared" si="174"/>
        <v/>
      </c>
      <c r="PCN30" t="str">
        <f t="shared" si="174"/>
        <v/>
      </c>
      <c r="PCO30" t="str">
        <f t="shared" si="174"/>
        <v/>
      </c>
      <c r="PCP30" t="str">
        <f t="shared" si="174"/>
        <v/>
      </c>
      <c r="PCQ30" t="str">
        <f t="shared" si="174"/>
        <v/>
      </c>
      <c r="PCR30" t="str">
        <f t="shared" si="174"/>
        <v/>
      </c>
      <c r="PCS30" t="str">
        <f t="shared" si="174"/>
        <v/>
      </c>
      <c r="PCT30" t="str">
        <f t="shared" si="174"/>
        <v/>
      </c>
      <c r="PCU30" t="str">
        <f t="shared" si="174"/>
        <v/>
      </c>
      <c r="PCV30" t="str">
        <f t="shared" si="174"/>
        <v/>
      </c>
      <c r="PCW30" t="str">
        <f t="shared" si="174"/>
        <v/>
      </c>
      <c r="PCX30" t="str">
        <f t="shared" si="174"/>
        <v/>
      </c>
      <c r="PCY30" t="str">
        <f t="shared" si="174"/>
        <v/>
      </c>
      <c r="PCZ30" t="str">
        <f t="shared" si="174"/>
        <v/>
      </c>
      <c r="PDA30" t="str">
        <f t="shared" si="174"/>
        <v/>
      </c>
      <c r="PDB30" t="str">
        <f t="shared" si="174"/>
        <v/>
      </c>
      <c r="PDC30" t="str">
        <f t="shared" si="174"/>
        <v/>
      </c>
      <c r="PDD30" t="str">
        <f t="shared" si="174"/>
        <v/>
      </c>
      <c r="PDE30" t="str">
        <f t="shared" si="174"/>
        <v/>
      </c>
      <c r="PDF30" t="str">
        <f t="shared" si="174"/>
        <v/>
      </c>
      <c r="PDG30" t="str">
        <f t="shared" si="174"/>
        <v/>
      </c>
      <c r="PDH30" t="str">
        <f t="shared" si="174"/>
        <v/>
      </c>
      <c r="PDI30" t="str">
        <f t="shared" si="174"/>
        <v/>
      </c>
      <c r="PDJ30" t="str">
        <f t="shared" si="174"/>
        <v/>
      </c>
      <c r="PDK30" t="str">
        <f t="shared" si="174"/>
        <v/>
      </c>
      <c r="PDL30" t="str">
        <f t="shared" si="174"/>
        <v/>
      </c>
      <c r="PDM30" t="str">
        <f t="shared" si="174"/>
        <v/>
      </c>
      <c r="PDN30" t="str">
        <f t="shared" si="174"/>
        <v/>
      </c>
      <c r="PDO30" t="str">
        <f t="shared" si="174"/>
        <v/>
      </c>
      <c r="PDP30" t="str">
        <f t="shared" si="174"/>
        <v/>
      </c>
      <c r="PDQ30" t="str">
        <f t="shared" si="174"/>
        <v/>
      </c>
      <c r="PDR30" t="str">
        <f t="shared" si="174"/>
        <v/>
      </c>
      <c r="PDS30" t="str">
        <f t="shared" si="174"/>
        <v/>
      </c>
      <c r="PDT30" t="str">
        <f t="shared" si="174"/>
        <v/>
      </c>
      <c r="PDU30" t="str">
        <f t="shared" si="174"/>
        <v/>
      </c>
      <c r="PDV30" t="str">
        <f t="shared" si="174"/>
        <v/>
      </c>
      <c r="PDW30" t="str">
        <f t="shared" si="174"/>
        <v/>
      </c>
      <c r="PDX30" t="str">
        <f t="shared" si="174"/>
        <v/>
      </c>
      <c r="PDY30" t="str">
        <f t="shared" si="174"/>
        <v/>
      </c>
      <c r="PDZ30" t="str">
        <f t="shared" si="174"/>
        <v/>
      </c>
      <c r="PEA30" t="str">
        <f t="shared" si="174"/>
        <v/>
      </c>
      <c r="PEB30" t="str">
        <f t="shared" si="174"/>
        <v/>
      </c>
      <c r="PEC30" t="str">
        <f t="shared" si="174"/>
        <v/>
      </c>
      <c r="PED30" t="str">
        <f t="shared" si="174"/>
        <v/>
      </c>
      <c r="PEE30" t="str">
        <f t="shared" si="174"/>
        <v/>
      </c>
      <c r="PEF30" t="str">
        <f t="shared" si="174"/>
        <v/>
      </c>
      <c r="PEG30" t="str">
        <f t="shared" si="174"/>
        <v/>
      </c>
      <c r="PEH30" t="str">
        <f t="shared" si="174"/>
        <v/>
      </c>
      <c r="PEI30" t="str">
        <f t="shared" si="174"/>
        <v/>
      </c>
      <c r="PEJ30" t="str">
        <f t="shared" si="174"/>
        <v/>
      </c>
      <c r="PEK30" t="str">
        <f t="shared" si="174"/>
        <v/>
      </c>
      <c r="PEL30" t="str">
        <f t="shared" si="174"/>
        <v/>
      </c>
      <c r="PEM30" t="str">
        <f t="shared" si="174"/>
        <v/>
      </c>
      <c r="PEN30" t="str">
        <f t="shared" ref="PEN30:PGY30" si="175">TRIM(PEZ11)</f>
        <v/>
      </c>
      <c r="PEO30" t="str">
        <f t="shared" si="175"/>
        <v/>
      </c>
      <c r="PEP30" t="str">
        <f t="shared" si="175"/>
        <v/>
      </c>
      <c r="PEQ30" t="str">
        <f t="shared" si="175"/>
        <v/>
      </c>
      <c r="PER30" t="str">
        <f t="shared" si="175"/>
        <v/>
      </c>
      <c r="PES30" t="str">
        <f t="shared" si="175"/>
        <v/>
      </c>
      <c r="PET30" t="str">
        <f t="shared" si="175"/>
        <v/>
      </c>
      <c r="PEU30" t="str">
        <f t="shared" si="175"/>
        <v/>
      </c>
      <c r="PEV30" t="str">
        <f t="shared" si="175"/>
        <v/>
      </c>
      <c r="PEW30" t="str">
        <f t="shared" si="175"/>
        <v/>
      </c>
      <c r="PEX30" t="str">
        <f t="shared" si="175"/>
        <v/>
      </c>
      <c r="PEY30" t="str">
        <f t="shared" si="175"/>
        <v/>
      </c>
      <c r="PEZ30" t="str">
        <f t="shared" si="175"/>
        <v/>
      </c>
      <c r="PFA30" t="str">
        <f t="shared" si="175"/>
        <v/>
      </c>
      <c r="PFB30" t="str">
        <f t="shared" si="175"/>
        <v/>
      </c>
      <c r="PFC30" t="str">
        <f t="shared" si="175"/>
        <v/>
      </c>
      <c r="PFD30" t="str">
        <f t="shared" si="175"/>
        <v/>
      </c>
      <c r="PFE30" t="str">
        <f t="shared" si="175"/>
        <v/>
      </c>
      <c r="PFF30" t="str">
        <f t="shared" si="175"/>
        <v/>
      </c>
      <c r="PFG30" t="str">
        <f t="shared" si="175"/>
        <v/>
      </c>
      <c r="PFH30" t="str">
        <f t="shared" si="175"/>
        <v/>
      </c>
      <c r="PFI30" t="str">
        <f t="shared" si="175"/>
        <v/>
      </c>
      <c r="PFJ30" t="str">
        <f t="shared" si="175"/>
        <v/>
      </c>
      <c r="PFK30" t="str">
        <f t="shared" si="175"/>
        <v/>
      </c>
      <c r="PFL30" t="str">
        <f t="shared" si="175"/>
        <v/>
      </c>
      <c r="PFM30" t="str">
        <f t="shared" si="175"/>
        <v/>
      </c>
      <c r="PFN30" t="str">
        <f t="shared" si="175"/>
        <v/>
      </c>
      <c r="PFO30" t="str">
        <f t="shared" si="175"/>
        <v/>
      </c>
      <c r="PFP30" t="str">
        <f t="shared" si="175"/>
        <v/>
      </c>
      <c r="PFQ30" t="str">
        <f t="shared" si="175"/>
        <v/>
      </c>
      <c r="PFR30" t="str">
        <f t="shared" si="175"/>
        <v/>
      </c>
      <c r="PFS30" t="str">
        <f t="shared" si="175"/>
        <v/>
      </c>
      <c r="PFT30" t="str">
        <f t="shared" si="175"/>
        <v/>
      </c>
      <c r="PFU30" t="str">
        <f t="shared" si="175"/>
        <v/>
      </c>
      <c r="PFV30" t="str">
        <f t="shared" si="175"/>
        <v/>
      </c>
      <c r="PFW30" t="str">
        <f t="shared" si="175"/>
        <v/>
      </c>
      <c r="PFX30" t="str">
        <f t="shared" si="175"/>
        <v/>
      </c>
      <c r="PFY30" t="str">
        <f t="shared" si="175"/>
        <v/>
      </c>
      <c r="PFZ30" t="str">
        <f t="shared" si="175"/>
        <v/>
      </c>
      <c r="PGA30" t="str">
        <f t="shared" si="175"/>
        <v/>
      </c>
      <c r="PGB30" t="str">
        <f t="shared" si="175"/>
        <v/>
      </c>
      <c r="PGC30" t="str">
        <f t="shared" si="175"/>
        <v/>
      </c>
      <c r="PGD30" t="str">
        <f t="shared" si="175"/>
        <v/>
      </c>
      <c r="PGE30" t="str">
        <f t="shared" si="175"/>
        <v/>
      </c>
      <c r="PGF30" t="str">
        <f t="shared" si="175"/>
        <v/>
      </c>
      <c r="PGG30" t="str">
        <f t="shared" si="175"/>
        <v/>
      </c>
      <c r="PGH30" t="str">
        <f t="shared" si="175"/>
        <v/>
      </c>
      <c r="PGI30" t="str">
        <f t="shared" si="175"/>
        <v/>
      </c>
      <c r="PGJ30" t="str">
        <f t="shared" si="175"/>
        <v/>
      </c>
      <c r="PGK30" t="str">
        <f t="shared" si="175"/>
        <v/>
      </c>
      <c r="PGL30" t="str">
        <f t="shared" si="175"/>
        <v/>
      </c>
      <c r="PGM30" t="str">
        <f t="shared" si="175"/>
        <v/>
      </c>
      <c r="PGN30" t="str">
        <f t="shared" si="175"/>
        <v/>
      </c>
      <c r="PGO30" t="str">
        <f t="shared" si="175"/>
        <v/>
      </c>
      <c r="PGP30" t="str">
        <f t="shared" si="175"/>
        <v/>
      </c>
      <c r="PGQ30" t="str">
        <f t="shared" si="175"/>
        <v/>
      </c>
      <c r="PGR30" t="str">
        <f t="shared" si="175"/>
        <v/>
      </c>
      <c r="PGS30" t="str">
        <f t="shared" si="175"/>
        <v/>
      </c>
      <c r="PGT30" t="str">
        <f t="shared" si="175"/>
        <v/>
      </c>
      <c r="PGU30" t="str">
        <f t="shared" si="175"/>
        <v/>
      </c>
      <c r="PGV30" t="str">
        <f t="shared" si="175"/>
        <v/>
      </c>
      <c r="PGW30" t="str">
        <f t="shared" si="175"/>
        <v/>
      </c>
      <c r="PGX30" t="str">
        <f t="shared" si="175"/>
        <v/>
      </c>
      <c r="PGY30" t="str">
        <f t="shared" si="175"/>
        <v/>
      </c>
      <c r="PGZ30" t="str">
        <f t="shared" ref="PGZ30:PJK30" si="176">TRIM(PHL11)</f>
        <v/>
      </c>
      <c r="PHA30" t="str">
        <f t="shared" si="176"/>
        <v/>
      </c>
      <c r="PHB30" t="str">
        <f t="shared" si="176"/>
        <v/>
      </c>
      <c r="PHC30" t="str">
        <f t="shared" si="176"/>
        <v/>
      </c>
      <c r="PHD30" t="str">
        <f t="shared" si="176"/>
        <v/>
      </c>
      <c r="PHE30" t="str">
        <f t="shared" si="176"/>
        <v/>
      </c>
      <c r="PHF30" t="str">
        <f t="shared" si="176"/>
        <v/>
      </c>
      <c r="PHG30" t="str">
        <f t="shared" si="176"/>
        <v/>
      </c>
      <c r="PHH30" t="str">
        <f t="shared" si="176"/>
        <v/>
      </c>
      <c r="PHI30" t="str">
        <f t="shared" si="176"/>
        <v/>
      </c>
      <c r="PHJ30" t="str">
        <f t="shared" si="176"/>
        <v/>
      </c>
      <c r="PHK30" t="str">
        <f t="shared" si="176"/>
        <v/>
      </c>
      <c r="PHL30" t="str">
        <f t="shared" si="176"/>
        <v/>
      </c>
      <c r="PHM30" t="str">
        <f t="shared" si="176"/>
        <v/>
      </c>
      <c r="PHN30" t="str">
        <f t="shared" si="176"/>
        <v/>
      </c>
      <c r="PHO30" t="str">
        <f t="shared" si="176"/>
        <v/>
      </c>
      <c r="PHP30" t="str">
        <f t="shared" si="176"/>
        <v/>
      </c>
      <c r="PHQ30" t="str">
        <f t="shared" si="176"/>
        <v/>
      </c>
      <c r="PHR30" t="str">
        <f t="shared" si="176"/>
        <v/>
      </c>
      <c r="PHS30" t="str">
        <f t="shared" si="176"/>
        <v/>
      </c>
      <c r="PHT30" t="str">
        <f t="shared" si="176"/>
        <v/>
      </c>
      <c r="PHU30" t="str">
        <f t="shared" si="176"/>
        <v/>
      </c>
      <c r="PHV30" t="str">
        <f t="shared" si="176"/>
        <v/>
      </c>
      <c r="PHW30" t="str">
        <f t="shared" si="176"/>
        <v/>
      </c>
      <c r="PHX30" t="str">
        <f t="shared" si="176"/>
        <v/>
      </c>
      <c r="PHY30" t="str">
        <f t="shared" si="176"/>
        <v/>
      </c>
      <c r="PHZ30" t="str">
        <f t="shared" si="176"/>
        <v/>
      </c>
      <c r="PIA30" t="str">
        <f t="shared" si="176"/>
        <v/>
      </c>
      <c r="PIB30" t="str">
        <f t="shared" si="176"/>
        <v/>
      </c>
      <c r="PIC30" t="str">
        <f t="shared" si="176"/>
        <v/>
      </c>
      <c r="PID30" t="str">
        <f t="shared" si="176"/>
        <v/>
      </c>
      <c r="PIE30" t="str">
        <f t="shared" si="176"/>
        <v/>
      </c>
      <c r="PIF30" t="str">
        <f t="shared" si="176"/>
        <v/>
      </c>
      <c r="PIG30" t="str">
        <f t="shared" si="176"/>
        <v/>
      </c>
      <c r="PIH30" t="str">
        <f t="shared" si="176"/>
        <v/>
      </c>
      <c r="PII30" t="str">
        <f t="shared" si="176"/>
        <v/>
      </c>
      <c r="PIJ30" t="str">
        <f t="shared" si="176"/>
        <v/>
      </c>
      <c r="PIK30" t="str">
        <f t="shared" si="176"/>
        <v/>
      </c>
      <c r="PIL30" t="str">
        <f t="shared" si="176"/>
        <v/>
      </c>
      <c r="PIM30" t="str">
        <f t="shared" si="176"/>
        <v/>
      </c>
      <c r="PIN30" t="str">
        <f t="shared" si="176"/>
        <v/>
      </c>
      <c r="PIO30" t="str">
        <f t="shared" si="176"/>
        <v/>
      </c>
      <c r="PIP30" t="str">
        <f t="shared" si="176"/>
        <v/>
      </c>
      <c r="PIQ30" t="str">
        <f t="shared" si="176"/>
        <v/>
      </c>
      <c r="PIR30" t="str">
        <f t="shared" si="176"/>
        <v/>
      </c>
      <c r="PIS30" t="str">
        <f t="shared" si="176"/>
        <v/>
      </c>
      <c r="PIT30" t="str">
        <f t="shared" si="176"/>
        <v/>
      </c>
      <c r="PIU30" t="str">
        <f t="shared" si="176"/>
        <v/>
      </c>
      <c r="PIV30" t="str">
        <f t="shared" si="176"/>
        <v/>
      </c>
      <c r="PIW30" t="str">
        <f t="shared" si="176"/>
        <v/>
      </c>
      <c r="PIX30" t="str">
        <f t="shared" si="176"/>
        <v/>
      </c>
      <c r="PIY30" t="str">
        <f t="shared" si="176"/>
        <v/>
      </c>
      <c r="PIZ30" t="str">
        <f t="shared" si="176"/>
        <v/>
      </c>
      <c r="PJA30" t="str">
        <f t="shared" si="176"/>
        <v/>
      </c>
      <c r="PJB30" t="str">
        <f t="shared" si="176"/>
        <v/>
      </c>
      <c r="PJC30" t="str">
        <f t="shared" si="176"/>
        <v/>
      </c>
      <c r="PJD30" t="str">
        <f t="shared" si="176"/>
        <v/>
      </c>
      <c r="PJE30" t="str">
        <f t="shared" si="176"/>
        <v/>
      </c>
      <c r="PJF30" t="str">
        <f t="shared" si="176"/>
        <v/>
      </c>
      <c r="PJG30" t="str">
        <f t="shared" si="176"/>
        <v/>
      </c>
      <c r="PJH30" t="str">
        <f t="shared" si="176"/>
        <v/>
      </c>
      <c r="PJI30" t="str">
        <f t="shared" si="176"/>
        <v/>
      </c>
      <c r="PJJ30" t="str">
        <f t="shared" si="176"/>
        <v/>
      </c>
      <c r="PJK30" t="str">
        <f t="shared" si="176"/>
        <v/>
      </c>
      <c r="PJL30" t="str">
        <f t="shared" ref="PJL30:PLW30" si="177">TRIM(PJX11)</f>
        <v/>
      </c>
      <c r="PJM30" t="str">
        <f t="shared" si="177"/>
        <v/>
      </c>
      <c r="PJN30" t="str">
        <f t="shared" si="177"/>
        <v/>
      </c>
      <c r="PJO30" t="str">
        <f t="shared" si="177"/>
        <v/>
      </c>
      <c r="PJP30" t="str">
        <f t="shared" si="177"/>
        <v/>
      </c>
      <c r="PJQ30" t="str">
        <f t="shared" si="177"/>
        <v/>
      </c>
      <c r="PJR30" t="str">
        <f t="shared" si="177"/>
        <v/>
      </c>
      <c r="PJS30" t="str">
        <f t="shared" si="177"/>
        <v/>
      </c>
      <c r="PJT30" t="str">
        <f t="shared" si="177"/>
        <v/>
      </c>
      <c r="PJU30" t="str">
        <f t="shared" si="177"/>
        <v/>
      </c>
      <c r="PJV30" t="str">
        <f t="shared" si="177"/>
        <v/>
      </c>
      <c r="PJW30" t="str">
        <f t="shared" si="177"/>
        <v/>
      </c>
      <c r="PJX30" t="str">
        <f t="shared" si="177"/>
        <v/>
      </c>
      <c r="PJY30" t="str">
        <f t="shared" si="177"/>
        <v/>
      </c>
      <c r="PJZ30" t="str">
        <f t="shared" si="177"/>
        <v/>
      </c>
      <c r="PKA30" t="str">
        <f t="shared" si="177"/>
        <v/>
      </c>
      <c r="PKB30" t="str">
        <f t="shared" si="177"/>
        <v/>
      </c>
      <c r="PKC30" t="str">
        <f t="shared" si="177"/>
        <v/>
      </c>
      <c r="PKD30" t="str">
        <f t="shared" si="177"/>
        <v/>
      </c>
      <c r="PKE30" t="str">
        <f t="shared" si="177"/>
        <v/>
      </c>
      <c r="PKF30" t="str">
        <f t="shared" si="177"/>
        <v/>
      </c>
      <c r="PKG30" t="str">
        <f t="shared" si="177"/>
        <v/>
      </c>
      <c r="PKH30" t="str">
        <f t="shared" si="177"/>
        <v/>
      </c>
      <c r="PKI30" t="str">
        <f t="shared" si="177"/>
        <v/>
      </c>
      <c r="PKJ30" t="str">
        <f t="shared" si="177"/>
        <v/>
      </c>
      <c r="PKK30" t="str">
        <f t="shared" si="177"/>
        <v/>
      </c>
      <c r="PKL30" t="str">
        <f t="shared" si="177"/>
        <v/>
      </c>
      <c r="PKM30" t="str">
        <f t="shared" si="177"/>
        <v/>
      </c>
      <c r="PKN30" t="str">
        <f t="shared" si="177"/>
        <v/>
      </c>
      <c r="PKO30" t="str">
        <f t="shared" si="177"/>
        <v/>
      </c>
      <c r="PKP30" t="str">
        <f t="shared" si="177"/>
        <v/>
      </c>
      <c r="PKQ30" t="str">
        <f t="shared" si="177"/>
        <v/>
      </c>
      <c r="PKR30" t="str">
        <f t="shared" si="177"/>
        <v/>
      </c>
      <c r="PKS30" t="str">
        <f t="shared" si="177"/>
        <v/>
      </c>
      <c r="PKT30" t="str">
        <f t="shared" si="177"/>
        <v/>
      </c>
      <c r="PKU30" t="str">
        <f t="shared" si="177"/>
        <v/>
      </c>
      <c r="PKV30" t="str">
        <f t="shared" si="177"/>
        <v/>
      </c>
      <c r="PKW30" t="str">
        <f t="shared" si="177"/>
        <v/>
      </c>
      <c r="PKX30" t="str">
        <f t="shared" si="177"/>
        <v/>
      </c>
      <c r="PKY30" t="str">
        <f t="shared" si="177"/>
        <v/>
      </c>
      <c r="PKZ30" t="str">
        <f t="shared" si="177"/>
        <v/>
      </c>
      <c r="PLA30" t="str">
        <f t="shared" si="177"/>
        <v/>
      </c>
      <c r="PLB30" t="str">
        <f t="shared" si="177"/>
        <v/>
      </c>
      <c r="PLC30" t="str">
        <f t="shared" si="177"/>
        <v/>
      </c>
      <c r="PLD30" t="str">
        <f t="shared" si="177"/>
        <v/>
      </c>
      <c r="PLE30" t="str">
        <f t="shared" si="177"/>
        <v/>
      </c>
      <c r="PLF30" t="str">
        <f t="shared" si="177"/>
        <v/>
      </c>
      <c r="PLG30" t="str">
        <f t="shared" si="177"/>
        <v/>
      </c>
      <c r="PLH30" t="str">
        <f t="shared" si="177"/>
        <v/>
      </c>
      <c r="PLI30" t="str">
        <f t="shared" si="177"/>
        <v/>
      </c>
      <c r="PLJ30" t="str">
        <f t="shared" si="177"/>
        <v/>
      </c>
      <c r="PLK30" t="str">
        <f t="shared" si="177"/>
        <v/>
      </c>
      <c r="PLL30" t="str">
        <f t="shared" si="177"/>
        <v/>
      </c>
      <c r="PLM30" t="str">
        <f t="shared" si="177"/>
        <v/>
      </c>
      <c r="PLN30" t="str">
        <f t="shared" si="177"/>
        <v/>
      </c>
      <c r="PLO30" t="str">
        <f t="shared" si="177"/>
        <v/>
      </c>
      <c r="PLP30" t="str">
        <f t="shared" si="177"/>
        <v/>
      </c>
      <c r="PLQ30" t="str">
        <f t="shared" si="177"/>
        <v/>
      </c>
      <c r="PLR30" t="str">
        <f t="shared" si="177"/>
        <v/>
      </c>
      <c r="PLS30" t="str">
        <f t="shared" si="177"/>
        <v/>
      </c>
      <c r="PLT30" t="str">
        <f t="shared" si="177"/>
        <v/>
      </c>
      <c r="PLU30" t="str">
        <f t="shared" si="177"/>
        <v/>
      </c>
      <c r="PLV30" t="str">
        <f t="shared" si="177"/>
        <v/>
      </c>
      <c r="PLW30" t="str">
        <f t="shared" si="177"/>
        <v/>
      </c>
      <c r="PLX30" t="str">
        <f t="shared" ref="PLX30:POI30" si="178">TRIM(PMJ11)</f>
        <v/>
      </c>
      <c r="PLY30" t="str">
        <f t="shared" si="178"/>
        <v/>
      </c>
      <c r="PLZ30" t="str">
        <f t="shared" si="178"/>
        <v/>
      </c>
      <c r="PMA30" t="str">
        <f t="shared" si="178"/>
        <v/>
      </c>
      <c r="PMB30" t="str">
        <f t="shared" si="178"/>
        <v/>
      </c>
      <c r="PMC30" t="str">
        <f t="shared" si="178"/>
        <v/>
      </c>
      <c r="PMD30" t="str">
        <f t="shared" si="178"/>
        <v/>
      </c>
      <c r="PME30" t="str">
        <f t="shared" si="178"/>
        <v/>
      </c>
      <c r="PMF30" t="str">
        <f t="shared" si="178"/>
        <v/>
      </c>
      <c r="PMG30" t="str">
        <f t="shared" si="178"/>
        <v/>
      </c>
      <c r="PMH30" t="str">
        <f t="shared" si="178"/>
        <v/>
      </c>
      <c r="PMI30" t="str">
        <f t="shared" si="178"/>
        <v/>
      </c>
      <c r="PMJ30" t="str">
        <f t="shared" si="178"/>
        <v/>
      </c>
      <c r="PMK30" t="str">
        <f t="shared" si="178"/>
        <v/>
      </c>
      <c r="PML30" t="str">
        <f t="shared" si="178"/>
        <v/>
      </c>
      <c r="PMM30" t="str">
        <f t="shared" si="178"/>
        <v/>
      </c>
      <c r="PMN30" t="str">
        <f t="shared" si="178"/>
        <v/>
      </c>
      <c r="PMO30" t="str">
        <f t="shared" si="178"/>
        <v/>
      </c>
      <c r="PMP30" t="str">
        <f t="shared" si="178"/>
        <v/>
      </c>
      <c r="PMQ30" t="str">
        <f t="shared" si="178"/>
        <v/>
      </c>
      <c r="PMR30" t="str">
        <f t="shared" si="178"/>
        <v/>
      </c>
      <c r="PMS30" t="str">
        <f t="shared" si="178"/>
        <v/>
      </c>
      <c r="PMT30" t="str">
        <f t="shared" si="178"/>
        <v/>
      </c>
      <c r="PMU30" t="str">
        <f t="shared" si="178"/>
        <v/>
      </c>
      <c r="PMV30" t="str">
        <f t="shared" si="178"/>
        <v/>
      </c>
      <c r="PMW30" t="str">
        <f t="shared" si="178"/>
        <v/>
      </c>
      <c r="PMX30" t="str">
        <f t="shared" si="178"/>
        <v/>
      </c>
      <c r="PMY30" t="str">
        <f t="shared" si="178"/>
        <v/>
      </c>
      <c r="PMZ30" t="str">
        <f t="shared" si="178"/>
        <v/>
      </c>
      <c r="PNA30" t="str">
        <f t="shared" si="178"/>
        <v/>
      </c>
      <c r="PNB30" t="str">
        <f t="shared" si="178"/>
        <v/>
      </c>
      <c r="PNC30" t="str">
        <f t="shared" si="178"/>
        <v/>
      </c>
      <c r="PND30" t="str">
        <f t="shared" si="178"/>
        <v/>
      </c>
      <c r="PNE30" t="str">
        <f t="shared" si="178"/>
        <v/>
      </c>
      <c r="PNF30" t="str">
        <f t="shared" si="178"/>
        <v/>
      </c>
      <c r="PNG30" t="str">
        <f t="shared" si="178"/>
        <v/>
      </c>
      <c r="PNH30" t="str">
        <f t="shared" si="178"/>
        <v/>
      </c>
      <c r="PNI30" t="str">
        <f t="shared" si="178"/>
        <v/>
      </c>
      <c r="PNJ30" t="str">
        <f t="shared" si="178"/>
        <v/>
      </c>
      <c r="PNK30" t="str">
        <f t="shared" si="178"/>
        <v/>
      </c>
      <c r="PNL30" t="str">
        <f t="shared" si="178"/>
        <v/>
      </c>
      <c r="PNM30" t="str">
        <f t="shared" si="178"/>
        <v/>
      </c>
      <c r="PNN30" t="str">
        <f t="shared" si="178"/>
        <v/>
      </c>
      <c r="PNO30" t="str">
        <f t="shared" si="178"/>
        <v/>
      </c>
      <c r="PNP30" t="str">
        <f t="shared" si="178"/>
        <v/>
      </c>
      <c r="PNQ30" t="str">
        <f t="shared" si="178"/>
        <v/>
      </c>
      <c r="PNR30" t="str">
        <f t="shared" si="178"/>
        <v/>
      </c>
      <c r="PNS30" t="str">
        <f t="shared" si="178"/>
        <v/>
      </c>
      <c r="PNT30" t="str">
        <f t="shared" si="178"/>
        <v/>
      </c>
      <c r="PNU30" t="str">
        <f t="shared" si="178"/>
        <v/>
      </c>
      <c r="PNV30" t="str">
        <f t="shared" si="178"/>
        <v/>
      </c>
      <c r="PNW30" t="str">
        <f t="shared" si="178"/>
        <v/>
      </c>
      <c r="PNX30" t="str">
        <f t="shared" si="178"/>
        <v/>
      </c>
      <c r="PNY30" t="str">
        <f t="shared" si="178"/>
        <v/>
      </c>
      <c r="PNZ30" t="str">
        <f t="shared" si="178"/>
        <v/>
      </c>
      <c r="POA30" t="str">
        <f t="shared" si="178"/>
        <v/>
      </c>
      <c r="POB30" t="str">
        <f t="shared" si="178"/>
        <v/>
      </c>
      <c r="POC30" t="str">
        <f t="shared" si="178"/>
        <v/>
      </c>
      <c r="POD30" t="str">
        <f t="shared" si="178"/>
        <v/>
      </c>
      <c r="POE30" t="str">
        <f t="shared" si="178"/>
        <v/>
      </c>
      <c r="POF30" t="str">
        <f t="shared" si="178"/>
        <v/>
      </c>
      <c r="POG30" t="str">
        <f t="shared" si="178"/>
        <v/>
      </c>
      <c r="POH30" t="str">
        <f t="shared" si="178"/>
        <v/>
      </c>
      <c r="POI30" t="str">
        <f t="shared" si="178"/>
        <v/>
      </c>
      <c r="POJ30" t="str">
        <f t="shared" ref="POJ30:PQU30" si="179">TRIM(POV11)</f>
        <v/>
      </c>
      <c r="POK30" t="str">
        <f t="shared" si="179"/>
        <v/>
      </c>
      <c r="POL30" t="str">
        <f t="shared" si="179"/>
        <v/>
      </c>
      <c r="POM30" t="str">
        <f t="shared" si="179"/>
        <v/>
      </c>
      <c r="PON30" t="str">
        <f t="shared" si="179"/>
        <v/>
      </c>
      <c r="POO30" t="str">
        <f t="shared" si="179"/>
        <v/>
      </c>
      <c r="POP30" t="str">
        <f t="shared" si="179"/>
        <v/>
      </c>
      <c r="POQ30" t="str">
        <f t="shared" si="179"/>
        <v/>
      </c>
      <c r="POR30" t="str">
        <f t="shared" si="179"/>
        <v/>
      </c>
      <c r="POS30" t="str">
        <f t="shared" si="179"/>
        <v/>
      </c>
      <c r="POT30" t="str">
        <f t="shared" si="179"/>
        <v/>
      </c>
      <c r="POU30" t="str">
        <f t="shared" si="179"/>
        <v/>
      </c>
      <c r="POV30" t="str">
        <f t="shared" si="179"/>
        <v/>
      </c>
      <c r="POW30" t="str">
        <f t="shared" si="179"/>
        <v/>
      </c>
      <c r="POX30" t="str">
        <f t="shared" si="179"/>
        <v/>
      </c>
      <c r="POY30" t="str">
        <f t="shared" si="179"/>
        <v/>
      </c>
      <c r="POZ30" t="str">
        <f t="shared" si="179"/>
        <v/>
      </c>
      <c r="PPA30" t="str">
        <f t="shared" si="179"/>
        <v/>
      </c>
      <c r="PPB30" t="str">
        <f t="shared" si="179"/>
        <v/>
      </c>
      <c r="PPC30" t="str">
        <f t="shared" si="179"/>
        <v/>
      </c>
      <c r="PPD30" t="str">
        <f t="shared" si="179"/>
        <v/>
      </c>
      <c r="PPE30" t="str">
        <f t="shared" si="179"/>
        <v/>
      </c>
      <c r="PPF30" t="str">
        <f t="shared" si="179"/>
        <v/>
      </c>
      <c r="PPG30" t="str">
        <f t="shared" si="179"/>
        <v/>
      </c>
      <c r="PPH30" t="str">
        <f t="shared" si="179"/>
        <v/>
      </c>
      <c r="PPI30" t="str">
        <f t="shared" si="179"/>
        <v/>
      </c>
      <c r="PPJ30" t="str">
        <f t="shared" si="179"/>
        <v/>
      </c>
      <c r="PPK30" t="str">
        <f t="shared" si="179"/>
        <v/>
      </c>
      <c r="PPL30" t="str">
        <f t="shared" si="179"/>
        <v/>
      </c>
      <c r="PPM30" t="str">
        <f t="shared" si="179"/>
        <v/>
      </c>
      <c r="PPN30" t="str">
        <f t="shared" si="179"/>
        <v/>
      </c>
      <c r="PPO30" t="str">
        <f t="shared" si="179"/>
        <v/>
      </c>
      <c r="PPP30" t="str">
        <f t="shared" si="179"/>
        <v/>
      </c>
      <c r="PPQ30" t="str">
        <f t="shared" si="179"/>
        <v/>
      </c>
      <c r="PPR30" t="str">
        <f t="shared" si="179"/>
        <v/>
      </c>
      <c r="PPS30" t="str">
        <f t="shared" si="179"/>
        <v/>
      </c>
      <c r="PPT30" t="str">
        <f t="shared" si="179"/>
        <v/>
      </c>
      <c r="PPU30" t="str">
        <f t="shared" si="179"/>
        <v/>
      </c>
      <c r="PPV30" t="str">
        <f t="shared" si="179"/>
        <v/>
      </c>
      <c r="PPW30" t="str">
        <f t="shared" si="179"/>
        <v/>
      </c>
      <c r="PPX30" t="str">
        <f t="shared" si="179"/>
        <v/>
      </c>
      <c r="PPY30" t="str">
        <f t="shared" si="179"/>
        <v/>
      </c>
      <c r="PPZ30" t="str">
        <f t="shared" si="179"/>
        <v/>
      </c>
      <c r="PQA30" t="str">
        <f t="shared" si="179"/>
        <v/>
      </c>
      <c r="PQB30" t="str">
        <f t="shared" si="179"/>
        <v/>
      </c>
      <c r="PQC30" t="str">
        <f t="shared" si="179"/>
        <v/>
      </c>
      <c r="PQD30" t="str">
        <f t="shared" si="179"/>
        <v/>
      </c>
      <c r="PQE30" t="str">
        <f t="shared" si="179"/>
        <v/>
      </c>
      <c r="PQF30" t="str">
        <f t="shared" si="179"/>
        <v/>
      </c>
      <c r="PQG30" t="str">
        <f t="shared" si="179"/>
        <v/>
      </c>
      <c r="PQH30" t="str">
        <f t="shared" si="179"/>
        <v/>
      </c>
      <c r="PQI30" t="str">
        <f t="shared" si="179"/>
        <v/>
      </c>
      <c r="PQJ30" t="str">
        <f t="shared" si="179"/>
        <v/>
      </c>
      <c r="PQK30" t="str">
        <f t="shared" si="179"/>
        <v/>
      </c>
      <c r="PQL30" t="str">
        <f t="shared" si="179"/>
        <v/>
      </c>
      <c r="PQM30" t="str">
        <f t="shared" si="179"/>
        <v/>
      </c>
      <c r="PQN30" t="str">
        <f t="shared" si="179"/>
        <v/>
      </c>
      <c r="PQO30" t="str">
        <f t="shared" si="179"/>
        <v/>
      </c>
      <c r="PQP30" t="str">
        <f t="shared" si="179"/>
        <v/>
      </c>
      <c r="PQQ30" t="str">
        <f t="shared" si="179"/>
        <v/>
      </c>
      <c r="PQR30" t="str">
        <f t="shared" si="179"/>
        <v/>
      </c>
      <c r="PQS30" t="str">
        <f t="shared" si="179"/>
        <v/>
      </c>
      <c r="PQT30" t="str">
        <f t="shared" si="179"/>
        <v/>
      </c>
      <c r="PQU30" t="str">
        <f t="shared" si="179"/>
        <v/>
      </c>
      <c r="PQV30" t="str">
        <f t="shared" ref="PQV30:PTG30" si="180">TRIM(PRH11)</f>
        <v/>
      </c>
      <c r="PQW30" t="str">
        <f t="shared" si="180"/>
        <v/>
      </c>
      <c r="PQX30" t="str">
        <f t="shared" si="180"/>
        <v/>
      </c>
      <c r="PQY30" t="str">
        <f t="shared" si="180"/>
        <v/>
      </c>
      <c r="PQZ30" t="str">
        <f t="shared" si="180"/>
        <v/>
      </c>
      <c r="PRA30" t="str">
        <f t="shared" si="180"/>
        <v/>
      </c>
      <c r="PRB30" t="str">
        <f t="shared" si="180"/>
        <v/>
      </c>
      <c r="PRC30" t="str">
        <f t="shared" si="180"/>
        <v/>
      </c>
      <c r="PRD30" t="str">
        <f t="shared" si="180"/>
        <v/>
      </c>
      <c r="PRE30" t="str">
        <f t="shared" si="180"/>
        <v/>
      </c>
      <c r="PRF30" t="str">
        <f t="shared" si="180"/>
        <v/>
      </c>
      <c r="PRG30" t="str">
        <f t="shared" si="180"/>
        <v/>
      </c>
      <c r="PRH30" t="str">
        <f t="shared" si="180"/>
        <v/>
      </c>
      <c r="PRI30" t="str">
        <f t="shared" si="180"/>
        <v/>
      </c>
      <c r="PRJ30" t="str">
        <f t="shared" si="180"/>
        <v/>
      </c>
      <c r="PRK30" t="str">
        <f t="shared" si="180"/>
        <v/>
      </c>
      <c r="PRL30" t="str">
        <f t="shared" si="180"/>
        <v/>
      </c>
      <c r="PRM30" t="str">
        <f t="shared" si="180"/>
        <v/>
      </c>
      <c r="PRN30" t="str">
        <f t="shared" si="180"/>
        <v/>
      </c>
      <c r="PRO30" t="str">
        <f t="shared" si="180"/>
        <v/>
      </c>
      <c r="PRP30" t="str">
        <f t="shared" si="180"/>
        <v/>
      </c>
      <c r="PRQ30" t="str">
        <f t="shared" si="180"/>
        <v/>
      </c>
      <c r="PRR30" t="str">
        <f t="shared" si="180"/>
        <v/>
      </c>
      <c r="PRS30" t="str">
        <f t="shared" si="180"/>
        <v/>
      </c>
      <c r="PRT30" t="str">
        <f t="shared" si="180"/>
        <v/>
      </c>
      <c r="PRU30" t="str">
        <f t="shared" si="180"/>
        <v/>
      </c>
      <c r="PRV30" t="str">
        <f t="shared" si="180"/>
        <v/>
      </c>
      <c r="PRW30" t="str">
        <f t="shared" si="180"/>
        <v/>
      </c>
      <c r="PRX30" t="str">
        <f t="shared" si="180"/>
        <v/>
      </c>
      <c r="PRY30" t="str">
        <f t="shared" si="180"/>
        <v/>
      </c>
      <c r="PRZ30" t="str">
        <f t="shared" si="180"/>
        <v/>
      </c>
      <c r="PSA30" t="str">
        <f t="shared" si="180"/>
        <v/>
      </c>
      <c r="PSB30" t="str">
        <f t="shared" si="180"/>
        <v/>
      </c>
      <c r="PSC30" t="str">
        <f t="shared" si="180"/>
        <v/>
      </c>
      <c r="PSD30" t="str">
        <f t="shared" si="180"/>
        <v/>
      </c>
      <c r="PSE30" t="str">
        <f t="shared" si="180"/>
        <v/>
      </c>
      <c r="PSF30" t="str">
        <f t="shared" si="180"/>
        <v/>
      </c>
      <c r="PSG30" t="str">
        <f t="shared" si="180"/>
        <v/>
      </c>
      <c r="PSH30" t="str">
        <f t="shared" si="180"/>
        <v/>
      </c>
      <c r="PSI30" t="str">
        <f t="shared" si="180"/>
        <v/>
      </c>
      <c r="PSJ30" t="str">
        <f t="shared" si="180"/>
        <v/>
      </c>
      <c r="PSK30" t="str">
        <f t="shared" si="180"/>
        <v/>
      </c>
      <c r="PSL30" t="str">
        <f t="shared" si="180"/>
        <v/>
      </c>
      <c r="PSM30" t="str">
        <f t="shared" si="180"/>
        <v/>
      </c>
      <c r="PSN30" t="str">
        <f t="shared" si="180"/>
        <v/>
      </c>
      <c r="PSO30" t="str">
        <f t="shared" si="180"/>
        <v/>
      </c>
      <c r="PSP30" t="str">
        <f t="shared" si="180"/>
        <v/>
      </c>
      <c r="PSQ30" t="str">
        <f t="shared" si="180"/>
        <v/>
      </c>
      <c r="PSR30" t="str">
        <f t="shared" si="180"/>
        <v/>
      </c>
      <c r="PSS30" t="str">
        <f t="shared" si="180"/>
        <v/>
      </c>
      <c r="PST30" t="str">
        <f t="shared" si="180"/>
        <v/>
      </c>
      <c r="PSU30" t="str">
        <f t="shared" si="180"/>
        <v/>
      </c>
      <c r="PSV30" t="str">
        <f t="shared" si="180"/>
        <v/>
      </c>
      <c r="PSW30" t="str">
        <f t="shared" si="180"/>
        <v/>
      </c>
      <c r="PSX30" t="str">
        <f t="shared" si="180"/>
        <v/>
      </c>
      <c r="PSY30" t="str">
        <f t="shared" si="180"/>
        <v/>
      </c>
      <c r="PSZ30" t="str">
        <f t="shared" si="180"/>
        <v/>
      </c>
      <c r="PTA30" t="str">
        <f t="shared" si="180"/>
        <v/>
      </c>
      <c r="PTB30" t="str">
        <f t="shared" si="180"/>
        <v/>
      </c>
      <c r="PTC30" t="str">
        <f t="shared" si="180"/>
        <v/>
      </c>
      <c r="PTD30" t="str">
        <f t="shared" si="180"/>
        <v/>
      </c>
      <c r="PTE30" t="str">
        <f t="shared" si="180"/>
        <v/>
      </c>
      <c r="PTF30" t="str">
        <f t="shared" si="180"/>
        <v/>
      </c>
      <c r="PTG30" t="str">
        <f t="shared" si="180"/>
        <v/>
      </c>
      <c r="PTH30" t="str">
        <f t="shared" ref="PTH30:PVS30" si="181">TRIM(PTT11)</f>
        <v/>
      </c>
      <c r="PTI30" t="str">
        <f t="shared" si="181"/>
        <v/>
      </c>
      <c r="PTJ30" t="str">
        <f t="shared" si="181"/>
        <v/>
      </c>
      <c r="PTK30" t="str">
        <f t="shared" si="181"/>
        <v/>
      </c>
      <c r="PTL30" t="str">
        <f t="shared" si="181"/>
        <v/>
      </c>
      <c r="PTM30" t="str">
        <f t="shared" si="181"/>
        <v/>
      </c>
      <c r="PTN30" t="str">
        <f t="shared" si="181"/>
        <v/>
      </c>
      <c r="PTO30" t="str">
        <f t="shared" si="181"/>
        <v/>
      </c>
      <c r="PTP30" t="str">
        <f t="shared" si="181"/>
        <v/>
      </c>
      <c r="PTQ30" t="str">
        <f t="shared" si="181"/>
        <v/>
      </c>
      <c r="PTR30" t="str">
        <f t="shared" si="181"/>
        <v/>
      </c>
      <c r="PTS30" t="str">
        <f t="shared" si="181"/>
        <v/>
      </c>
      <c r="PTT30" t="str">
        <f t="shared" si="181"/>
        <v/>
      </c>
      <c r="PTU30" t="str">
        <f t="shared" si="181"/>
        <v/>
      </c>
      <c r="PTV30" t="str">
        <f t="shared" si="181"/>
        <v/>
      </c>
      <c r="PTW30" t="str">
        <f t="shared" si="181"/>
        <v/>
      </c>
      <c r="PTX30" t="str">
        <f t="shared" si="181"/>
        <v/>
      </c>
      <c r="PTY30" t="str">
        <f t="shared" si="181"/>
        <v/>
      </c>
      <c r="PTZ30" t="str">
        <f t="shared" si="181"/>
        <v/>
      </c>
      <c r="PUA30" t="str">
        <f t="shared" si="181"/>
        <v/>
      </c>
      <c r="PUB30" t="str">
        <f t="shared" si="181"/>
        <v/>
      </c>
      <c r="PUC30" t="str">
        <f t="shared" si="181"/>
        <v/>
      </c>
      <c r="PUD30" t="str">
        <f t="shared" si="181"/>
        <v/>
      </c>
      <c r="PUE30" t="str">
        <f t="shared" si="181"/>
        <v/>
      </c>
      <c r="PUF30" t="str">
        <f t="shared" si="181"/>
        <v/>
      </c>
      <c r="PUG30" t="str">
        <f t="shared" si="181"/>
        <v/>
      </c>
      <c r="PUH30" t="str">
        <f t="shared" si="181"/>
        <v/>
      </c>
      <c r="PUI30" t="str">
        <f t="shared" si="181"/>
        <v/>
      </c>
      <c r="PUJ30" t="str">
        <f t="shared" si="181"/>
        <v/>
      </c>
      <c r="PUK30" t="str">
        <f t="shared" si="181"/>
        <v/>
      </c>
      <c r="PUL30" t="str">
        <f t="shared" si="181"/>
        <v/>
      </c>
      <c r="PUM30" t="str">
        <f t="shared" si="181"/>
        <v/>
      </c>
      <c r="PUN30" t="str">
        <f t="shared" si="181"/>
        <v/>
      </c>
      <c r="PUO30" t="str">
        <f t="shared" si="181"/>
        <v/>
      </c>
      <c r="PUP30" t="str">
        <f t="shared" si="181"/>
        <v/>
      </c>
      <c r="PUQ30" t="str">
        <f t="shared" si="181"/>
        <v/>
      </c>
      <c r="PUR30" t="str">
        <f t="shared" si="181"/>
        <v/>
      </c>
      <c r="PUS30" t="str">
        <f t="shared" si="181"/>
        <v/>
      </c>
      <c r="PUT30" t="str">
        <f t="shared" si="181"/>
        <v/>
      </c>
      <c r="PUU30" t="str">
        <f t="shared" si="181"/>
        <v/>
      </c>
      <c r="PUV30" t="str">
        <f t="shared" si="181"/>
        <v/>
      </c>
      <c r="PUW30" t="str">
        <f t="shared" si="181"/>
        <v/>
      </c>
      <c r="PUX30" t="str">
        <f t="shared" si="181"/>
        <v/>
      </c>
      <c r="PUY30" t="str">
        <f t="shared" si="181"/>
        <v/>
      </c>
      <c r="PUZ30" t="str">
        <f t="shared" si="181"/>
        <v/>
      </c>
      <c r="PVA30" t="str">
        <f t="shared" si="181"/>
        <v/>
      </c>
      <c r="PVB30" t="str">
        <f t="shared" si="181"/>
        <v/>
      </c>
      <c r="PVC30" t="str">
        <f t="shared" si="181"/>
        <v/>
      </c>
      <c r="PVD30" t="str">
        <f t="shared" si="181"/>
        <v/>
      </c>
      <c r="PVE30" t="str">
        <f t="shared" si="181"/>
        <v/>
      </c>
      <c r="PVF30" t="str">
        <f t="shared" si="181"/>
        <v/>
      </c>
      <c r="PVG30" t="str">
        <f t="shared" si="181"/>
        <v/>
      </c>
      <c r="PVH30" t="str">
        <f t="shared" si="181"/>
        <v/>
      </c>
      <c r="PVI30" t="str">
        <f t="shared" si="181"/>
        <v/>
      </c>
      <c r="PVJ30" t="str">
        <f t="shared" si="181"/>
        <v/>
      </c>
      <c r="PVK30" t="str">
        <f t="shared" si="181"/>
        <v/>
      </c>
      <c r="PVL30" t="str">
        <f t="shared" si="181"/>
        <v/>
      </c>
      <c r="PVM30" t="str">
        <f t="shared" si="181"/>
        <v/>
      </c>
      <c r="PVN30" t="str">
        <f t="shared" si="181"/>
        <v/>
      </c>
      <c r="PVO30" t="str">
        <f t="shared" si="181"/>
        <v/>
      </c>
      <c r="PVP30" t="str">
        <f t="shared" si="181"/>
        <v/>
      </c>
      <c r="PVQ30" t="str">
        <f t="shared" si="181"/>
        <v/>
      </c>
      <c r="PVR30" t="str">
        <f t="shared" si="181"/>
        <v/>
      </c>
      <c r="PVS30" t="str">
        <f t="shared" si="181"/>
        <v/>
      </c>
      <c r="PVT30" t="str">
        <f t="shared" ref="PVT30:PYE30" si="182">TRIM(PWF11)</f>
        <v/>
      </c>
      <c r="PVU30" t="str">
        <f t="shared" si="182"/>
        <v/>
      </c>
      <c r="PVV30" t="str">
        <f t="shared" si="182"/>
        <v/>
      </c>
      <c r="PVW30" t="str">
        <f t="shared" si="182"/>
        <v/>
      </c>
      <c r="PVX30" t="str">
        <f t="shared" si="182"/>
        <v/>
      </c>
      <c r="PVY30" t="str">
        <f t="shared" si="182"/>
        <v/>
      </c>
      <c r="PVZ30" t="str">
        <f t="shared" si="182"/>
        <v/>
      </c>
      <c r="PWA30" t="str">
        <f t="shared" si="182"/>
        <v/>
      </c>
      <c r="PWB30" t="str">
        <f t="shared" si="182"/>
        <v/>
      </c>
      <c r="PWC30" t="str">
        <f t="shared" si="182"/>
        <v/>
      </c>
      <c r="PWD30" t="str">
        <f t="shared" si="182"/>
        <v/>
      </c>
      <c r="PWE30" t="str">
        <f t="shared" si="182"/>
        <v/>
      </c>
      <c r="PWF30" t="str">
        <f t="shared" si="182"/>
        <v/>
      </c>
      <c r="PWG30" t="str">
        <f t="shared" si="182"/>
        <v/>
      </c>
      <c r="PWH30" t="str">
        <f t="shared" si="182"/>
        <v/>
      </c>
      <c r="PWI30" t="str">
        <f t="shared" si="182"/>
        <v/>
      </c>
      <c r="PWJ30" t="str">
        <f t="shared" si="182"/>
        <v/>
      </c>
      <c r="PWK30" t="str">
        <f t="shared" si="182"/>
        <v/>
      </c>
      <c r="PWL30" t="str">
        <f t="shared" si="182"/>
        <v/>
      </c>
      <c r="PWM30" t="str">
        <f t="shared" si="182"/>
        <v/>
      </c>
      <c r="PWN30" t="str">
        <f t="shared" si="182"/>
        <v/>
      </c>
      <c r="PWO30" t="str">
        <f t="shared" si="182"/>
        <v/>
      </c>
      <c r="PWP30" t="str">
        <f t="shared" si="182"/>
        <v/>
      </c>
      <c r="PWQ30" t="str">
        <f t="shared" si="182"/>
        <v/>
      </c>
      <c r="PWR30" t="str">
        <f t="shared" si="182"/>
        <v/>
      </c>
      <c r="PWS30" t="str">
        <f t="shared" si="182"/>
        <v/>
      </c>
      <c r="PWT30" t="str">
        <f t="shared" si="182"/>
        <v/>
      </c>
      <c r="PWU30" t="str">
        <f t="shared" si="182"/>
        <v/>
      </c>
      <c r="PWV30" t="str">
        <f t="shared" si="182"/>
        <v/>
      </c>
      <c r="PWW30" t="str">
        <f t="shared" si="182"/>
        <v/>
      </c>
      <c r="PWX30" t="str">
        <f t="shared" si="182"/>
        <v/>
      </c>
      <c r="PWY30" t="str">
        <f t="shared" si="182"/>
        <v/>
      </c>
      <c r="PWZ30" t="str">
        <f t="shared" si="182"/>
        <v/>
      </c>
      <c r="PXA30" t="str">
        <f t="shared" si="182"/>
        <v/>
      </c>
      <c r="PXB30" t="str">
        <f t="shared" si="182"/>
        <v/>
      </c>
      <c r="PXC30" t="str">
        <f t="shared" si="182"/>
        <v/>
      </c>
      <c r="PXD30" t="str">
        <f t="shared" si="182"/>
        <v/>
      </c>
      <c r="PXE30" t="str">
        <f t="shared" si="182"/>
        <v/>
      </c>
      <c r="PXF30" t="str">
        <f t="shared" si="182"/>
        <v/>
      </c>
      <c r="PXG30" t="str">
        <f t="shared" si="182"/>
        <v/>
      </c>
      <c r="PXH30" t="str">
        <f t="shared" si="182"/>
        <v/>
      </c>
      <c r="PXI30" t="str">
        <f t="shared" si="182"/>
        <v/>
      </c>
      <c r="PXJ30" t="str">
        <f t="shared" si="182"/>
        <v/>
      </c>
      <c r="PXK30" t="str">
        <f t="shared" si="182"/>
        <v/>
      </c>
      <c r="PXL30" t="str">
        <f t="shared" si="182"/>
        <v/>
      </c>
      <c r="PXM30" t="str">
        <f t="shared" si="182"/>
        <v/>
      </c>
      <c r="PXN30" t="str">
        <f t="shared" si="182"/>
        <v/>
      </c>
      <c r="PXO30" t="str">
        <f t="shared" si="182"/>
        <v/>
      </c>
      <c r="PXP30" t="str">
        <f t="shared" si="182"/>
        <v/>
      </c>
      <c r="PXQ30" t="str">
        <f t="shared" si="182"/>
        <v/>
      </c>
      <c r="PXR30" t="str">
        <f t="shared" si="182"/>
        <v/>
      </c>
      <c r="PXS30" t="str">
        <f t="shared" si="182"/>
        <v/>
      </c>
      <c r="PXT30" t="str">
        <f t="shared" si="182"/>
        <v/>
      </c>
      <c r="PXU30" t="str">
        <f t="shared" si="182"/>
        <v/>
      </c>
      <c r="PXV30" t="str">
        <f t="shared" si="182"/>
        <v/>
      </c>
      <c r="PXW30" t="str">
        <f t="shared" si="182"/>
        <v/>
      </c>
      <c r="PXX30" t="str">
        <f t="shared" si="182"/>
        <v/>
      </c>
      <c r="PXY30" t="str">
        <f t="shared" si="182"/>
        <v/>
      </c>
      <c r="PXZ30" t="str">
        <f t="shared" si="182"/>
        <v/>
      </c>
      <c r="PYA30" t="str">
        <f t="shared" si="182"/>
        <v/>
      </c>
      <c r="PYB30" t="str">
        <f t="shared" si="182"/>
        <v/>
      </c>
      <c r="PYC30" t="str">
        <f t="shared" si="182"/>
        <v/>
      </c>
      <c r="PYD30" t="str">
        <f t="shared" si="182"/>
        <v/>
      </c>
      <c r="PYE30" t="str">
        <f t="shared" si="182"/>
        <v/>
      </c>
      <c r="PYF30" t="str">
        <f t="shared" ref="PYF30:QAQ30" si="183">TRIM(PYR11)</f>
        <v/>
      </c>
      <c r="PYG30" t="str">
        <f t="shared" si="183"/>
        <v/>
      </c>
      <c r="PYH30" t="str">
        <f t="shared" si="183"/>
        <v/>
      </c>
      <c r="PYI30" t="str">
        <f t="shared" si="183"/>
        <v/>
      </c>
      <c r="PYJ30" t="str">
        <f t="shared" si="183"/>
        <v/>
      </c>
      <c r="PYK30" t="str">
        <f t="shared" si="183"/>
        <v/>
      </c>
      <c r="PYL30" t="str">
        <f t="shared" si="183"/>
        <v/>
      </c>
      <c r="PYM30" t="str">
        <f t="shared" si="183"/>
        <v/>
      </c>
      <c r="PYN30" t="str">
        <f t="shared" si="183"/>
        <v/>
      </c>
      <c r="PYO30" t="str">
        <f t="shared" si="183"/>
        <v/>
      </c>
      <c r="PYP30" t="str">
        <f t="shared" si="183"/>
        <v/>
      </c>
      <c r="PYQ30" t="str">
        <f t="shared" si="183"/>
        <v/>
      </c>
      <c r="PYR30" t="str">
        <f t="shared" si="183"/>
        <v/>
      </c>
      <c r="PYS30" t="str">
        <f t="shared" si="183"/>
        <v/>
      </c>
      <c r="PYT30" t="str">
        <f t="shared" si="183"/>
        <v/>
      </c>
      <c r="PYU30" t="str">
        <f t="shared" si="183"/>
        <v/>
      </c>
      <c r="PYV30" t="str">
        <f t="shared" si="183"/>
        <v/>
      </c>
      <c r="PYW30" t="str">
        <f t="shared" si="183"/>
        <v/>
      </c>
      <c r="PYX30" t="str">
        <f t="shared" si="183"/>
        <v/>
      </c>
      <c r="PYY30" t="str">
        <f t="shared" si="183"/>
        <v/>
      </c>
      <c r="PYZ30" t="str">
        <f t="shared" si="183"/>
        <v/>
      </c>
      <c r="PZA30" t="str">
        <f t="shared" si="183"/>
        <v/>
      </c>
      <c r="PZB30" t="str">
        <f t="shared" si="183"/>
        <v/>
      </c>
      <c r="PZC30" t="str">
        <f t="shared" si="183"/>
        <v/>
      </c>
      <c r="PZD30" t="str">
        <f t="shared" si="183"/>
        <v/>
      </c>
      <c r="PZE30" t="str">
        <f t="shared" si="183"/>
        <v/>
      </c>
      <c r="PZF30" t="str">
        <f t="shared" si="183"/>
        <v/>
      </c>
      <c r="PZG30" t="str">
        <f t="shared" si="183"/>
        <v/>
      </c>
      <c r="PZH30" t="str">
        <f t="shared" si="183"/>
        <v/>
      </c>
      <c r="PZI30" t="str">
        <f t="shared" si="183"/>
        <v/>
      </c>
      <c r="PZJ30" t="str">
        <f t="shared" si="183"/>
        <v/>
      </c>
      <c r="PZK30" t="str">
        <f t="shared" si="183"/>
        <v/>
      </c>
      <c r="PZL30" t="str">
        <f t="shared" si="183"/>
        <v/>
      </c>
      <c r="PZM30" t="str">
        <f t="shared" si="183"/>
        <v/>
      </c>
      <c r="PZN30" t="str">
        <f t="shared" si="183"/>
        <v/>
      </c>
      <c r="PZO30" t="str">
        <f t="shared" si="183"/>
        <v/>
      </c>
      <c r="PZP30" t="str">
        <f t="shared" si="183"/>
        <v/>
      </c>
      <c r="PZQ30" t="str">
        <f t="shared" si="183"/>
        <v/>
      </c>
      <c r="PZR30" t="str">
        <f t="shared" si="183"/>
        <v/>
      </c>
      <c r="PZS30" t="str">
        <f t="shared" si="183"/>
        <v/>
      </c>
      <c r="PZT30" t="str">
        <f t="shared" si="183"/>
        <v/>
      </c>
      <c r="PZU30" t="str">
        <f t="shared" si="183"/>
        <v/>
      </c>
      <c r="PZV30" t="str">
        <f t="shared" si="183"/>
        <v/>
      </c>
      <c r="PZW30" t="str">
        <f t="shared" si="183"/>
        <v/>
      </c>
      <c r="PZX30" t="str">
        <f t="shared" si="183"/>
        <v/>
      </c>
      <c r="PZY30" t="str">
        <f t="shared" si="183"/>
        <v/>
      </c>
      <c r="PZZ30" t="str">
        <f t="shared" si="183"/>
        <v/>
      </c>
      <c r="QAA30" t="str">
        <f t="shared" si="183"/>
        <v/>
      </c>
      <c r="QAB30" t="str">
        <f t="shared" si="183"/>
        <v/>
      </c>
      <c r="QAC30" t="str">
        <f t="shared" si="183"/>
        <v/>
      </c>
      <c r="QAD30" t="str">
        <f t="shared" si="183"/>
        <v/>
      </c>
      <c r="QAE30" t="str">
        <f t="shared" si="183"/>
        <v/>
      </c>
      <c r="QAF30" t="str">
        <f t="shared" si="183"/>
        <v/>
      </c>
      <c r="QAG30" t="str">
        <f t="shared" si="183"/>
        <v/>
      </c>
      <c r="QAH30" t="str">
        <f t="shared" si="183"/>
        <v/>
      </c>
      <c r="QAI30" t="str">
        <f t="shared" si="183"/>
        <v/>
      </c>
      <c r="QAJ30" t="str">
        <f t="shared" si="183"/>
        <v/>
      </c>
      <c r="QAK30" t="str">
        <f t="shared" si="183"/>
        <v/>
      </c>
      <c r="QAL30" t="str">
        <f t="shared" si="183"/>
        <v/>
      </c>
      <c r="QAM30" t="str">
        <f t="shared" si="183"/>
        <v/>
      </c>
      <c r="QAN30" t="str">
        <f t="shared" si="183"/>
        <v/>
      </c>
      <c r="QAO30" t="str">
        <f t="shared" si="183"/>
        <v/>
      </c>
      <c r="QAP30" t="str">
        <f t="shared" si="183"/>
        <v/>
      </c>
      <c r="QAQ30" t="str">
        <f t="shared" si="183"/>
        <v/>
      </c>
      <c r="QAR30" t="str">
        <f t="shared" ref="QAR30:QDC30" si="184">TRIM(QBD11)</f>
        <v/>
      </c>
      <c r="QAS30" t="str">
        <f t="shared" si="184"/>
        <v/>
      </c>
      <c r="QAT30" t="str">
        <f t="shared" si="184"/>
        <v/>
      </c>
      <c r="QAU30" t="str">
        <f t="shared" si="184"/>
        <v/>
      </c>
      <c r="QAV30" t="str">
        <f t="shared" si="184"/>
        <v/>
      </c>
      <c r="QAW30" t="str">
        <f t="shared" si="184"/>
        <v/>
      </c>
      <c r="QAX30" t="str">
        <f t="shared" si="184"/>
        <v/>
      </c>
      <c r="QAY30" t="str">
        <f t="shared" si="184"/>
        <v/>
      </c>
      <c r="QAZ30" t="str">
        <f t="shared" si="184"/>
        <v/>
      </c>
      <c r="QBA30" t="str">
        <f t="shared" si="184"/>
        <v/>
      </c>
      <c r="QBB30" t="str">
        <f t="shared" si="184"/>
        <v/>
      </c>
      <c r="QBC30" t="str">
        <f t="shared" si="184"/>
        <v/>
      </c>
      <c r="QBD30" t="str">
        <f t="shared" si="184"/>
        <v/>
      </c>
      <c r="QBE30" t="str">
        <f t="shared" si="184"/>
        <v/>
      </c>
      <c r="QBF30" t="str">
        <f t="shared" si="184"/>
        <v/>
      </c>
      <c r="QBG30" t="str">
        <f t="shared" si="184"/>
        <v/>
      </c>
      <c r="QBH30" t="str">
        <f t="shared" si="184"/>
        <v/>
      </c>
      <c r="QBI30" t="str">
        <f t="shared" si="184"/>
        <v/>
      </c>
      <c r="QBJ30" t="str">
        <f t="shared" si="184"/>
        <v/>
      </c>
      <c r="QBK30" t="str">
        <f t="shared" si="184"/>
        <v/>
      </c>
      <c r="QBL30" t="str">
        <f t="shared" si="184"/>
        <v/>
      </c>
      <c r="QBM30" t="str">
        <f t="shared" si="184"/>
        <v/>
      </c>
      <c r="QBN30" t="str">
        <f t="shared" si="184"/>
        <v/>
      </c>
      <c r="QBO30" t="str">
        <f t="shared" si="184"/>
        <v/>
      </c>
      <c r="QBP30" t="str">
        <f t="shared" si="184"/>
        <v/>
      </c>
      <c r="QBQ30" t="str">
        <f t="shared" si="184"/>
        <v/>
      </c>
      <c r="QBR30" t="str">
        <f t="shared" si="184"/>
        <v/>
      </c>
      <c r="QBS30" t="str">
        <f t="shared" si="184"/>
        <v/>
      </c>
      <c r="QBT30" t="str">
        <f t="shared" si="184"/>
        <v/>
      </c>
      <c r="QBU30" t="str">
        <f t="shared" si="184"/>
        <v/>
      </c>
      <c r="QBV30" t="str">
        <f t="shared" si="184"/>
        <v/>
      </c>
      <c r="QBW30" t="str">
        <f t="shared" si="184"/>
        <v/>
      </c>
      <c r="QBX30" t="str">
        <f t="shared" si="184"/>
        <v/>
      </c>
      <c r="QBY30" t="str">
        <f t="shared" si="184"/>
        <v/>
      </c>
      <c r="QBZ30" t="str">
        <f t="shared" si="184"/>
        <v/>
      </c>
      <c r="QCA30" t="str">
        <f t="shared" si="184"/>
        <v/>
      </c>
      <c r="QCB30" t="str">
        <f t="shared" si="184"/>
        <v/>
      </c>
      <c r="QCC30" t="str">
        <f t="shared" si="184"/>
        <v/>
      </c>
      <c r="QCD30" t="str">
        <f t="shared" si="184"/>
        <v/>
      </c>
      <c r="QCE30" t="str">
        <f t="shared" si="184"/>
        <v/>
      </c>
      <c r="QCF30" t="str">
        <f t="shared" si="184"/>
        <v/>
      </c>
      <c r="QCG30" t="str">
        <f t="shared" si="184"/>
        <v/>
      </c>
      <c r="QCH30" t="str">
        <f t="shared" si="184"/>
        <v/>
      </c>
      <c r="QCI30" t="str">
        <f t="shared" si="184"/>
        <v/>
      </c>
      <c r="QCJ30" t="str">
        <f t="shared" si="184"/>
        <v/>
      </c>
      <c r="QCK30" t="str">
        <f t="shared" si="184"/>
        <v/>
      </c>
      <c r="QCL30" t="str">
        <f t="shared" si="184"/>
        <v/>
      </c>
      <c r="QCM30" t="str">
        <f t="shared" si="184"/>
        <v/>
      </c>
      <c r="QCN30" t="str">
        <f t="shared" si="184"/>
        <v/>
      </c>
      <c r="QCO30" t="str">
        <f t="shared" si="184"/>
        <v/>
      </c>
      <c r="QCP30" t="str">
        <f t="shared" si="184"/>
        <v/>
      </c>
      <c r="QCQ30" t="str">
        <f t="shared" si="184"/>
        <v/>
      </c>
      <c r="QCR30" t="str">
        <f t="shared" si="184"/>
        <v/>
      </c>
      <c r="QCS30" t="str">
        <f t="shared" si="184"/>
        <v/>
      </c>
      <c r="QCT30" t="str">
        <f t="shared" si="184"/>
        <v/>
      </c>
      <c r="QCU30" t="str">
        <f t="shared" si="184"/>
        <v/>
      </c>
      <c r="QCV30" t="str">
        <f t="shared" si="184"/>
        <v/>
      </c>
      <c r="QCW30" t="str">
        <f t="shared" si="184"/>
        <v/>
      </c>
      <c r="QCX30" t="str">
        <f t="shared" si="184"/>
        <v/>
      </c>
      <c r="QCY30" t="str">
        <f t="shared" si="184"/>
        <v/>
      </c>
      <c r="QCZ30" t="str">
        <f t="shared" si="184"/>
        <v/>
      </c>
      <c r="QDA30" t="str">
        <f t="shared" si="184"/>
        <v/>
      </c>
      <c r="QDB30" t="str">
        <f t="shared" si="184"/>
        <v/>
      </c>
      <c r="QDC30" t="str">
        <f t="shared" si="184"/>
        <v/>
      </c>
      <c r="QDD30" t="str">
        <f t="shared" ref="QDD30:QFO30" si="185">TRIM(QDP11)</f>
        <v/>
      </c>
      <c r="QDE30" t="str">
        <f t="shared" si="185"/>
        <v/>
      </c>
      <c r="QDF30" t="str">
        <f t="shared" si="185"/>
        <v/>
      </c>
      <c r="QDG30" t="str">
        <f t="shared" si="185"/>
        <v/>
      </c>
      <c r="QDH30" t="str">
        <f t="shared" si="185"/>
        <v/>
      </c>
      <c r="QDI30" t="str">
        <f t="shared" si="185"/>
        <v/>
      </c>
      <c r="QDJ30" t="str">
        <f t="shared" si="185"/>
        <v/>
      </c>
      <c r="QDK30" t="str">
        <f t="shared" si="185"/>
        <v/>
      </c>
      <c r="QDL30" t="str">
        <f t="shared" si="185"/>
        <v/>
      </c>
      <c r="QDM30" t="str">
        <f t="shared" si="185"/>
        <v/>
      </c>
      <c r="QDN30" t="str">
        <f t="shared" si="185"/>
        <v/>
      </c>
      <c r="QDO30" t="str">
        <f t="shared" si="185"/>
        <v/>
      </c>
      <c r="QDP30" t="str">
        <f t="shared" si="185"/>
        <v/>
      </c>
      <c r="QDQ30" t="str">
        <f t="shared" si="185"/>
        <v/>
      </c>
      <c r="QDR30" t="str">
        <f t="shared" si="185"/>
        <v/>
      </c>
      <c r="QDS30" t="str">
        <f t="shared" si="185"/>
        <v/>
      </c>
      <c r="QDT30" t="str">
        <f t="shared" si="185"/>
        <v/>
      </c>
      <c r="QDU30" t="str">
        <f t="shared" si="185"/>
        <v/>
      </c>
      <c r="QDV30" t="str">
        <f t="shared" si="185"/>
        <v/>
      </c>
      <c r="QDW30" t="str">
        <f t="shared" si="185"/>
        <v/>
      </c>
      <c r="QDX30" t="str">
        <f t="shared" si="185"/>
        <v/>
      </c>
      <c r="QDY30" t="str">
        <f t="shared" si="185"/>
        <v/>
      </c>
      <c r="QDZ30" t="str">
        <f t="shared" si="185"/>
        <v/>
      </c>
      <c r="QEA30" t="str">
        <f t="shared" si="185"/>
        <v/>
      </c>
      <c r="QEB30" t="str">
        <f t="shared" si="185"/>
        <v/>
      </c>
      <c r="QEC30" t="str">
        <f t="shared" si="185"/>
        <v/>
      </c>
      <c r="QED30" t="str">
        <f t="shared" si="185"/>
        <v/>
      </c>
      <c r="QEE30" t="str">
        <f t="shared" si="185"/>
        <v/>
      </c>
      <c r="QEF30" t="str">
        <f t="shared" si="185"/>
        <v/>
      </c>
      <c r="QEG30" t="str">
        <f t="shared" si="185"/>
        <v/>
      </c>
      <c r="QEH30" t="str">
        <f t="shared" si="185"/>
        <v/>
      </c>
      <c r="QEI30" t="str">
        <f t="shared" si="185"/>
        <v/>
      </c>
      <c r="QEJ30" t="str">
        <f t="shared" si="185"/>
        <v/>
      </c>
      <c r="QEK30" t="str">
        <f t="shared" si="185"/>
        <v/>
      </c>
      <c r="QEL30" t="str">
        <f t="shared" si="185"/>
        <v/>
      </c>
      <c r="QEM30" t="str">
        <f t="shared" si="185"/>
        <v/>
      </c>
      <c r="QEN30" t="str">
        <f t="shared" si="185"/>
        <v/>
      </c>
      <c r="QEO30" t="str">
        <f t="shared" si="185"/>
        <v/>
      </c>
      <c r="QEP30" t="str">
        <f t="shared" si="185"/>
        <v/>
      </c>
      <c r="QEQ30" t="str">
        <f t="shared" si="185"/>
        <v/>
      </c>
      <c r="QER30" t="str">
        <f t="shared" si="185"/>
        <v/>
      </c>
      <c r="QES30" t="str">
        <f t="shared" si="185"/>
        <v/>
      </c>
      <c r="QET30" t="str">
        <f t="shared" si="185"/>
        <v/>
      </c>
      <c r="QEU30" t="str">
        <f t="shared" si="185"/>
        <v/>
      </c>
      <c r="QEV30" t="str">
        <f t="shared" si="185"/>
        <v/>
      </c>
      <c r="QEW30" t="str">
        <f t="shared" si="185"/>
        <v/>
      </c>
      <c r="QEX30" t="str">
        <f t="shared" si="185"/>
        <v/>
      </c>
      <c r="QEY30" t="str">
        <f t="shared" si="185"/>
        <v/>
      </c>
      <c r="QEZ30" t="str">
        <f t="shared" si="185"/>
        <v/>
      </c>
      <c r="QFA30" t="str">
        <f t="shared" si="185"/>
        <v/>
      </c>
      <c r="QFB30" t="str">
        <f t="shared" si="185"/>
        <v/>
      </c>
      <c r="QFC30" t="str">
        <f t="shared" si="185"/>
        <v/>
      </c>
      <c r="QFD30" t="str">
        <f t="shared" si="185"/>
        <v/>
      </c>
      <c r="QFE30" t="str">
        <f t="shared" si="185"/>
        <v/>
      </c>
      <c r="QFF30" t="str">
        <f t="shared" si="185"/>
        <v/>
      </c>
      <c r="QFG30" t="str">
        <f t="shared" si="185"/>
        <v/>
      </c>
      <c r="QFH30" t="str">
        <f t="shared" si="185"/>
        <v/>
      </c>
      <c r="QFI30" t="str">
        <f t="shared" si="185"/>
        <v/>
      </c>
      <c r="QFJ30" t="str">
        <f t="shared" si="185"/>
        <v/>
      </c>
      <c r="QFK30" t="str">
        <f t="shared" si="185"/>
        <v/>
      </c>
      <c r="QFL30" t="str">
        <f t="shared" si="185"/>
        <v/>
      </c>
      <c r="QFM30" t="str">
        <f t="shared" si="185"/>
        <v/>
      </c>
      <c r="QFN30" t="str">
        <f t="shared" si="185"/>
        <v/>
      </c>
      <c r="QFO30" t="str">
        <f t="shared" si="185"/>
        <v/>
      </c>
      <c r="QFP30" t="str">
        <f t="shared" ref="QFP30:QIA30" si="186">TRIM(QGB11)</f>
        <v/>
      </c>
      <c r="QFQ30" t="str">
        <f t="shared" si="186"/>
        <v/>
      </c>
      <c r="QFR30" t="str">
        <f t="shared" si="186"/>
        <v/>
      </c>
      <c r="QFS30" t="str">
        <f t="shared" si="186"/>
        <v/>
      </c>
      <c r="QFT30" t="str">
        <f t="shared" si="186"/>
        <v/>
      </c>
      <c r="QFU30" t="str">
        <f t="shared" si="186"/>
        <v/>
      </c>
      <c r="QFV30" t="str">
        <f t="shared" si="186"/>
        <v/>
      </c>
      <c r="QFW30" t="str">
        <f t="shared" si="186"/>
        <v/>
      </c>
      <c r="QFX30" t="str">
        <f t="shared" si="186"/>
        <v/>
      </c>
      <c r="QFY30" t="str">
        <f t="shared" si="186"/>
        <v/>
      </c>
      <c r="QFZ30" t="str">
        <f t="shared" si="186"/>
        <v/>
      </c>
      <c r="QGA30" t="str">
        <f t="shared" si="186"/>
        <v/>
      </c>
      <c r="QGB30" t="str">
        <f t="shared" si="186"/>
        <v/>
      </c>
      <c r="QGC30" t="str">
        <f t="shared" si="186"/>
        <v/>
      </c>
      <c r="QGD30" t="str">
        <f t="shared" si="186"/>
        <v/>
      </c>
      <c r="QGE30" t="str">
        <f t="shared" si="186"/>
        <v/>
      </c>
      <c r="QGF30" t="str">
        <f t="shared" si="186"/>
        <v/>
      </c>
      <c r="QGG30" t="str">
        <f t="shared" si="186"/>
        <v/>
      </c>
      <c r="QGH30" t="str">
        <f t="shared" si="186"/>
        <v/>
      </c>
      <c r="QGI30" t="str">
        <f t="shared" si="186"/>
        <v/>
      </c>
      <c r="QGJ30" t="str">
        <f t="shared" si="186"/>
        <v/>
      </c>
      <c r="QGK30" t="str">
        <f t="shared" si="186"/>
        <v/>
      </c>
      <c r="QGL30" t="str">
        <f t="shared" si="186"/>
        <v/>
      </c>
      <c r="QGM30" t="str">
        <f t="shared" si="186"/>
        <v/>
      </c>
      <c r="QGN30" t="str">
        <f t="shared" si="186"/>
        <v/>
      </c>
      <c r="QGO30" t="str">
        <f t="shared" si="186"/>
        <v/>
      </c>
      <c r="QGP30" t="str">
        <f t="shared" si="186"/>
        <v/>
      </c>
      <c r="QGQ30" t="str">
        <f t="shared" si="186"/>
        <v/>
      </c>
      <c r="QGR30" t="str">
        <f t="shared" si="186"/>
        <v/>
      </c>
      <c r="QGS30" t="str">
        <f t="shared" si="186"/>
        <v/>
      </c>
      <c r="QGT30" t="str">
        <f t="shared" si="186"/>
        <v/>
      </c>
      <c r="QGU30" t="str">
        <f t="shared" si="186"/>
        <v/>
      </c>
      <c r="QGV30" t="str">
        <f t="shared" si="186"/>
        <v/>
      </c>
      <c r="QGW30" t="str">
        <f t="shared" si="186"/>
        <v/>
      </c>
      <c r="QGX30" t="str">
        <f t="shared" si="186"/>
        <v/>
      </c>
      <c r="QGY30" t="str">
        <f t="shared" si="186"/>
        <v/>
      </c>
      <c r="QGZ30" t="str">
        <f t="shared" si="186"/>
        <v/>
      </c>
      <c r="QHA30" t="str">
        <f t="shared" si="186"/>
        <v/>
      </c>
      <c r="QHB30" t="str">
        <f t="shared" si="186"/>
        <v/>
      </c>
      <c r="QHC30" t="str">
        <f t="shared" si="186"/>
        <v/>
      </c>
      <c r="QHD30" t="str">
        <f t="shared" si="186"/>
        <v/>
      </c>
      <c r="QHE30" t="str">
        <f t="shared" si="186"/>
        <v/>
      </c>
      <c r="QHF30" t="str">
        <f t="shared" si="186"/>
        <v/>
      </c>
      <c r="QHG30" t="str">
        <f t="shared" si="186"/>
        <v/>
      </c>
      <c r="QHH30" t="str">
        <f t="shared" si="186"/>
        <v/>
      </c>
      <c r="QHI30" t="str">
        <f t="shared" si="186"/>
        <v/>
      </c>
      <c r="QHJ30" t="str">
        <f t="shared" si="186"/>
        <v/>
      </c>
      <c r="QHK30" t="str">
        <f t="shared" si="186"/>
        <v/>
      </c>
      <c r="QHL30" t="str">
        <f t="shared" si="186"/>
        <v/>
      </c>
      <c r="QHM30" t="str">
        <f t="shared" si="186"/>
        <v/>
      </c>
      <c r="QHN30" t="str">
        <f t="shared" si="186"/>
        <v/>
      </c>
      <c r="QHO30" t="str">
        <f t="shared" si="186"/>
        <v/>
      </c>
      <c r="QHP30" t="str">
        <f t="shared" si="186"/>
        <v/>
      </c>
      <c r="QHQ30" t="str">
        <f t="shared" si="186"/>
        <v/>
      </c>
      <c r="QHR30" t="str">
        <f t="shared" si="186"/>
        <v/>
      </c>
      <c r="QHS30" t="str">
        <f t="shared" si="186"/>
        <v/>
      </c>
      <c r="QHT30" t="str">
        <f t="shared" si="186"/>
        <v/>
      </c>
      <c r="QHU30" t="str">
        <f t="shared" si="186"/>
        <v/>
      </c>
      <c r="QHV30" t="str">
        <f t="shared" si="186"/>
        <v/>
      </c>
      <c r="QHW30" t="str">
        <f t="shared" si="186"/>
        <v/>
      </c>
      <c r="QHX30" t="str">
        <f t="shared" si="186"/>
        <v/>
      </c>
      <c r="QHY30" t="str">
        <f t="shared" si="186"/>
        <v/>
      </c>
      <c r="QHZ30" t="str">
        <f t="shared" si="186"/>
        <v/>
      </c>
      <c r="QIA30" t="str">
        <f t="shared" si="186"/>
        <v/>
      </c>
      <c r="QIB30" t="str">
        <f t="shared" ref="QIB30:QKM30" si="187">TRIM(QIN11)</f>
        <v/>
      </c>
      <c r="QIC30" t="str">
        <f t="shared" si="187"/>
        <v/>
      </c>
      <c r="QID30" t="str">
        <f t="shared" si="187"/>
        <v/>
      </c>
      <c r="QIE30" t="str">
        <f t="shared" si="187"/>
        <v/>
      </c>
      <c r="QIF30" t="str">
        <f t="shared" si="187"/>
        <v/>
      </c>
      <c r="QIG30" t="str">
        <f t="shared" si="187"/>
        <v/>
      </c>
      <c r="QIH30" t="str">
        <f t="shared" si="187"/>
        <v/>
      </c>
      <c r="QII30" t="str">
        <f t="shared" si="187"/>
        <v/>
      </c>
      <c r="QIJ30" t="str">
        <f t="shared" si="187"/>
        <v/>
      </c>
      <c r="QIK30" t="str">
        <f t="shared" si="187"/>
        <v/>
      </c>
      <c r="QIL30" t="str">
        <f t="shared" si="187"/>
        <v/>
      </c>
      <c r="QIM30" t="str">
        <f t="shared" si="187"/>
        <v/>
      </c>
      <c r="QIN30" t="str">
        <f t="shared" si="187"/>
        <v/>
      </c>
      <c r="QIO30" t="str">
        <f t="shared" si="187"/>
        <v/>
      </c>
      <c r="QIP30" t="str">
        <f t="shared" si="187"/>
        <v/>
      </c>
      <c r="QIQ30" t="str">
        <f t="shared" si="187"/>
        <v/>
      </c>
      <c r="QIR30" t="str">
        <f t="shared" si="187"/>
        <v/>
      </c>
      <c r="QIS30" t="str">
        <f t="shared" si="187"/>
        <v/>
      </c>
      <c r="QIT30" t="str">
        <f t="shared" si="187"/>
        <v/>
      </c>
      <c r="QIU30" t="str">
        <f t="shared" si="187"/>
        <v/>
      </c>
      <c r="QIV30" t="str">
        <f t="shared" si="187"/>
        <v/>
      </c>
      <c r="QIW30" t="str">
        <f t="shared" si="187"/>
        <v/>
      </c>
      <c r="QIX30" t="str">
        <f t="shared" si="187"/>
        <v/>
      </c>
      <c r="QIY30" t="str">
        <f t="shared" si="187"/>
        <v/>
      </c>
      <c r="QIZ30" t="str">
        <f t="shared" si="187"/>
        <v/>
      </c>
      <c r="QJA30" t="str">
        <f t="shared" si="187"/>
        <v/>
      </c>
      <c r="QJB30" t="str">
        <f t="shared" si="187"/>
        <v/>
      </c>
      <c r="QJC30" t="str">
        <f t="shared" si="187"/>
        <v/>
      </c>
      <c r="QJD30" t="str">
        <f t="shared" si="187"/>
        <v/>
      </c>
      <c r="QJE30" t="str">
        <f t="shared" si="187"/>
        <v/>
      </c>
      <c r="QJF30" t="str">
        <f t="shared" si="187"/>
        <v/>
      </c>
      <c r="QJG30" t="str">
        <f t="shared" si="187"/>
        <v/>
      </c>
      <c r="QJH30" t="str">
        <f t="shared" si="187"/>
        <v/>
      </c>
      <c r="QJI30" t="str">
        <f t="shared" si="187"/>
        <v/>
      </c>
      <c r="QJJ30" t="str">
        <f t="shared" si="187"/>
        <v/>
      </c>
      <c r="QJK30" t="str">
        <f t="shared" si="187"/>
        <v/>
      </c>
      <c r="QJL30" t="str">
        <f t="shared" si="187"/>
        <v/>
      </c>
      <c r="QJM30" t="str">
        <f t="shared" si="187"/>
        <v/>
      </c>
      <c r="QJN30" t="str">
        <f t="shared" si="187"/>
        <v/>
      </c>
      <c r="QJO30" t="str">
        <f t="shared" si="187"/>
        <v/>
      </c>
      <c r="QJP30" t="str">
        <f t="shared" si="187"/>
        <v/>
      </c>
      <c r="QJQ30" t="str">
        <f t="shared" si="187"/>
        <v/>
      </c>
      <c r="QJR30" t="str">
        <f t="shared" si="187"/>
        <v/>
      </c>
      <c r="QJS30" t="str">
        <f t="shared" si="187"/>
        <v/>
      </c>
      <c r="QJT30" t="str">
        <f t="shared" si="187"/>
        <v/>
      </c>
      <c r="QJU30" t="str">
        <f t="shared" si="187"/>
        <v/>
      </c>
      <c r="QJV30" t="str">
        <f t="shared" si="187"/>
        <v/>
      </c>
      <c r="QJW30" t="str">
        <f t="shared" si="187"/>
        <v/>
      </c>
      <c r="QJX30" t="str">
        <f t="shared" si="187"/>
        <v/>
      </c>
      <c r="QJY30" t="str">
        <f t="shared" si="187"/>
        <v/>
      </c>
      <c r="QJZ30" t="str">
        <f t="shared" si="187"/>
        <v/>
      </c>
      <c r="QKA30" t="str">
        <f t="shared" si="187"/>
        <v/>
      </c>
      <c r="QKB30" t="str">
        <f t="shared" si="187"/>
        <v/>
      </c>
      <c r="QKC30" t="str">
        <f t="shared" si="187"/>
        <v/>
      </c>
      <c r="QKD30" t="str">
        <f t="shared" si="187"/>
        <v/>
      </c>
      <c r="QKE30" t="str">
        <f t="shared" si="187"/>
        <v/>
      </c>
      <c r="QKF30" t="str">
        <f t="shared" si="187"/>
        <v/>
      </c>
      <c r="QKG30" t="str">
        <f t="shared" si="187"/>
        <v/>
      </c>
      <c r="QKH30" t="str">
        <f t="shared" si="187"/>
        <v/>
      </c>
      <c r="QKI30" t="str">
        <f t="shared" si="187"/>
        <v/>
      </c>
      <c r="QKJ30" t="str">
        <f t="shared" si="187"/>
        <v/>
      </c>
      <c r="QKK30" t="str">
        <f t="shared" si="187"/>
        <v/>
      </c>
      <c r="QKL30" t="str">
        <f t="shared" si="187"/>
        <v/>
      </c>
      <c r="QKM30" t="str">
        <f t="shared" si="187"/>
        <v/>
      </c>
      <c r="QKN30" t="str">
        <f t="shared" ref="QKN30:QMY30" si="188">TRIM(QKZ11)</f>
        <v/>
      </c>
      <c r="QKO30" t="str">
        <f t="shared" si="188"/>
        <v/>
      </c>
      <c r="QKP30" t="str">
        <f t="shared" si="188"/>
        <v/>
      </c>
      <c r="QKQ30" t="str">
        <f t="shared" si="188"/>
        <v/>
      </c>
      <c r="QKR30" t="str">
        <f t="shared" si="188"/>
        <v/>
      </c>
      <c r="QKS30" t="str">
        <f t="shared" si="188"/>
        <v/>
      </c>
      <c r="QKT30" t="str">
        <f t="shared" si="188"/>
        <v/>
      </c>
      <c r="QKU30" t="str">
        <f t="shared" si="188"/>
        <v/>
      </c>
      <c r="QKV30" t="str">
        <f t="shared" si="188"/>
        <v/>
      </c>
      <c r="QKW30" t="str">
        <f t="shared" si="188"/>
        <v/>
      </c>
      <c r="QKX30" t="str">
        <f t="shared" si="188"/>
        <v/>
      </c>
      <c r="QKY30" t="str">
        <f t="shared" si="188"/>
        <v/>
      </c>
      <c r="QKZ30" t="str">
        <f t="shared" si="188"/>
        <v/>
      </c>
      <c r="QLA30" t="str">
        <f t="shared" si="188"/>
        <v/>
      </c>
      <c r="QLB30" t="str">
        <f t="shared" si="188"/>
        <v/>
      </c>
      <c r="QLC30" t="str">
        <f t="shared" si="188"/>
        <v/>
      </c>
      <c r="QLD30" t="str">
        <f t="shared" si="188"/>
        <v/>
      </c>
      <c r="QLE30" t="str">
        <f t="shared" si="188"/>
        <v/>
      </c>
      <c r="QLF30" t="str">
        <f t="shared" si="188"/>
        <v/>
      </c>
      <c r="QLG30" t="str">
        <f t="shared" si="188"/>
        <v/>
      </c>
      <c r="QLH30" t="str">
        <f t="shared" si="188"/>
        <v/>
      </c>
      <c r="QLI30" t="str">
        <f t="shared" si="188"/>
        <v/>
      </c>
      <c r="QLJ30" t="str">
        <f t="shared" si="188"/>
        <v/>
      </c>
      <c r="QLK30" t="str">
        <f t="shared" si="188"/>
        <v/>
      </c>
      <c r="QLL30" t="str">
        <f t="shared" si="188"/>
        <v/>
      </c>
      <c r="QLM30" t="str">
        <f t="shared" si="188"/>
        <v/>
      </c>
      <c r="QLN30" t="str">
        <f t="shared" si="188"/>
        <v/>
      </c>
      <c r="QLO30" t="str">
        <f t="shared" si="188"/>
        <v/>
      </c>
      <c r="QLP30" t="str">
        <f t="shared" si="188"/>
        <v/>
      </c>
      <c r="QLQ30" t="str">
        <f t="shared" si="188"/>
        <v/>
      </c>
      <c r="QLR30" t="str">
        <f t="shared" si="188"/>
        <v/>
      </c>
      <c r="QLS30" t="str">
        <f t="shared" si="188"/>
        <v/>
      </c>
      <c r="QLT30" t="str">
        <f t="shared" si="188"/>
        <v/>
      </c>
      <c r="QLU30" t="str">
        <f t="shared" si="188"/>
        <v/>
      </c>
      <c r="QLV30" t="str">
        <f t="shared" si="188"/>
        <v/>
      </c>
      <c r="QLW30" t="str">
        <f t="shared" si="188"/>
        <v/>
      </c>
      <c r="QLX30" t="str">
        <f t="shared" si="188"/>
        <v/>
      </c>
      <c r="QLY30" t="str">
        <f t="shared" si="188"/>
        <v/>
      </c>
      <c r="QLZ30" t="str">
        <f t="shared" si="188"/>
        <v/>
      </c>
      <c r="QMA30" t="str">
        <f t="shared" si="188"/>
        <v/>
      </c>
      <c r="QMB30" t="str">
        <f t="shared" si="188"/>
        <v/>
      </c>
      <c r="QMC30" t="str">
        <f t="shared" si="188"/>
        <v/>
      </c>
      <c r="QMD30" t="str">
        <f t="shared" si="188"/>
        <v/>
      </c>
      <c r="QME30" t="str">
        <f t="shared" si="188"/>
        <v/>
      </c>
      <c r="QMF30" t="str">
        <f t="shared" si="188"/>
        <v/>
      </c>
      <c r="QMG30" t="str">
        <f t="shared" si="188"/>
        <v/>
      </c>
      <c r="QMH30" t="str">
        <f t="shared" si="188"/>
        <v/>
      </c>
      <c r="QMI30" t="str">
        <f t="shared" si="188"/>
        <v/>
      </c>
      <c r="QMJ30" t="str">
        <f t="shared" si="188"/>
        <v/>
      </c>
      <c r="QMK30" t="str">
        <f t="shared" si="188"/>
        <v/>
      </c>
      <c r="QML30" t="str">
        <f t="shared" si="188"/>
        <v/>
      </c>
      <c r="QMM30" t="str">
        <f t="shared" si="188"/>
        <v/>
      </c>
      <c r="QMN30" t="str">
        <f t="shared" si="188"/>
        <v/>
      </c>
      <c r="QMO30" t="str">
        <f t="shared" si="188"/>
        <v/>
      </c>
      <c r="QMP30" t="str">
        <f t="shared" si="188"/>
        <v/>
      </c>
      <c r="QMQ30" t="str">
        <f t="shared" si="188"/>
        <v/>
      </c>
      <c r="QMR30" t="str">
        <f t="shared" si="188"/>
        <v/>
      </c>
      <c r="QMS30" t="str">
        <f t="shared" si="188"/>
        <v/>
      </c>
      <c r="QMT30" t="str">
        <f t="shared" si="188"/>
        <v/>
      </c>
      <c r="QMU30" t="str">
        <f t="shared" si="188"/>
        <v/>
      </c>
      <c r="QMV30" t="str">
        <f t="shared" si="188"/>
        <v/>
      </c>
      <c r="QMW30" t="str">
        <f t="shared" si="188"/>
        <v/>
      </c>
      <c r="QMX30" t="str">
        <f t="shared" si="188"/>
        <v/>
      </c>
      <c r="QMY30" t="str">
        <f t="shared" si="188"/>
        <v/>
      </c>
      <c r="QMZ30" t="str">
        <f t="shared" ref="QMZ30:QPK30" si="189">TRIM(QNL11)</f>
        <v/>
      </c>
      <c r="QNA30" t="str">
        <f t="shared" si="189"/>
        <v/>
      </c>
      <c r="QNB30" t="str">
        <f t="shared" si="189"/>
        <v/>
      </c>
      <c r="QNC30" t="str">
        <f t="shared" si="189"/>
        <v/>
      </c>
      <c r="QND30" t="str">
        <f t="shared" si="189"/>
        <v/>
      </c>
      <c r="QNE30" t="str">
        <f t="shared" si="189"/>
        <v/>
      </c>
      <c r="QNF30" t="str">
        <f t="shared" si="189"/>
        <v/>
      </c>
      <c r="QNG30" t="str">
        <f t="shared" si="189"/>
        <v/>
      </c>
      <c r="QNH30" t="str">
        <f t="shared" si="189"/>
        <v/>
      </c>
      <c r="QNI30" t="str">
        <f t="shared" si="189"/>
        <v/>
      </c>
      <c r="QNJ30" t="str">
        <f t="shared" si="189"/>
        <v/>
      </c>
      <c r="QNK30" t="str">
        <f t="shared" si="189"/>
        <v/>
      </c>
      <c r="QNL30" t="str">
        <f t="shared" si="189"/>
        <v/>
      </c>
      <c r="QNM30" t="str">
        <f t="shared" si="189"/>
        <v/>
      </c>
      <c r="QNN30" t="str">
        <f t="shared" si="189"/>
        <v/>
      </c>
      <c r="QNO30" t="str">
        <f t="shared" si="189"/>
        <v/>
      </c>
      <c r="QNP30" t="str">
        <f t="shared" si="189"/>
        <v/>
      </c>
      <c r="QNQ30" t="str">
        <f t="shared" si="189"/>
        <v/>
      </c>
      <c r="QNR30" t="str">
        <f t="shared" si="189"/>
        <v/>
      </c>
      <c r="QNS30" t="str">
        <f t="shared" si="189"/>
        <v/>
      </c>
      <c r="QNT30" t="str">
        <f t="shared" si="189"/>
        <v/>
      </c>
      <c r="QNU30" t="str">
        <f t="shared" si="189"/>
        <v/>
      </c>
      <c r="QNV30" t="str">
        <f t="shared" si="189"/>
        <v/>
      </c>
      <c r="QNW30" t="str">
        <f t="shared" si="189"/>
        <v/>
      </c>
      <c r="QNX30" t="str">
        <f t="shared" si="189"/>
        <v/>
      </c>
      <c r="QNY30" t="str">
        <f t="shared" si="189"/>
        <v/>
      </c>
      <c r="QNZ30" t="str">
        <f t="shared" si="189"/>
        <v/>
      </c>
      <c r="QOA30" t="str">
        <f t="shared" si="189"/>
        <v/>
      </c>
      <c r="QOB30" t="str">
        <f t="shared" si="189"/>
        <v/>
      </c>
      <c r="QOC30" t="str">
        <f t="shared" si="189"/>
        <v/>
      </c>
      <c r="QOD30" t="str">
        <f t="shared" si="189"/>
        <v/>
      </c>
      <c r="QOE30" t="str">
        <f t="shared" si="189"/>
        <v/>
      </c>
      <c r="QOF30" t="str">
        <f t="shared" si="189"/>
        <v/>
      </c>
      <c r="QOG30" t="str">
        <f t="shared" si="189"/>
        <v/>
      </c>
      <c r="QOH30" t="str">
        <f t="shared" si="189"/>
        <v/>
      </c>
      <c r="QOI30" t="str">
        <f t="shared" si="189"/>
        <v/>
      </c>
      <c r="QOJ30" t="str">
        <f t="shared" si="189"/>
        <v/>
      </c>
      <c r="QOK30" t="str">
        <f t="shared" si="189"/>
        <v/>
      </c>
      <c r="QOL30" t="str">
        <f t="shared" si="189"/>
        <v/>
      </c>
      <c r="QOM30" t="str">
        <f t="shared" si="189"/>
        <v/>
      </c>
      <c r="QON30" t="str">
        <f t="shared" si="189"/>
        <v/>
      </c>
      <c r="QOO30" t="str">
        <f t="shared" si="189"/>
        <v/>
      </c>
      <c r="QOP30" t="str">
        <f t="shared" si="189"/>
        <v/>
      </c>
      <c r="QOQ30" t="str">
        <f t="shared" si="189"/>
        <v/>
      </c>
      <c r="QOR30" t="str">
        <f t="shared" si="189"/>
        <v/>
      </c>
      <c r="QOS30" t="str">
        <f t="shared" si="189"/>
        <v/>
      </c>
      <c r="QOT30" t="str">
        <f t="shared" si="189"/>
        <v/>
      </c>
      <c r="QOU30" t="str">
        <f t="shared" si="189"/>
        <v/>
      </c>
      <c r="QOV30" t="str">
        <f t="shared" si="189"/>
        <v/>
      </c>
      <c r="QOW30" t="str">
        <f t="shared" si="189"/>
        <v/>
      </c>
      <c r="QOX30" t="str">
        <f t="shared" si="189"/>
        <v/>
      </c>
      <c r="QOY30" t="str">
        <f t="shared" si="189"/>
        <v/>
      </c>
      <c r="QOZ30" t="str">
        <f t="shared" si="189"/>
        <v/>
      </c>
      <c r="QPA30" t="str">
        <f t="shared" si="189"/>
        <v/>
      </c>
      <c r="QPB30" t="str">
        <f t="shared" si="189"/>
        <v/>
      </c>
      <c r="QPC30" t="str">
        <f t="shared" si="189"/>
        <v/>
      </c>
      <c r="QPD30" t="str">
        <f t="shared" si="189"/>
        <v/>
      </c>
      <c r="QPE30" t="str">
        <f t="shared" si="189"/>
        <v/>
      </c>
      <c r="QPF30" t="str">
        <f t="shared" si="189"/>
        <v/>
      </c>
      <c r="QPG30" t="str">
        <f t="shared" si="189"/>
        <v/>
      </c>
      <c r="QPH30" t="str">
        <f t="shared" si="189"/>
        <v/>
      </c>
      <c r="QPI30" t="str">
        <f t="shared" si="189"/>
        <v/>
      </c>
      <c r="QPJ30" t="str">
        <f t="shared" si="189"/>
        <v/>
      </c>
      <c r="QPK30" t="str">
        <f t="shared" si="189"/>
        <v/>
      </c>
      <c r="QPL30" t="str">
        <f t="shared" ref="QPL30:QRW30" si="190">TRIM(QPX11)</f>
        <v/>
      </c>
      <c r="QPM30" t="str">
        <f t="shared" si="190"/>
        <v/>
      </c>
      <c r="QPN30" t="str">
        <f t="shared" si="190"/>
        <v/>
      </c>
      <c r="QPO30" t="str">
        <f t="shared" si="190"/>
        <v/>
      </c>
      <c r="QPP30" t="str">
        <f t="shared" si="190"/>
        <v/>
      </c>
      <c r="QPQ30" t="str">
        <f t="shared" si="190"/>
        <v/>
      </c>
      <c r="QPR30" t="str">
        <f t="shared" si="190"/>
        <v/>
      </c>
      <c r="QPS30" t="str">
        <f t="shared" si="190"/>
        <v/>
      </c>
      <c r="QPT30" t="str">
        <f t="shared" si="190"/>
        <v/>
      </c>
      <c r="QPU30" t="str">
        <f t="shared" si="190"/>
        <v/>
      </c>
      <c r="QPV30" t="str">
        <f t="shared" si="190"/>
        <v/>
      </c>
      <c r="QPW30" t="str">
        <f t="shared" si="190"/>
        <v/>
      </c>
      <c r="QPX30" t="str">
        <f t="shared" si="190"/>
        <v/>
      </c>
      <c r="QPY30" t="str">
        <f t="shared" si="190"/>
        <v/>
      </c>
      <c r="QPZ30" t="str">
        <f t="shared" si="190"/>
        <v/>
      </c>
      <c r="QQA30" t="str">
        <f t="shared" si="190"/>
        <v/>
      </c>
      <c r="QQB30" t="str">
        <f t="shared" si="190"/>
        <v/>
      </c>
      <c r="QQC30" t="str">
        <f t="shared" si="190"/>
        <v/>
      </c>
      <c r="QQD30" t="str">
        <f t="shared" si="190"/>
        <v/>
      </c>
      <c r="QQE30" t="str">
        <f t="shared" si="190"/>
        <v/>
      </c>
      <c r="QQF30" t="str">
        <f t="shared" si="190"/>
        <v/>
      </c>
      <c r="QQG30" t="str">
        <f t="shared" si="190"/>
        <v/>
      </c>
      <c r="QQH30" t="str">
        <f t="shared" si="190"/>
        <v/>
      </c>
      <c r="QQI30" t="str">
        <f t="shared" si="190"/>
        <v/>
      </c>
      <c r="QQJ30" t="str">
        <f t="shared" si="190"/>
        <v/>
      </c>
      <c r="QQK30" t="str">
        <f t="shared" si="190"/>
        <v/>
      </c>
      <c r="QQL30" t="str">
        <f t="shared" si="190"/>
        <v/>
      </c>
      <c r="QQM30" t="str">
        <f t="shared" si="190"/>
        <v/>
      </c>
      <c r="QQN30" t="str">
        <f t="shared" si="190"/>
        <v/>
      </c>
      <c r="QQO30" t="str">
        <f t="shared" si="190"/>
        <v/>
      </c>
      <c r="QQP30" t="str">
        <f t="shared" si="190"/>
        <v/>
      </c>
      <c r="QQQ30" t="str">
        <f t="shared" si="190"/>
        <v/>
      </c>
      <c r="QQR30" t="str">
        <f t="shared" si="190"/>
        <v/>
      </c>
      <c r="QQS30" t="str">
        <f t="shared" si="190"/>
        <v/>
      </c>
      <c r="QQT30" t="str">
        <f t="shared" si="190"/>
        <v/>
      </c>
      <c r="QQU30" t="str">
        <f t="shared" si="190"/>
        <v/>
      </c>
      <c r="QQV30" t="str">
        <f t="shared" si="190"/>
        <v/>
      </c>
      <c r="QQW30" t="str">
        <f t="shared" si="190"/>
        <v/>
      </c>
      <c r="QQX30" t="str">
        <f t="shared" si="190"/>
        <v/>
      </c>
      <c r="QQY30" t="str">
        <f t="shared" si="190"/>
        <v/>
      </c>
      <c r="QQZ30" t="str">
        <f t="shared" si="190"/>
        <v/>
      </c>
      <c r="QRA30" t="str">
        <f t="shared" si="190"/>
        <v/>
      </c>
      <c r="QRB30" t="str">
        <f t="shared" si="190"/>
        <v/>
      </c>
      <c r="QRC30" t="str">
        <f t="shared" si="190"/>
        <v/>
      </c>
      <c r="QRD30" t="str">
        <f t="shared" si="190"/>
        <v/>
      </c>
      <c r="QRE30" t="str">
        <f t="shared" si="190"/>
        <v/>
      </c>
      <c r="QRF30" t="str">
        <f t="shared" si="190"/>
        <v/>
      </c>
      <c r="QRG30" t="str">
        <f t="shared" si="190"/>
        <v/>
      </c>
      <c r="QRH30" t="str">
        <f t="shared" si="190"/>
        <v/>
      </c>
      <c r="QRI30" t="str">
        <f t="shared" si="190"/>
        <v/>
      </c>
      <c r="QRJ30" t="str">
        <f t="shared" si="190"/>
        <v/>
      </c>
      <c r="QRK30" t="str">
        <f t="shared" si="190"/>
        <v/>
      </c>
      <c r="QRL30" t="str">
        <f t="shared" si="190"/>
        <v/>
      </c>
      <c r="QRM30" t="str">
        <f t="shared" si="190"/>
        <v/>
      </c>
      <c r="QRN30" t="str">
        <f t="shared" si="190"/>
        <v/>
      </c>
      <c r="QRO30" t="str">
        <f t="shared" si="190"/>
        <v/>
      </c>
      <c r="QRP30" t="str">
        <f t="shared" si="190"/>
        <v/>
      </c>
      <c r="QRQ30" t="str">
        <f t="shared" si="190"/>
        <v/>
      </c>
      <c r="QRR30" t="str">
        <f t="shared" si="190"/>
        <v/>
      </c>
      <c r="QRS30" t="str">
        <f t="shared" si="190"/>
        <v/>
      </c>
      <c r="QRT30" t="str">
        <f t="shared" si="190"/>
        <v/>
      </c>
      <c r="QRU30" t="str">
        <f t="shared" si="190"/>
        <v/>
      </c>
      <c r="QRV30" t="str">
        <f t="shared" si="190"/>
        <v/>
      </c>
      <c r="QRW30" t="str">
        <f t="shared" si="190"/>
        <v/>
      </c>
      <c r="QRX30" t="str">
        <f t="shared" ref="QRX30:QUI30" si="191">TRIM(QSJ11)</f>
        <v/>
      </c>
      <c r="QRY30" t="str">
        <f t="shared" si="191"/>
        <v/>
      </c>
      <c r="QRZ30" t="str">
        <f t="shared" si="191"/>
        <v/>
      </c>
      <c r="QSA30" t="str">
        <f t="shared" si="191"/>
        <v/>
      </c>
      <c r="QSB30" t="str">
        <f t="shared" si="191"/>
        <v/>
      </c>
      <c r="QSC30" t="str">
        <f t="shared" si="191"/>
        <v/>
      </c>
      <c r="QSD30" t="str">
        <f t="shared" si="191"/>
        <v/>
      </c>
      <c r="QSE30" t="str">
        <f t="shared" si="191"/>
        <v/>
      </c>
      <c r="QSF30" t="str">
        <f t="shared" si="191"/>
        <v/>
      </c>
      <c r="QSG30" t="str">
        <f t="shared" si="191"/>
        <v/>
      </c>
      <c r="QSH30" t="str">
        <f t="shared" si="191"/>
        <v/>
      </c>
      <c r="QSI30" t="str">
        <f t="shared" si="191"/>
        <v/>
      </c>
      <c r="QSJ30" t="str">
        <f t="shared" si="191"/>
        <v/>
      </c>
      <c r="QSK30" t="str">
        <f t="shared" si="191"/>
        <v/>
      </c>
      <c r="QSL30" t="str">
        <f t="shared" si="191"/>
        <v/>
      </c>
      <c r="QSM30" t="str">
        <f t="shared" si="191"/>
        <v/>
      </c>
      <c r="QSN30" t="str">
        <f t="shared" si="191"/>
        <v/>
      </c>
      <c r="QSO30" t="str">
        <f t="shared" si="191"/>
        <v/>
      </c>
      <c r="QSP30" t="str">
        <f t="shared" si="191"/>
        <v/>
      </c>
      <c r="QSQ30" t="str">
        <f t="shared" si="191"/>
        <v/>
      </c>
      <c r="QSR30" t="str">
        <f t="shared" si="191"/>
        <v/>
      </c>
      <c r="QSS30" t="str">
        <f t="shared" si="191"/>
        <v/>
      </c>
      <c r="QST30" t="str">
        <f t="shared" si="191"/>
        <v/>
      </c>
      <c r="QSU30" t="str">
        <f t="shared" si="191"/>
        <v/>
      </c>
      <c r="QSV30" t="str">
        <f t="shared" si="191"/>
        <v/>
      </c>
      <c r="QSW30" t="str">
        <f t="shared" si="191"/>
        <v/>
      </c>
      <c r="QSX30" t="str">
        <f t="shared" si="191"/>
        <v/>
      </c>
      <c r="QSY30" t="str">
        <f t="shared" si="191"/>
        <v/>
      </c>
      <c r="QSZ30" t="str">
        <f t="shared" si="191"/>
        <v/>
      </c>
      <c r="QTA30" t="str">
        <f t="shared" si="191"/>
        <v/>
      </c>
      <c r="QTB30" t="str">
        <f t="shared" si="191"/>
        <v/>
      </c>
      <c r="QTC30" t="str">
        <f t="shared" si="191"/>
        <v/>
      </c>
      <c r="QTD30" t="str">
        <f t="shared" si="191"/>
        <v/>
      </c>
      <c r="QTE30" t="str">
        <f t="shared" si="191"/>
        <v/>
      </c>
      <c r="QTF30" t="str">
        <f t="shared" si="191"/>
        <v/>
      </c>
      <c r="QTG30" t="str">
        <f t="shared" si="191"/>
        <v/>
      </c>
      <c r="QTH30" t="str">
        <f t="shared" si="191"/>
        <v/>
      </c>
      <c r="QTI30" t="str">
        <f t="shared" si="191"/>
        <v/>
      </c>
      <c r="QTJ30" t="str">
        <f t="shared" si="191"/>
        <v/>
      </c>
      <c r="QTK30" t="str">
        <f t="shared" si="191"/>
        <v/>
      </c>
      <c r="QTL30" t="str">
        <f t="shared" si="191"/>
        <v/>
      </c>
      <c r="QTM30" t="str">
        <f t="shared" si="191"/>
        <v/>
      </c>
      <c r="QTN30" t="str">
        <f t="shared" si="191"/>
        <v/>
      </c>
      <c r="QTO30" t="str">
        <f t="shared" si="191"/>
        <v/>
      </c>
      <c r="QTP30" t="str">
        <f t="shared" si="191"/>
        <v/>
      </c>
      <c r="QTQ30" t="str">
        <f t="shared" si="191"/>
        <v/>
      </c>
      <c r="QTR30" t="str">
        <f t="shared" si="191"/>
        <v/>
      </c>
      <c r="QTS30" t="str">
        <f t="shared" si="191"/>
        <v/>
      </c>
      <c r="QTT30" t="str">
        <f t="shared" si="191"/>
        <v/>
      </c>
      <c r="QTU30" t="str">
        <f t="shared" si="191"/>
        <v/>
      </c>
      <c r="QTV30" t="str">
        <f t="shared" si="191"/>
        <v/>
      </c>
      <c r="QTW30" t="str">
        <f t="shared" si="191"/>
        <v/>
      </c>
      <c r="QTX30" t="str">
        <f t="shared" si="191"/>
        <v/>
      </c>
      <c r="QTY30" t="str">
        <f t="shared" si="191"/>
        <v/>
      </c>
      <c r="QTZ30" t="str">
        <f t="shared" si="191"/>
        <v/>
      </c>
      <c r="QUA30" t="str">
        <f t="shared" si="191"/>
        <v/>
      </c>
      <c r="QUB30" t="str">
        <f t="shared" si="191"/>
        <v/>
      </c>
      <c r="QUC30" t="str">
        <f t="shared" si="191"/>
        <v/>
      </c>
      <c r="QUD30" t="str">
        <f t="shared" si="191"/>
        <v/>
      </c>
      <c r="QUE30" t="str">
        <f t="shared" si="191"/>
        <v/>
      </c>
      <c r="QUF30" t="str">
        <f t="shared" si="191"/>
        <v/>
      </c>
      <c r="QUG30" t="str">
        <f t="shared" si="191"/>
        <v/>
      </c>
      <c r="QUH30" t="str">
        <f t="shared" si="191"/>
        <v/>
      </c>
      <c r="QUI30" t="str">
        <f t="shared" si="191"/>
        <v/>
      </c>
      <c r="QUJ30" t="str">
        <f t="shared" ref="QUJ30:QWU30" si="192">TRIM(QUV11)</f>
        <v/>
      </c>
      <c r="QUK30" t="str">
        <f t="shared" si="192"/>
        <v/>
      </c>
      <c r="QUL30" t="str">
        <f t="shared" si="192"/>
        <v/>
      </c>
      <c r="QUM30" t="str">
        <f t="shared" si="192"/>
        <v/>
      </c>
      <c r="QUN30" t="str">
        <f t="shared" si="192"/>
        <v/>
      </c>
      <c r="QUO30" t="str">
        <f t="shared" si="192"/>
        <v/>
      </c>
      <c r="QUP30" t="str">
        <f t="shared" si="192"/>
        <v/>
      </c>
      <c r="QUQ30" t="str">
        <f t="shared" si="192"/>
        <v/>
      </c>
      <c r="QUR30" t="str">
        <f t="shared" si="192"/>
        <v/>
      </c>
      <c r="QUS30" t="str">
        <f t="shared" si="192"/>
        <v/>
      </c>
      <c r="QUT30" t="str">
        <f t="shared" si="192"/>
        <v/>
      </c>
      <c r="QUU30" t="str">
        <f t="shared" si="192"/>
        <v/>
      </c>
      <c r="QUV30" t="str">
        <f t="shared" si="192"/>
        <v/>
      </c>
      <c r="QUW30" t="str">
        <f t="shared" si="192"/>
        <v/>
      </c>
      <c r="QUX30" t="str">
        <f t="shared" si="192"/>
        <v/>
      </c>
      <c r="QUY30" t="str">
        <f t="shared" si="192"/>
        <v/>
      </c>
      <c r="QUZ30" t="str">
        <f t="shared" si="192"/>
        <v/>
      </c>
      <c r="QVA30" t="str">
        <f t="shared" si="192"/>
        <v/>
      </c>
      <c r="QVB30" t="str">
        <f t="shared" si="192"/>
        <v/>
      </c>
      <c r="QVC30" t="str">
        <f t="shared" si="192"/>
        <v/>
      </c>
      <c r="QVD30" t="str">
        <f t="shared" si="192"/>
        <v/>
      </c>
      <c r="QVE30" t="str">
        <f t="shared" si="192"/>
        <v/>
      </c>
      <c r="QVF30" t="str">
        <f t="shared" si="192"/>
        <v/>
      </c>
      <c r="QVG30" t="str">
        <f t="shared" si="192"/>
        <v/>
      </c>
      <c r="QVH30" t="str">
        <f t="shared" si="192"/>
        <v/>
      </c>
      <c r="QVI30" t="str">
        <f t="shared" si="192"/>
        <v/>
      </c>
      <c r="QVJ30" t="str">
        <f t="shared" si="192"/>
        <v/>
      </c>
      <c r="QVK30" t="str">
        <f t="shared" si="192"/>
        <v/>
      </c>
      <c r="QVL30" t="str">
        <f t="shared" si="192"/>
        <v/>
      </c>
      <c r="QVM30" t="str">
        <f t="shared" si="192"/>
        <v/>
      </c>
      <c r="QVN30" t="str">
        <f t="shared" si="192"/>
        <v/>
      </c>
      <c r="QVO30" t="str">
        <f t="shared" si="192"/>
        <v/>
      </c>
      <c r="QVP30" t="str">
        <f t="shared" si="192"/>
        <v/>
      </c>
      <c r="QVQ30" t="str">
        <f t="shared" si="192"/>
        <v/>
      </c>
      <c r="QVR30" t="str">
        <f t="shared" si="192"/>
        <v/>
      </c>
      <c r="QVS30" t="str">
        <f t="shared" si="192"/>
        <v/>
      </c>
      <c r="QVT30" t="str">
        <f t="shared" si="192"/>
        <v/>
      </c>
      <c r="QVU30" t="str">
        <f t="shared" si="192"/>
        <v/>
      </c>
      <c r="QVV30" t="str">
        <f t="shared" si="192"/>
        <v/>
      </c>
      <c r="QVW30" t="str">
        <f t="shared" si="192"/>
        <v/>
      </c>
      <c r="QVX30" t="str">
        <f t="shared" si="192"/>
        <v/>
      </c>
      <c r="QVY30" t="str">
        <f t="shared" si="192"/>
        <v/>
      </c>
      <c r="QVZ30" t="str">
        <f t="shared" si="192"/>
        <v/>
      </c>
      <c r="QWA30" t="str">
        <f t="shared" si="192"/>
        <v/>
      </c>
      <c r="QWB30" t="str">
        <f t="shared" si="192"/>
        <v/>
      </c>
      <c r="QWC30" t="str">
        <f t="shared" si="192"/>
        <v/>
      </c>
      <c r="QWD30" t="str">
        <f t="shared" si="192"/>
        <v/>
      </c>
      <c r="QWE30" t="str">
        <f t="shared" si="192"/>
        <v/>
      </c>
      <c r="QWF30" t="str">
        <f t="shared" si="192"/>
        <v/>
      </c>
      <c r="QWG30" t="str">
        <f t="shared" si="192"/>
        <v/>
      </c>
      <c r="QWH30" t="str">
        <f t="shared" si="192"/>
        <v/>
      </c>
      <c r="QWI30" t="str">
        <f t="shared" si="192"/>
        <v/>
      </c>
      <c r="QWJ30" t="str">
        <f t="shared" si="192"/>
        <v/>
      </c>
      <c r="QWK30" t="str">
        <f t="shared" si="192"/>
        <v/>
      </c>
      <c r="QWL30" t="str">
        <f t="shared" si="192"/>
        <v/>
      </c>
      <c r="QWM30" t="str">
        <f t="shared" si="192"/>
        <v/>
      </c>
      <c r="QWN30" t="str">
        <f t="shared" si="192"/>
        <v/>
      </c>
      <c r="QWO30" t="str">
        <f t="shared" si="192"/>
        <v/>
      </c>
      <c r="QWP30" t="str">
        <f t="shared" si="192"/>
        <v/>
      </c>
      <c r="QWQ30" t="str">
        <f t="shared" si="192"/>
        <v/>
      </c>
      <c r="QWR30" t="str">
        <f t="shared" si="192"/>
        <v/>
      </c>
      <c r="QWS30" t="str">
        <f t="shared" si="192"/>
        <v/>
      </c>
      <c r="QWT30" t="str">
        <f t="shared" si="192"/>
        <v/>
      </c>
      <c r="QWU30" t="str">
        <f t="shared" si="192"/>
        <v/>
      </c>
      <c r="QWV30" t="str">
        <f t="shared" ref="QWV30:QZG30" si="193">TRIM(QXH11)</f>
        <v/>
      </c>
      <c r="QWW30" t="str">
        <f t="shared" si="193"/>
        <v/>
      </c>
      <c r="QWX30" t="str">
        <f t="shared" si="193"/>
        <v/>
      </c>
      <c r="QWY30" t="str">
        <f t="shared" si="193"/>
        <v/>
      </c>
      <c r="QWZ30" t="str">
        <f t="shared" si="193"/>
        <v/>
      </c>
      <c r="QXA30" t="str">
        <f t="shared" si="193"/>
        <v/>
      </c>
      <c r="QXB30" t="str">
        <f t="shared" si="193"/>
        <v/>
      </c>
      <c r="QXC30" t="str">
        <f t="shared" si="193"/>
        <v/>
      </c>
      <c r="QXD30" t="str">
        <f t="shared" si="193"/>
        <v/>
      </c>
      <c r="QXE30" t="str">
        <f t="shared" si="193"/>
        <v/>
      </c>
      <c r="QXF30" t="str">
        <f t="shared" si="193"/>
        <v/>
      </c>
      <c r="QXG30" t="str">
        <f t="shared" si="193"/>
        <v/>
      </c>
      <c r="QXH30" t="str">
        <f t="shared" si="193"/>
        <v/>
      </c>
      <c r="QXI30" t="str">
        <f t="shared" si="193"/>
        <v/>
      </c>
      <c r="QXJ30" t="str">
        <f t="shared" si="193"/>
        <v/>
      </c>
      <c r="QXK30" t="str">
        <f t="shared" si="193"/>
        <v/>
      </c>
      <c r="QXL30" t="str">
        <f t="shared" si="193"/>
        <v/>
      </c>
      <c r="QXM30" t="str">
        <f t="shared" si="193"/>
        <v/>
      </c>
      <c r="QXN30" t="str">
        <f t="shared" si="193"/>
        <v/>
      </c>
      <c r="QXO30" t="str">
        <f t="shared" si="193"/>
        <v/>
      </c>
      <c r="QXP30" t="str">
        <f t="shared" si="193"/>
        <v/>
      </c>
      <c r="QXQ30" t="str">
        <f t="shared" si="193"/>
        <v/>
      </c>
      <c r="QXR30" t="str">
        <f t="shared" si="193"/>
        <v/>
      </c>
      <c r="QXS30" t="str">
        <f t="shared" si="193"/>
        <v/>
      </c>
      <c r="QXT30" t="str">
        <f t="shared" si="193"/>
        <v/>
      </c>
      <c r="QXU30" t="str">
        <f t="shared" si="193"/>
        <v/>
      </c>
      <c r="QXV30" t="str">
        <f t="shared" si="193"/>
        <v/>
      </c>
      <c r="QXW30" t="str">
        <f t="shared" si="193"/>
        <v/>
      </c>
      <c r="QXX30" t="str">
        <f t="shared" si="193"/>
        <v/>
      </c>
      <c r="QXY30" t="str">
        <f t="shared" si="193"/>
        <v/>
      </c>
      <c r="QXZ30" t="str">
        <f t="shared" si="193"/>
        <v/>
      </c>
      <c r="QYA30" t="str">
        <f t="shared" si="193"/>
        <v/>
      </c>
      <c r="QYB30" t="str">
        <f t="shared" si="193"/>
        <v/>
      </c>
      <c r="QYC30" t="str">
        <f t="shared" si="193"/>
        <v/>
      </c>
      <c r="QYD30" t="str">
        <f t="shared" si="193"/>
        <v/>
      </c>
      <c r="QYE30" t="str">
        <f t="shared" si="193"/>
        <v/>
      </c>
      <c r="QYF30" t="str">
        <f t="shared" si="193"/>
        <v/>
      </c>
      <c r="QYG30" t="str">
        <f t="shared" si="193"/>
        <v/>
      </c>
      <c r="QYH30" t="str">
        <f t="shared" si="193"/>
        <v/>
      </c>
      <c r="QYI30" t="str">
        <f t="shared" si="193"/>
        <v/>
      </c>
      <c r="QYJ30" t="str">
        <f t="shared" si="193"/>
        <v/>
      </c>
      <c r="QYK30" t="str">
        <f t="shared" si="193"/>
        <v/>
      </c>
      <c r="QYL30" t="str">
        <f t="shared" si="193"/>
        <v/>
      </c>
      <c r="QYM30" t="str">
        <f t="shared" si="193"/>
        <v/>
      </c>
      <c r="QYN30" t="str">
        <f t="shared" si="193"/>
        <v/>
      </c>
      <c r="QYO30" t="str">
        <f t="shared" si="193"/>
        <v/>
      </c>
      <c r="QYP30" t="str">
        <f t="shared" si="193"/>
        <v/>
      </c>
      <c r="QYQ30" t="str">
        <f t="shared" si="193"/>
        <v/>
      </c>
      <c r="QYR30" t="str">
        <f t="shared" si="193"/>
        <v/>
      </c>
      <c r="QYS30" t="str">
        <f t="shared" si="193"/>
        <v/>
      </c>
      <c r="QYT30" t="str">
        <f t="shared" si="193"/>
        <v/>
      </c>
      <c r="QYU30" t="str">
        <f t="shared" si="193"/>
        <v/>
      </c>
      <c r="QYV30" t="str">
        <f t="shared" si="193"/>
        <v/>
      </c>
      <c r="QYW30" t="str">
        <f t="shared" si="193"/>
        <v/>
      </c>
      <c r="QYX30" t="str">
        <f t="shared" si="193"/>
        <v/>
      </c>
      <c r="QYY30" t="str">
        <f t="shared" si="193"/>
        <v/>
      </c>
      <c r="QYZ30" t="str">
        <f t="shared" si="193"/>
        <v/>
      </c>
      <c r="QZA30" t="str">
        <f t="shared" si="193"/>
        <v/>
      </c>
      <c r="QZB30" t="str">
        <f t="shared" si="193"/>
        <v/>
      </c>
      <c r="QZC30" t="str">
        <f t="shared" si="193"/>
        <v/>
      </c>
      <c r="QZD30" t="str">
        <f t="shared" si="193"/>
        <v/>
      </c>
      <c r="QZE30" t="str">
        <f t="shared" si="193"/>
        <v/>
      </c>
      <c r="QZF30" t="str">
        <f t="shared" si="193"/>
        <v/>
      </c>
      <c r="QZG30" t="str">
        <f t="shared" si="193"/>
        <v/>
      </c>
      <c r="QZH30" t="str">
        <f t="shared" ref="QZH30:RBS30" si="194">TRIM(QZT11)</f>
        <v/>
      </c>
      <c r="QZI30" t="str">
        <f t="shared" si="194"/>
        <v/>
      </c>
      <c r="QZJ30" t="str">
        <f t="shared" si="194"/>
        <v/>
      </c>
      <c r="QZK30" t="str">
        <f t="shared" si="194"/>
        <v/>
      </c>
      <c r="QZL30" t="str">
        <f t="shared" si="194"/>
        <v/>
      </c>
      <c r="QZM30" t="str">
        <f t="shared" si="194"/>
        <v/>
      </c>
      <c r="QZN30" t="str">
        <f t="shared" si="194"/>
        <v/>
      </c>
      <c r="QZO30" t="str">
        <f t="shared" si="194"/>
        <v/>
      </c>
      <c r="QZP30" t="str">
        <f t="shared" si="194"/>
        <v/>
      </c>
      <c r="QZQ30" t="str">
        <f t="shared" si="194"/>
        <v/>
      </c>
      <c r="QZR30" t="str">
        <f t="shared" si="194"/>
        <v/>
      </c>
      <c r="QZS30" t="str">
        <f t="shared" si="194"/>
        <v/>
      </c>
      <c r="QZT30" t="str">
        <f t="shared" si="194"/>
        <v/>
      </c>
      <c r="QZU30" t="str">
        <f t="shared" si="194"/>
        <v/>
      </c>
      <c r="QZV30" t="str">
        <f t="shared" si="194"/>
        <v/>
      </c>
      <c r="QZW30" t="str">
        <f t="shared" si="194"/>
        <v/>
      </c>
      <c r="QZX30" t="str">
        <f t="shared" si="194"/>
        <v/>
      </c>
      <c r="QZY30" t="str">
        <f t="shared" si="194"/>
        <v/>
      </c>
      <c r="QZZ30" t="str">
        <f t="shared" si="194"/>
        <v/>
      </c>
      <c r="RAA30" t="str">
        <f t="shared" si="194"/>
        <v/>
      </c>
      <c r="RAB30" t="str">
        <f t="shared" si="194"/>
        <v/>
      </c>
      <c r="RAC30" t="str">
        <f t="shared" si="194"/>
        <v/>
      </c>
      <c r="RAD30" t="str">
        <f t="shared" si="194"/>
        <v/>
      </c>
      <c r="RAE30" t="str">
        <f t="shared" si="194"/>
        <v/>
      </c>
      <c r="RAF30" t="str">
        <f t="shared" si="194"/>
        <v/>
      </c>
      <c r="RAG30" t="str">
        <f t="shared" si="194"/>
        <v/>
      </c>
      <c r="RAH30" t="str">
        <f t="shared" si="194"/>
        <v/>
      </c>
      <c r="RAI30" t="str">
        <f t="shared" si="194"/>
        <v/>
      </c>
      <c r="RAJ30" t="str">
        <f t="shared" si="194"/>
        <v/>
      </c>
      <c r="RAK30" t="str">
        <f t="shared" si="194"/>
        <v/>
      </c>
      <c r="RAL30" t="str">
        <f t="shared" si="194"/>
        <v/>
      </c>
      <c r="RAM30" t="str">
        <f t="shared" si="194"/>
        <v/>
      </c>
      <c r="RAN30" t="str">
        <f t="shared" si="194"/>
        <v/>
      </c>
      <c r="RAO30" t="str">
        <f t="shared" si="194"/>
        <v/>
      </c>
      <c r="RAP30" t="str">
        <f t="shared" si="194"/>
        <v/>
      </c>
      <c r="RAQ30" t="str">
        <f t="shared" si="194"/>
        <v/>
      </c>
      <c r="RAR30" t="str">
        <f t="shared" si="194"/>
        <v/>
      </c>
      <c r="RAS30" t="str">
        <f t="shared" si="194"/>
        <v/>
      </c>
      <c r="RAT30" t="str">
        <f t="shared" si="194"/>
        <v/>
      </c>
      <c r="RAU30" t="str">
        <f t="shared" si="194"/>
        <v/>
      </c>
      <c r="RAV30" t="str">
        <f t="shared" si="194"/>
        <v/>
      </c>
      <c r="RAW30" t="str">
        <f t="shared" si="194"/>
        <v/>
      </c>
      <c r="RAX30" t="str">
        <f t="shared" si="194"/>
        <v/>
      </c>
      <c r="RAY30" t="str">
        <f t="shared" si="194"/>
        <v/>
      </c>
      <c r="RAZ30" t="str">
        <f t="shared" si="194"/>
        <v/>
      </c>
      <c r="RBA30" t="str">
        <f t="shared" si="194"/>
        <v/>
      </c>
      <c r="RBB30" t="str">
        <f t="shared" si="194"/>
        <v/>
      </c>
      <c r="RBC30" t="str">
        <f t="shared" si="194"/>
        <v/>
      </c>
      <c r="RBD30" t="str">
        <f t="shared" si="194"/>
        <v/>
      </c>
      <c r="RBE30" t="str">
        <f t="shared" si="194"/>
        <v/>
      </c>
      <c r="RBF30" t="str">
        <f t="shared" si="194"/>
        <v/>
      </c>
      <c r="RBG30" t="str">
        <f t="shared" si="194"/>
        <v/>
      </c>
      <c r="RBH30" t="str">
        <f t="shared" si="194"/>
        <v/>
      </c>
      <c r="RBI30" t="str">
        <f t="shared" si="194"/>
        <v/>
      </c>
      <c r="RBJ30" t="str">
        <f t="shared" si="194"/>
        <v/>
      </c>
      <c r="RBK30" t="str">
        <f t="shared" si="194"/>
        <v/>
      </c>
      <c r="RBL30" t="str">
        <f t="shared" si="194"/>
        <v/>
      </c>
      <c r="RBM30" t="str">
        <f t="shared" si="194"/>
        <v/>
      </c>
      <c r="RBN30" t="str">
        <f t="shared" si="194"/>
        <v/>
      </c>
      <c r="RBO30" t="str">
        <f t="shared" si="194"/>
        <v/>
      </c>
      <c r="RBP30" t="str">
        <f t="shared" si="194"/>
        <v/>
      </c>
      <c r="RBQ30" t="str">
        <f t="shared" si="194"/>
        <v/>
      </c>
      <c r="RBR30" t="str">
        <f t="shared" si="194"/>
        <v/>
      </c>
      <c r="RBS30" t="str">
        <f t="shared" si="194"/>
        <v/>
      </c>
      <c r="RBT30" t="str">
        <f t="shared" ref="RBT30:REE30" si="195">TRIM(RCF11)</f>
        <v/>
      </c>
      <c r="RBU30" t="str">
        <f t="shared" si="195"/>
        <v/>
      </c>
      <c r="RBV30" t="str">
        <f t="shared" si="195"/>
        <v/>
      </c>
      <c r="RBW30" t="str">
        <f t="shared" si="195"/>
        <v/>
      </c>
      <c r="RBX30" t="str">
        <f t="shared" si="195"/>
        <v/>
      </c>
      <c r="RBY30" t="str">
        <f t="shared" si="195"/>
        <v/>
      </c>
      <c r="RBZ30" t="str">
        <f t="shared" si="195"/>
        <v/>
      </c>
      <c r="RCA30" t="str">
        <f t="shared" si="195"/>
        <v/>
      </c>
      <c r="RCB30" t="str">
        <f t="shared" si="195"/>
        <v/>
      </c>
      <c r="RCC30" t="str">
        <f t="shared" si="195"/>
        <v/>
      </c>
      <c r="RCD30" t="str">
        <f t="shared" si="195"/>
        <v/>
      </c>
      <c r="RCE30" t="str">
        <f t="shared" si="195"/>
        <v/>
      </c>
      <c r="RCF30" t="str">
        <f t="shared" si="195"/>
        <v/>
      </c>
      <c r="RCG30" t="str">
        <f t="shared" si="195"/>
        <v/>
      </c>
      <c r="RCH30" t="str">
        <f t="shared" si="195"/>
        <v/>
      </c>
      <c r="RCI30" t="str">
        <f t="shared" si="195"/>
        <v/>
      </c>
      <c r="RCJ30" t="str">
        <f t="shared" si="195"/>
        <v/>
      </c>
      <c r="RCK30" t="str">
        <f t="shared" si="195"/>
        <v/>
      </c>
      <c r="RCL30" t="str">
        <f t="shared" si="195"/>
        <v/>
      </c>
      <c r="RCM30" t="str">
        <f t="shared" si="195"/>
        <v/>
      </c>
      <c r="RCN30" t="str">
        <f t="shared" si="195"/>
        <v/>
      </c>
      <c r="RCO30" t="str">
        <f t="shared" si="195"/>
        <v/>
      </c>
      <c r="RCP30" t="str">
        <f t="shared" si="195"/>
        <v/>
      </c>
      <c r="RCQ30" t="str">
        <f t="shared" si="195"/>
        <v/>
      </c>
      <c r="RCR30" t="str">
        <f t="shared" si="195"/>
        <v/>
      </c>
      <c r="RCS30" t="str">
        <f t="shared" si="195"/>
        <v/>
      </c>
      <c r="RCT30" t="str">
        <f t="shared" si="195"/>
        <v/>
      </c>
      <c r="RCU30" t="str">
        <f t="shared" si="195"/>
        <v/>
      </c>
      <c r="RCV30" t="str">
        <f t="shared" si="195"/>
        <v/>
      </c>
      <c r="RCW30" t="str">
        <f t="shared" si="195"/>
        <v/>
      </c>
      <c r="RCX30" t="str">
        <f t="shared" si="195"/>
        <v/>
      </c>
      <c r="RCY30" t="str">
        <f t="shared" si="195"/>
        <v/>
      </c>
      <c r="RCZ30" t="str">
        <f t="shared" si="195"/>
        <v/>
      </c>
      <c r="RDA30" t="str">
        <f t="shared" si="195"/>
        <v/>
      </c>
      <c r="RDB30" t="str">
        <f t="shared" si="195"/>
        <v/>
      </c>
      <c r="RDC30" t="str">
        <f t="shared" si="195"/>
        <v/>
      </c>
      <c r="RDD30" t="str">
        <f t="shared" si="195"/>
        <v/>
      </c>
      <c r="RDE30" t="str">
        <f t="shared" si="195"/>
        <v/>
      </c>
      <c r="RDF30" t="str">
        <f t="shared" si="195"/>
        <v/>
      </c>
      <c r="RDG30" t="str">
        <f t="shared" si="195"/>
        <v/>
      </c>
      <c r="RDH30" t="str">
        <f t="shared" si="195"/>
        <v/>
      </c>
      <c r="RDI30" t="str">
        <f t="shared" si="195"/>
        <v/>
      </c>
      <c r="RDJ30" t="str">
        <f t="shared" si="195"/>
        <v/>
      </c>
      <c r="RDK30" t="str">
        <f t="shared" si="195"/>
        <v/>
      </c>
      <c r="RDL30" t="str">
        <f t="shared" si="195"/>
        <v/>
      </c>
      <c r="RDM30" t="str">
        <f t="shared" si="195"/>
        <v/>
      </c>
      <c r="RDN30" t="str">
        <f t="shared" si="195"/>
        <v/>
      </c>
      <c r="RDO30" t="str">
        <f t="shared" si="195"/>
        <v/>
      </c>
      <c r="RDP30" t="str">
        <f t="shared" si="195"/>
        <v/>
      </c>
      <c r="RDQ30" t="str">
        <f t="shared" si="195"/>
        <v/>
      </c>
      <c r="RDR30" t="str">
        <f t="shared" si="195"/>
        <v/>
      </c>
      <c r="RDS30" t="str">
        <f t="shared" si="195"/>
        <v/>
      </c>
      <c r="RDT30" t="str">
        <f t="shared" si="195"/>
        <v/>
      </c>
      <c r="RDU30" t="str">
        <f t="shared" si="195"/>
        <v/>
      </c>
      <c r="RDV30" t="str">
        <f t="shared" si="195"/>
        <v/>
      </c>
      <c r="RDW30" t="str">
        <f t="shared" si="195"/>
        <v/>
      </c>
      <c r="RDX30" t="str">
        <f t="shared" si="195"/>
        <v/>
      </c>
      <c r="RDY30" t="str">
        <f t="shared" si="195"/>
        <v/>
      </c>
      <c r="RDZ30" t="str">
        <f t="shared" si="195"/>
        <v/>
      </c>
      <c r="REA30" t="str">
        <f t="shared" si="195"/>
        <v/>
      </c>
      <c r="REB30" t="str">
        <f t="shared" si="195"/>
        <v/>
      </c>
      <c r="REC30" t="str">
        <f t="shared" si="195"/>
        <v/>
      </c>
      <c r="RED30" t="str">
        <f t="shared" si="195"/>
        <v/>
      </c>
      <c r="REE30" t="str">
        <f t="shared" si="195"/>
        <v/>
      </c>
      <c r="REF30" t="str">
        <f t="shared" ref="REF30:RGQ30" si="196">TRIM(RER11)</f>
        <v/>
      </c>
      <c r="REG30" t="str">
        <f t="shared" si="196"/>
        <v/>
      </c>
      <c r="REH30" t="str">
        <f t="shared" si="196"/>
        <v/>
      </c>
      <c r="REI30" t="str">
        <f t="shared" si="196"/>
        <v/>
      </c>
      <c r="REJ30" t="str">
        <f t="shared" si="196"/>
        <v/>
      </c>
      <c r="REK30" t="str">
        <f t="shared" si="196"/>
        <v/>
      </c>
      <c r="REL30" t="str">
        <f t="shared" si="196"/>
        <v/>
      </c>
      <c r="REM30" t="str">
        <f t="shared" si="196"/>
        <v/>
      </c>
      <c r="REN30" t="str">
        <f t="shared" si="196"/>
        <v/>
      </c>
      <c r="REO30" t="str">
        <f t="shared" si="196"/>
        <v/>
      </c>
      <c r="REP30" t="str">
        <f t="shared" si="196"/>
        <v/>
      </c>
      <c r="REQ30" t="str">
        <f t="shared" si="196"/>
        <v/>
      </c>
      <c r="RER30" t="str">
        <f t="shared" si="196"/>
        <v/>
      </c>
      <c r="RES30" t="str">
        <f t="shared" si="196"/>
        <v/>
      </c>
      <c r="RET30" t="str">
        <f t="shared" si="196"/>
        <v/>
      </c>
      <c r="REU30" t="str">
        <f t="shared" si="196"/>
        <v/>
      </c>
      <c r="REV30" t="str">
        <f t="shared" si="196"/>
        <v/>
      </c>
      <c r="REW30" t="str">
        <f t="shared" si="196"/>
        <v/>
      </c>
      <c r="REX30" t="str">
        <f t="shared" si="196"/>
        <v/>
      </c>
      <c r="REY30" t="str">
        <f t="shared" si="196"/>
        <v/>
      </c>
      <c r="REZ30" t="str">
        <f t="shared" si="196"/>
        <v/>
      </c>
      <c r="RFA30" t="str">
        <f t="shared" si="196"/>
        <v/>
      </c>
      <c r="RFB30" t="str">
        <f t="shared" si="196"/>
        <v/>
      </c>
      <c r="RFC30" t="str">
        <f t="shared" si="196"/>
        <v/>
      </c>
      <c r="RFD30" t="str">
        <f t="shared" si="196"/>
        <v/>
      </c>
      <c r="RFE30" t="str">
        <f t="shared" si="196"/>
        <v/>
      </c>
      <c r="RFF30" t="str">
        <f t="shared" si="196"/>
        <v/>
      </c>
      <c r="RFG30" t="str">
        <f t="shared" si="196"/>
        <v/>
      </c>
      <c r="RFH30" t="str">
        <f t="shared" si="196"/>
        <v/>
      </c>
      <c r="RFI30" t="str">
        <f t="shared" si="196"/>
        <v/>
      </c>
      <c r="RFJ30" t="str">
        <f t="shared" si="196"/>
        <v/>
      </c>
      <c r="RFK30" t="str">
        <f t="shared" si="196"/>
        <v/>
      </c>
      <c r="RFL30" t="str">
        <f t="shared" si="196"/>
        <v/>
      </c>
      <c r="RFM30" t="str">
        <f t="shared" si="196"/>
        <v/>
      </c>
      <c r="RFN30" t="str">
        <f t="shared" si="196"/>
        <v/>
      </c>
      <c r="RFO30" t="str">
        <f t="shared" si="196"/>
        <v/>
      </c>
      <c r="RFP30" t="str">
        <f t="shared" si="196"/>
        <v/>
      </c>
      <c r="RFQ30" t="str">
        <f t="shared" si="196"/>
        <v/>
      </c>
      <c r="RFR30" t="str">
        <f t="shared" si="196"/>
        <v/>
      </c>
      <c r="RFS30" t="str">
        <f t="shared" si="196"/>
        <v/>
      </c>
      <c r="RFT30" t="str">
        <f t="shared" si="196"/>
        <v/>
      </c>
      <c r="RFU30" t="str">
        <f t="shared" si="196"/>
        <v/>
      </c>
      <c r="RFV30" t="str">
        <f t="shared" si="196"/>
        <v/>
      </c>
      <c r="RFW30" t="str">
        <f t="shared" si="196"/>
        <v/>
      </c>
      <c r="RFX30" t="str">
        <f t="shared" si="196"/>
        <v/>
      </c>
      <c r="RFY30" t="str">
        <f t="shared" si="196"/>
        <v/>
      </c>
      <c r="RFZ30" t="str">
        <f t="shared" si="196"/>
        <v/>
      </c>
      <c r="RGA30" t="str">
        <f t="shared" si="196"/>
        <v/>
      </c>
      <c r="RGB30" t="str">
        <f t="shared" si="196"/>
        <v/>
      </c>
      <c r="RGC30" t="str">
        <f t="shared" si="196"/>
        <v/>
      </c>
      <c r="RGD30" t="str">
        <f t="shared" si="196"/>
        <v/>
      </c>
      <c r="RGE30" t="str">
        <f t="shared" si="196"/>
        <v/>
      </c>
      <c r="RGF30" t="str">
        <f t="shared" si="196"/>
        <v/>
      </c>
      <c r="RGG30" t="str">
        <f t="shared" si="196"/>
        <v/>
      </c>
      <c r="RGH30" t="str">
        <f t="shared" si="196"/>
        <v/>
      </c>
      <c r="RGI30" t="str">
        <f t="shared" si="196"/>
        <v/>
      </c>
      <c r="RGJ30" t="str">
        <f t="shared" si="196"/>
        <v/>
      </c>
      <c r="RGK30" t="str">
        <f t="shared" si="196"/>
        <v/>
      </c>
      <c r="RGL30" t="str">
        <f t="shared" si="196"/>
        <v/>
      </c>
      <c r="RGM30" t="str">
        <f t="shared" si="196"/>
        <v/>
      </c>
      <c r="RGN30" t="str">
        <f t="shared" si="196"/>
        <v/>
      </c>
      <c r="RGO30" t="str">
        <f t="shared" si="196"/>
        <v/>
      </c>
      <c r="RGP30" t="str">
        <f t="shared" si="196"/>
        <v/>
      </c>
      <c r="RGQ30" t="str">
        <f t="shared" si="196"/>
        <v/>
      </c>
      <c r="RGR30" t="str">
        <f t="shared" ref="RGR30:RJC30" si="197">TRIM(RHD11)</f>
        <v/>
      </c>
      <c r="RGS30" t="str">
        <f t="shared" si="197"/>
        <v/>
      </c>
      <c r="RGT30" t="str">
        <f t="shared" si="197"/>
        <v/>
      </c>
      <c r="RGU30" t="str">
        <f t="shared" si="197"/>
        <v/>
      </c>
      <c r="RGV30" t="str">
        <f t="shared" si="197"/>
        <v/>
      </c>
      <c r="RGW30" t="str">
        <f t="shared" si="197"/>
        <v/>
      </c>
      <c r="RGX30" t="str">
        <f t="shared" si="197"/>
        <v/>
      </c>
      <c r="RGY30" t="str">
        <f t="shared" si="197"/>
        <v/>
      </c>
      <c r="RGZ30" t="str">
        <f t="shared" si="197"/>
        <v/>
      </c>
      <c r="RHA30" t="str">
        <f t="shared" si="197"/>
        <v/>
      </c>
      <c r="RHB30" t="str">
        <f t="shared" si="197"/>
        <v/>
      </c>
      <c r="RHC30" t="str">
        <f t="shared" si="197"/>
        <v/>
      </c>
      <c r="RHD30" t="str">
        <f t="shared" si="197"/>
        <v/>
      </c>
      <c r="RHE30" t="str">
        <f t="shared" si="197"/>
        <v/>
      </c>
      <c r="RHF30" t="str">
        <f t="shared" si="197"/>
        <v/>
      </c>
      <c r="RHG30" t="str">
        <f t="shared" si="197"/>
        <v/>
      </c>
      <c r="RHH30" t="str">
        <f t="shared" si="197"/>
        <v/>
      </c>
      <c r="RHI30" t="str">
        <f t="shared" si="197"/>
        <v/>
      </c>
      <c r="RHJ30" t="str">
        <f t="shared" si="197"/>
        <v/>
      </c>
      <c r="RHK30" t="str">
        <f t="shared" si="197"/>
        <v/>
      </c>
      <c r="RHL30" t="str">
        <f t="shared" si="197"/>
        <v/>
      </c>
      <c r="RHM30" t="str">
        <f t="shared" si="197"/>
        <v/>
      </c>
      <c r="RHN30" t="str">
        <f t="shared" si="197"/>
        <v/>
      </c>
      <c r="RHO30" t="str">
        <f t="shared" si="197"/>
        <v/>
      </c>
      <c r="RHP30" t="str">
        <f t="shared" si="197"/>
        <v/>
      </c>
      <c r="RHQ30" t="str">
        <f t="shared" si="197"/>
        <v/>
      </c>
      <c r="RHR30" t="str">
        <f t="shared" si="197"/>
        <v/>
      </c>
      <c r="RHS30" t="str">
        <f t="shared" si="197"/>
        <v/>
      </c>
      <c r="RHT30" t="str">
        <f t="shared" si="197"/>
        <v/>
      </c>
      <c r="RHU30" t="str">
        <f t="shared" si="197"/>
        <v/>
      </c>
      <c r="RHV30" t="str">
        <f t="shared" si="197"/>
        <v/>
      </c>
      <c r="RHW30" t="str">
        <f t="shared" si="197"/>
        <v/>
      </c>
      <c r="RHX30" t="str">
        <f t="shared" si="197"/>
        <v/>
      </c>
      <c r="RHY30" t="str">
        <f t="shared" si="197"/>
        <v/>
      </c>
      <c r="RHZ30" t="str">
        <f t="shared" si="197"/>
        <v/>
      </c>
      <c r="RIA30" t="str">
        <f t="shared" si="197"/>
        <v/>
      </c>
      <c r="RIB30" t="str">
        <f t="shared" si="197"/>
        <v/>
      </c>
      <c r="RIC30" t="str">
        <f t="shared" si="197"/>
        <v/>
      </c>
      <c r="RID30" t="str">
        <f t="shared" si="197"/>
        <v/>
      </c>
      <c r="RIE30" t="str">
        <f t="shared" si="197"/>
        <v/>
      </c>
      <c r="RIF30" t="str">
        <f t="shared" si="197"/>
        <v/>
      </c>
      <c r="RIG30" t="str">
        <f t="shared" si="197"/>
        <v/>
      </c>
      <c r="RIH30" t="str">
        <f t="shared" si="197"/>
        <v/>
      </c>
      <c r="RII30" t="str">
        <f t="shared" si="197"/>
        <v/>
      </c>
      <c r="RIJ30" t="str">
        <f t="shared" si="197"/>
        <v/>
      </c>
      <c r="RIK30" t="str">
        <f t="shared" si="197"/>
        <v/>
      </c>
      <c r="RIL30" t="str">
        <f t="shared" si="197"/>
        <v/>
      </c>
      <c r="RIM30" t="str">
        <f t="shared" si="197"/>
        <v/>
      </c>
      <c r="RIN30" t="str">
        <f t="shared" si="197"/>
        <v/>
      </c>
      <c r="RIO30" t="str">
        <f t="shared" si="197"/>
        <v/>
      </c>
      <c r="RIP30" t="str">
        <f t="shared" si="197"/>
        <v/>
      </c>
      <c r="RIQ30" t="str">
        <f t="shared" si="197"/>
        <v/>
      </c>
      <c r="RIR30" t="str">
        <f t="shared" si="197"/>
        <v/>
      </c>
      <c r="RIS30" t="str">
        <f t="shared" si="197"/>
        <v/>
      </c>
      <c r="RIT30" t="str">
        <f t="shared" si="197"/>
        <v/>
      </c>
      <c r="RIU30" t="str">
        <f t="shared" si="197"/>
        <v/>
      </c>
      <c r="RIV30" t="str">
        <f t="shared" si="197"/>
        <v/>
      </c>
      <c r="RIW30" t="str">
        <f t="shared" si="197"/>
        <v/>
      </c>
      <c r="RIX30" t="str">
        <f t="shared" si="197"/>
        <v/>
      </c>
      <c r="RIY30" t="str">
        <f t="shared" si="197"/>
        <v/>
      </c>
      <c r="RIZ30" t="str">
        <f t="shared" si="197"/>
        <v/>
      </c>
      <c r="RJA30" t="str">
        <f t="shared" si="197"/>
        <v/>
      </c>
      <c r="RJB30" t="str">
        <f t="shared" si="197"/>
        <v/>
      </c>
      <c r="RJC30" t="str">
        <f t="shared" si="197"/>
        <v/>
      </c>
      <c r="RJD30" t="str">
        <f t="shared" ref="RJD30:RLO30" si="198">TRIM(RJP11)</f>
        <v/>
      </c>
      <c r="RJE30" t="str">
        <f t="shared" si="198"/>
        <v/>
      </c>
      <c r="RJF30" t="str">
        <f t="shared" si="198"/>
        <v/>
      </c>
      <c r="RJG30" t="str">
        <f t="shared" si="198"/>
        <v/>
      </c>
      <c r="RJH30" t="str">
        <f t="shared" si="198"/>
        <v/>
      </c>
      <c r="RJI30" t="str">
        <f t="shared" si="198"/>
        <v/>
      </c>
      <c r="RJJ30" t="str">
        <f t="shared" si="198"/>
        <v/>
      </c>
      <c r="RJK30" t="str">
        <f t="shared" si="198"/>
        <v/>
      </c>
      <c r="RJL30" t="str">
        <f t="shared" si="198"/>
        <v/>
      </c>
      <c r="RJM30" t="str">
        <f t="shared" si="198"/>
        <v/>
      </c>
      <c r="RJN30" t="str">
        <f t="shared" si="198"/>
        <v/>
      </c>
      <c r="RJO30" t="str">
        <f t="shared" si="198"/>
        <v/>
      </c>
      <c r="RJP30" t="str">
        <f t="shared" si="198"/>
        <v/>
      </c>
      <c r="RJQ30" t="str">
        <f t="shared" si="198"/>
        <v/>
      </c>
      <c r="RJR30" t="str">
        <f t="shared" si="198"/>
        <v/>
      </c>
      <c r="RJS30" t="str">
        <f t="shared" si="198"/>
        <v/>
      </c>
      <c r="RJT30" t="str">
        <f t="shared" si="198"/>
        <v/>
      </c>
      <c r="RJU30" t="str">
        <f t="shared" si="198"/>
        <v/>
      </c>
      <c r="RJV30" t="str">
        <f t="shared" si="198"/>
        <v/>
      </c>
      <c r="RJW30" t="str">
        <f t="shared" si="198"/>
        <v/>
      </c>
      <c r="RJX30" t="str">
        <f t="shared" si="198"/>
        <v/>
      </c>
      <c r="RJY30" t="str">
        <f t="shared" si="198"/>
        <v/>
      </c>
      <c r="RJZ30" t="str">
        <f t="shared" si="198"/>
        <v/>
      </c>
      <c r="RKA30" t="str">
        <f t="shared" si="198"/>
        <v/>
      </c>
      <c r="RKB30" t="str">
        <f t="shared" si="198"/>
        <v/>
      </c>
      <c r="RKC30" t="str">
        <f t="shared" si="198"/>
        <v/>
      </c>
      <c r="RKD30" t="str">
        <f t="shared" si="198"/>
        <v/>
      </c>
      <c r="RKE30" t="str">
        <f t="shared" si="198"/>
        <v/>
      </c>
      <c r="RKF30" t="str">
        <f t="shared" si="198"/>
        <v/>
      </c>
      <c r="RKG30" t="str">
        <f t="shared" si="198"/>
        <v/>
      </c>
      <c r="RKH30" t="str">
        <f t="shared" si="198"/>
        <v/>
      </c>
      <c r="RKI30" t="str">
        <f t="shared" si="198"/>
        <v/>
      </c>
      <c r="RKJ30" t="str">
        <f t="shared" si="198"/>
        <v/>
      </c>
      <c r="RKK30" t="str">
        <f t="shared" si="198"/>
        <v/>
      </c>
      <c r="RKL30" t="str">
        <f t="shared" si="198"/>
        <v/>
      </c>
      <c r="RKM30" t="str">
        <f t="shared" si="198"/>
        <v/>
      </c>
      <c r="RKN30" t="str">
        <f t="shared" si="198"/>
        <v/>
      </c>
      <c r="RKO30" t="str">
        <f t="shared" si="198"/>
        <v/>
      </c>
      <c r="RKP30" t="str">
        <f t="shared" si="198"/>
        <v/>
      </c>
      <c r="RKQ30" t="str">
        <f t="shared" si="198"/>
        <v/>
      </c>
      <c r="RKR30" t="str">
        <f t="shared" si="198"/>
        <v/>
      </c>
      <c r="RKS30" t="str">
        <f t="shared" si="198"/>
        <v/>
      </c>
      <c r="RKT30" t="str">
        <f t="shared" si="198"/>
        <v/>
      </c>
      <c r="RKU30" t="str">
        <f t="shared" si="198"/>
        <v/>
      </c>
      <c r="RKV30" t="str">
        <f t="shared" si="198"/>
        <v/>
      </c>
      <c r="RKW30" t="str">
        <f t="shared" si="198"/>
        <v/>
      </c>
      <c r="RKX30" t="str">
        <f t="shared" si="198"/>
        <v/>
      </c>
      <c r="RKY30" t="str">
        <f t="shared" si="198"/>
        <v/>
      </c>
      <c r="RKZ30" t="str">
        <f t="shared" si="198"/>
        <v/>
      </c>
      <c r="RLA30" t="str">
        <f t="shared" si="198"/>
        <v/>
      </c>
      <c r="RLB30" t="str">
        <f t="shared" si="198"/>
        <v/>
      </c>
      <c r="RLC30" t="str">
        <f t="shared" si="198"/>
        <v/>
      </c>
      <c r="RLD30" t="str">
        <f t="shared" si="198"/>
        <v/>
      </c>
      <c r="RLE30" t="str">
        <f t="shared" si="198"/>
        <v/>
      </c>
      <c r="RLF30" t="str">
        <f t="shared" si="198"/>
        <v/>
      </c>
      <c r="RLG30" t="str">
        <f t="shared" si="198"/>
        <v/>
      </c>
      <c r="RLH30" t="str">
        <f t="shared" si="198"/>
        <v/>
      </c>
      <c r="RLI30" t="str">
        <f t="shared" si="198"/>
        <v/>
      </c>
      <c r="RLJ30" t="str">
        <f t="shared" si="198"/>
        <v/>
      </c>
      <c r="RLK30" t="str">
        <f t="shared" si="198"/>
        <v/>
      </c>
      <c r="RLL30" t="str">
        <f t="shared" si="198"/>
        <v/>
      </c>
      <c r="RLM30" t="str">
        <f t="shared" si="198"/>
        <v/>
      </c>
      <c r="RLN30" t="str">
        <f t="shared" si="198"/>
        <v/>
      </c>
      <c r="RLO30" t="str">
        <f t="shared" si="198"/>
        <v/>
      </c>
      <c r="RLP30" t="str">
        <f t="shared" ref="RLP30:ROA30" si="199">TRIM(RMB11)</f>
        <v/>
      </c>
      <c r="RLQ30" t="str">
        <f t="shared" si="199"/>
        <v/>
      </c>
      <c r="RLR30" t="str">
        <f t="shared" si="199"/>
        <v/>
      </c>
      <c r="RLS30" t="str">
        <f t="shared" si="199"/>
        <v/>
      </c>
      <c r="RLT30" t="str">
        <f t="shared" si="199"/>
        <v/>
      </c>
      <c r="RLU30" t="str">
        <f t="shared" si="199"/>
        <v/>
      </c>
      <c r="RLV30" t="str">
        <f t="shared" si="199"/>
        <v/>
      </c>
      <c r="RLW30" t="str">
        <f t="shared" si="199"/>
        <v/>
      </c>
      <c r="RLX30" t="str">
        <f t="shared" si="199"/>
        <v/>
      </c>
      <c r="RLY30" t="str">
        <f t="shared" si="199"/>
        <v/>
      </c>
      <c r="RLZ30" t="str">
        <f t="shared" si="199"/>
        <v/>
      </c>
      <c r="RMA30" t="str">
        <f t="shared" si="199"/>
        <v/>
      </c>
      <c r="RMB30" t="str">
        <f t="shared" si="199"/>
        <v/>
      </c>
      <c r="RMC30" t="str">
        <f t="shared" si="199"/>
        <v/>
      </c>
      <c r="RMD30" t="str">
        <f t="shared" si="199"/>
        <v/>
      </c>
      <c r="RME30" t="str">
        <f t="shared" si="199"/>
        <v/>
      </c>
      <c r="RMF30" t="str">
        <f t="shared" si="199"/>
        <v/>
      </c>
      <c r="RMG30" t="str">
        <f t="shared" si="199"/>
        <v/>
      </c>
      <c r="RMH30" t="str">
        <f t="shared" si="199"/>
        <v/>
      </c>
      <c r="RMI30" t="str">
        <f t="shared" si="199"/>
        <v/>
      </c>
      <c r="RMJ30" t="str">
        <f t="shared" si="199"/>
        <v/>
      </c>
      <c r="RMK30" t="str">
        <f t="shared" si="199"/>
        <v/>
      </c>
      <c r="RML30" t="str">
        <f t="shared" si="199"/>
        <v/>
      </c>
      <c r="RMM30" t="str">
        <f t="shared" si="199"/>
        <v/>
      </c>
      <c r="RMN30" t="str">
        <f t="shared" si="199"/>
        <v/>
      </c>
      <c r="RMO30" t="str">
        <f t="shared" si="199"/>
        <v/>
      </c>
      <c r="RMP30" t="str">
        <f t="shared" si="199"/>
        <v/>
      </c>
      <c r="RMQ30" t="str">
        <f t="shared" si="199"/>
        <v/>
      </c>
      <c r="RMR30" t="str">
        <f t="shared" si="199"/>
        <v/>
      </c>
      <c r="RMS30" t="str">
        <f t="shared" si="199"/>
        <v/>
      </c>
      <c r="RMT30" t="str">
        <f t="shared" si="199"/>
        <v/>
      </c>
      <c r="RMU30" t="str">
        <f t="shared" si="199"/>
        <v/>
      </c>
      <c r="RMV30" t="str">
        <f t="shared" si="199"/>
        <v/>
      </c>
      <c r="RMW30" t="str">
        <f t="shared" si="199"/>
        <v/>
      </c>
      <c r="RMX30" t="str">
        <f t="shared" si="199"/>
        <v/>
      </c>
      <c r="RMY30" t="str">
        <f t="shared" si="199"/>
        <v/>
      </c>
      <c r="RMZ30" t="str">
        <f t="shared" si="199"/>
        <v/>
      </c>
      <c r="RNA30" t="str">
        <f t="shared" si="199"/>
        <v/>
      </c>
      <c r="RNB30" t="str">
        <f t="shared" si="199"/>
        <v/>
      </c>
      <c r="RNC30" t="str">
        <f t="shared" si="199"/>
        <v/>
      </c>
      <c r="RND30" t="str">
        <f t="shared" si="199"/>
        <v/>
      </c>
      <c r="RNE30" t="str">
        <f t="shared" si="199"/>
        <v/>
      </c>
      <c r="RNF30" t="str">
        <f t="shared" si="199"/>
        <v/>
      </c>
      <c r="RNG30" t="str">
        <f t="shared" si="199"/>
        <v/>
      </c>
      <c r="RNH30" t="str">
        <f t="shared" si="199"/>
        <v/>
      </c>
      <c r="RNI30" t="str">
        <f t="shared" si="199"/>
        <v/>
      </c>
      <c r="RNJ30" t="str">
        <f t="shared" si="199"/>
        <v/>
      </c>
      <c r="RNK30" t="str">
        <f t="shared" si="199"/>
        <v/>
      </c>
      <c r="RNL30" t="str">
        <f t="shared" si="199"/>
        <v/>
      </c>
      <c r="RNM30" t="str">
        <f t="shared" si="199"/>
        <v/>
      </c>
      <c r="RNN30" t="str">
        <f t="shared" si="199"/>
        <v/>
      </c>
      <c r="RNO30" t="str">
        <f t="shared" si="199"/>
        <v/>
      </c>
      <c r="RNP30" t="str">
        <f t="shared" si="199"/>
        <v/>
      </c>
      <c r="RNQ30" t="str">
        <f t="shared" si="199"/>
        <v/>
      </c>
      <c r="RNR30" t="str">
        <f t="shared" si="199"/>
        <v/>
      </c>
      <c r="RNS30" t="str">
        <f t="shared" si="199"/>
        <v/>
      </c>
      <c r="RNT30" t="str">
        <f t="shared" si="199"/>
        <v/>
      </c>
      <c r="RNU30" t="str">
        <f t="shared" si="199"/>
        <v/>
      </c>
      <c r="RNV30" t="str">
        <f t="shared" si="199"/>
        <v/>
      </c>
      <c r="RNW30" t="str">
        <f t="shared" si="199"/>
        <v/>
      </c>
      <c r="RNX30" t="str">
        <f t="shared" si="199"/>
        <v/>
      </c>
      <c r="RNY30" t="str">
        <f t="shared" si="199"/>
        <v/>
      </c>
      <c r="RNZ30" t="str">
        <f t="shared" si="199"/>
        <v/>
      </c>
      <c r="ROA30" t="str">
        <f t="shared" si="199"/>
        <v/>
      </c>
      <c r="ROB30" t="str">
        <f t="shared" ref="ROB30:RQM30" si="200">TRIM(RON11)</f>
        <v/>
      </c>
      <c r="ROC30" t="str">
        <f t="shared" si="200"/>
        <v/>
      </c>
      <c r="ROD30" t="str">
        <f t="shared" si="200"/>
        <v/>
      </c>
      <c r="ROE30" t="str">
        <f t="shared" si="200"/>
        <v/>
      </c>
      <c r="ROF30" t="str">
        <f t="shared" si="200"/>
        <v/>
      </c>
      <c r="ROG30" t="str">
        <f t="shared" si="200"/>
        <v/>
      </c>
      <c r="ROH30" t="str">
        <f t="shared" si="200"/>
        <v/>
      </c>
      <c r="ROI30" t="str">
        <f t="shared" si="200"/>
        <v/>
      </c>
      <c r="ROJ30" t="str">
        <f t="shared" si="200"/>
        <v/>
      </c>
      <c r="ROK30" t="str">
        <f t="shared" si="200"/>
        <v/>
      </c>
      <c r="ROL30" t="str">
        <f t="shared" si="200"/>
        <v/>
      </c>
      <c r="ROM30" t="str">
        <f t="shared" si="200"/>
        <v/>
      </c>
      <c r="RON30" t="str">
        <f t="shared" si="200"/>
        <v/>
      </c>
      <c r="ROO30" t="str">
        <f t="shared" si="200"/>
        <v/>
      </c>
      <c r="ROP30" t="str">
        <f t="shared" si="200"/>
        <v/>
      </c>
      <c r="ROQ30" t="str">
        <f t="shared" si="200"/>
        <v/>
      </c>
      <c r="ROR30" t="str">
        <f t="shared" si="200"/>
        <v/>
      </c>
      <c r="ROS30" t="str">
        <f t="shared" si="200"/>
        <v/>
      </c>
      <c r="ROT30" t="str">
        <f t="shared" si="200"/>
        <v/>
      </c>
      <c r="ROU30" t="str">
        <f t="shared" si="200"/>
        <v/>
      </c>
      <c r="ROV30" t="str">
        <f t="shared" si="200"/>
        <v/>
      </c>
      <c r="ROW30" t="str">
        <f t="shared" si="200"/>
        <v/>
      </c>
      <c r="ROX30" t="str">
        <f t="shared" si="200"/>
        <v/>
      </c>
      <c r="ROY30" t="str">
        <f t="shared" si="200"/>
        <v/>
      </c>
      <c r="ROZ30" t="str">
        <f t="shared" si="200"/>
        <v/>
      </c>
      <c r="RPA30" t="str">
        <f t="shared" si="200"/>
        <v/>
      </c>
      <c r="RPB30" t="str">
        <f t="shared" si="200"/>
        <v/>
      </c>
      <c r="RPC30" t="str">
        <f t="shared" si="200"/>
        <v/>
      </c>
      <c r="RPD30" t="str">
        <f t="shared" si="200"/>
        <v/>
      </c>
      <c r="RPE30" t="str">
        <f t="shared" si="200"/>
        <v/>
      </c>
      <c r="RPF30" t="str">
        <f t="shared" si="200"/>
        <v/>
      </c>
      <c r="RPG30" t="str">
        <f t="shared" si="200"/>
        <v/>
      </c>
      <c r="RPH30" t="str">
        <f t="shared" si="200"/>
        <v/>
      </c>
      <c r="RPI30" t="str">
        <f t="shared" si="200"/>
        <v/>
      </c>
      <c r="RPJ30" t="str">
        <f t="shared" si="200"/>
        <v/>
      </c>
      <c r="RPK30" t="str">
        <f t="shared" si="200"/>
        <v/>
      </c>
      <c r="RPL30" t="str">
        <f t="shared" si="200"/>
        <v/>
      </c>
      <c r="RPM30" t="str">
        <f t="shared" si="200"/>
        <v/>
      </c>
      <c r="RPN30" t="str">
        <f t="shared" si="200"/>
        <v/>
      </c>
      <c r="RPO30" t="str">
        <f t="shared" si="200"/>
        <v/>
      </c>
      <c r="RPP30" t="str">
        <f t="shared" si="200"/>
        <v/>
      </c>
      <c r="RPQ30" t="str">
        <f t="shared" si="200"/>
        <v/>
      </c>
      <c r="RPR30" t="str">
        <f t="shared" si="200"/>
        <v/>
      </c>
      <c r="RPS30" t="str">
        <f t="shared" si="200"/>
        <v/>
      </c>
      <c r="RPT30" t="str">
        <f t="shared" si="200"/>
        <v/>
      </c>
      <c r="RPU30" t="str">
        <f t="shared" si="200"/>
        <v/>
      </c>
      <c r="RPV30" t="str">
        <f t="shared" si="200"/>
        <v/>
      </c>
      <c r="RPW30" t="str">
        <f t="shared" si="200"/>
        <v/>
      </c>
      <c r="RPX30" t="str">
        <f t="shared" si="200"/>
        <v/>
      </c>
      <c r="RPY30" t="str">
        <f t="shared" si="200"/>
        <v/>
      </c>
      <c r="RPZ30" t="str">
        <f t="shared" si="200"/>
        <v/>
      </c>
      <c r="RQA30" t="str">
        <f t="shared" si="200"/>
        <v/>
      </c>
      <c r="RQB30" t="str">
        <f t="shared" si="200"/>
        <v/>
      </c>
      <c r="RQC30" t="str">
        <f t="shared" si="200"/>
        <v/>
      </c>
      <c r="RQD30" t="str">
        <f t="shared" si="200"/>
        <v/>
      </c>
      <c r="RQE30" t="str">
        <f t="shared" si="200"/>
        <v/>
      </c>
      <c r="RQF30" t="str">
        <f t="shared" si="200"/>
        <v/>
      </c>
      <c r="RQG30" t="str">
        <f t="shared" si="200"/>
        <v/>
      </c>
      <c r="RQH30" t="str">
        <f t="shared" si="200"/>
        <v/>
      </c>
      <c r="RQI30" t="str">
        <f t="shared" si="200"/>
        <v/>
      </c>
      <c r="RQJ30" t="str">
        <f t="shared" si="200"/>
        <v/>
      </c>
      <c r="RQK30" t="str">
        <f t="shared" si="200"/>
        <v/>
      </c>
      <c r="RQL30" t="str">
        <f t="shared" si="200"/>
        <v/>
      </c>
      <c r="RQM30" t="str">
        <f t="shared" si="200"/>
        <v/>
      </c>
      <c r="RQN30" t="str">
        <f t="shared" ref="RQN30:RSY30" si="201">TRIM(RQZ11)</f>
        <v/>
      </c>
      <c r="RQO30" t="str">
        <f t="shared" si="201"/>
        <v/>
      </c>
      <c r="RQP30" t="str">
        <f t="shared" si="201"/>
        <v/>
      </c>
      <c r="RQQ30" t="str">
        <f t="shared" si="201"/>
        <v/>
      </c>
      <c r="RQR30" t="str">
        <f t="shared" si="201"/>
        <v/>
      </c>
      <c r="RQS30" t="str">
        <f t="shared" si="201"/>
        <v/>
      </c>
      <c r="RQT30" t="str">
        <f t="shared" si="201"/>
        <v/>
      </c>
      <c r="RQU30" t="str">
        <f t="shared" si="201"/>
        <v/>
      </c>
      <c r="RQV30" t="str">
        <f t="shared" si="201"/>
        <v/>
      </c>
      <c r="RQW30" t="str">
        <f t="shared" si="201"/>
        <v/>
      </c>
      <c r="RQX30" t="str">
        <f t="shared" si="201"/>
        <v/>
      </c>
      <c r="RQY30" t="str">
        <f t="shared" si="201"/>
        <v/>
      </c>
      <c r="RQZ30" t="str">
        <f t="shared" si="201"/>
        <v/>
      </c>
      <c r="RRA30" t="str">
        <f t="shared" si="201"/>
        <v/>
      </c>
      <c r="RRB30" t="str">
        <f t="shared" si="201"/>
        <v/>
      </c>
      <c r="RRC30" t="str">
        <f t="shared" si="201"/>
        <v/>
      </c>
      <c r="RRD30" t="str">
        <f t="shared" si="201"/>
        <v/>
      </c>
      <c r="RRE30" t="str">
        <f t="shared" si="201"/>
        <v/>
      </c>
      <c r="RRF30" t="str">
        <f t="shared" si="201"/>
        <v/>
      </c>
      <c r="RRG30" t="str">
        <f t="shared" si="201"/>
        <v/>
      </c>
      <c r="RRH30" t="str">
        <f t="shared" si="201"/>
        <v/>
      </c>
      <c r="RRI30" t="str">
        <f t="shared" si="201"/>
        <v/>
      </c>
      <c r="RRJ30" t="str">
        <f t="shared" si="201"/>
        <v/>
      </c>
      <c r="RRK30" t="str">
        <f t="shared" si="201"/>
        <v/>
      </c>
      <c r="RRL30" t="str">
        <f t="shared" si="201"/>
        <v/>
      </c>
      <c r="RRM30" t="str">
        <f t="shared" si="201"/>
        <v/>
      </c>
      <c r="RRN30" t="str">
        <f t="shared" si="201"/>
        <v/>
      </c>
      <c r="RRO30" t="str">
        <f t="shared" si="201"/>
        <v/>
      </c>
      <c r="RRP30" t="str">
        <f t="shared" si="201"/>
        <v/>
      </c>
      <c r="RRQ30" t="str">
        <f t="shared" si="201"/>
        <v/>
      </c>
      <c r="RRR30" t="str">
        <f t="shared" si="201"/>
        <v/>
      </c>
      <c r="RRS30" t="str">
        <f t="shared" si="201"/>
        <v/>
      </c>
      <c r="RRT30" t="str">
        <f t="shared" si="201"/>
        <v/>
      </c>
      <c r="RRU30" t="str">
        <f t="shared" si="201"/>
        <v/>
      </c>
      <c r="RRV30" t="str">
        <f t="shared" si="201"/>
        <v/>
      </c>
      <c r="RRW30" t="str">
        <f t="shared" si="201"/>
        <v/>
      </c>
      <c r="RRX30" t="str">
        <f t="shared" si="201"/>
        <v/>
      </c>
      <c r="RRY30" t="str">
        <f t="shared" si="201"/>
        <v/>
      </c>
      <c r="RRZ30" t="str">
        <f t="shared" si="201"/>
        <v/>
      </c>
      <c r="RSA30" t="str">
        <f t="shared" si="201"/>
        <v/>
      </c>
      <c r="RSB30" t="str">
        <f t="shared" si="201"/>
        <v/>
      </c>
      <c r="RSC30" t="str">
        <f t="shared" si="201"/>
        <v/>
      </c>
      <c r="RSD30" t="str">
        <f t="shared" si="201"/>
        <v/>
      </c>
      <c r="RSE30" t="str">
        <f t="shared" si="201"/>
        <v/>
      </c>
      <c r="RSF30" t="str">
        <f t="shared" si="201"/>
        <v/>
      </c>
      <c r="RSG30" t="str">
        <f t="shared" si="201"/>
        <v/>
      </c>
      <c r="RSH30" t="str">
        <f t="shared" si="201"/>
        <v/>
      </c>
      <c r="RSI30" t="str">
        <f t="shared" si="201"/>
        <v/>
      </c>
      <c r="RSJ30" t="str">
        <f t="shared" si="201"/>
        <v/>
      </c>
      <c r="RSK30" t="str">
        <f t="shared" si="201"/>
        <v/>
      </c>
      <c r="RSL30" t="str">
        <f t="shared" si="201"/>
        <v/>
      </c>
      <c r="RSM30" t="str">
        <f t="shared" si="201"/>
        <v/>
      </c>
      <c r="RSN30" t="str">
        <f t="shared" si="201"/>
        <v/>
      </c>
      <c r="RSO30" t="str">
        <f t="shared" si="201"/>
        <v/>
      </c>
      <c r="RSP30" t="str">
        <f t="shared" si="201"/>
        <v/>
      </c>
      <c r="RSQ30" t="str">
        <f t="shared" si="201"/>
        <v/>
      </c>
      <c r="RSR30" t="str">
        <f t="shared" si="201"/>
        <v/>
      </c>
      <c r="RSS30" t="str">
        <f t="shared" si="201"/>
        <v/>
      </c>
      <c r="RST30" t="str">
        <f t="shared" si="201"/>
        <v/>
      </c>
      <c r="RSU30" t="str">
        <f t="shared" si="201"/>
        <v/>
      </c>
      <c r="RSV30" t="str">
        <f t="shared" si="201"/>
        <v/>
      </c>
      <c r="RSW30" t="str">
        <f t="shared" si="201"/>
        <v/>
      </c>
      <c r="RSX30" t="str">
        <f t="shared" si="201"/>
        <v/>
      </c>
      <c r="RSY30" t="str">
        <f t="shared" si="201"/>
        <v/>
      </c>
      <c r="RSZ30" t="str">
        <f t="shared" ref="RSZ30:RVK30" si="202">TRIM(RTL11)</f>
        <v/>
      </c>
      <c r="RTA30" t="str">
        <f t="shared" si="202"/>
        <v/>
      </c>
      <c r="RTB30" t="str">
        <f t="shared" si="202"/>
        <v/>
      </c>
      <c r="RTC30" t="str">
        <f t="shared" si="202"/>
        <v/>
      </c>
      <c r="RTD30" t="str">
        <f t="shared" si="202"/>
        <v/>
      </c>
      <c r="RTE30" t="str">
        <f t="shared" si="202"/>
        <v/>
      </c>
      <c r="RTF30" t="str">
        <f t="shared" si="202"/>
        <v/>
      </c>
      <c r="RTG30" t="str">
        <f t="shared" si="202"/>
        <v/>
      </c>
      <c r="RTH30" t="str">
        <f t="shared" si="202"/>
        <v/>
      </c>
      <c r="RTI30" t="str">
        <f t="shared" si="202"/>
        <v/>
      </c>
      <c r="RTJ30" t="str">
        <f t="shared" si="202"/>
        <v/>
      </c>
      <c r="RTK30" t="str">
        <f t="shared" si="202"/>
        <v/>
      </c>
      <c r="RTL30" t="str">
        <f t="shared" si="202"/>
        <v/>
      </c>
      <c r="RTM30" t="str">
        <f t="shared" si="202"/>
        <v/>
      </c>
      <c r="RTN30" t="str">
        <f t="shared" si="202"/>
        <v/>
      </c>
      <c r="RTO30" t="str">
        <f t="shared" si="202"/>
        <v/>
      </c>
      <c r="RTP30" t="str">
        <f t="shared" si="202"/>
        <v/>
      </c>
      <c r="RTQ30" t="str">
        <f t="shared" si="202"/>
        <v/>
      </c>
      <c r="RTR30" t="str">
        <f t="shared" si="202"/>
        <v/>
      </c>
      <c r="RTS30" t="str">
        <f t="shared" si="202"/>
        <v/>
      </c>
      <c r="RTT30" t="str">
        <f t="shared" si="202"/>
        <v/>
      </c>
      <c r="RTU30" t="str">
        <f t="shared" si="202"/>
        <v/>
      </c>
      <c r="RTV30" t="str">
        <f t="shared" si="202"/>
        <v/>
      </c>
      <c r="RTW30" t="str">
        <f t="shared" si="202"/>
        <v/>
      </c>
      <c r="RTX30" t="str">
        <f t="shared" si="202"/>
        <v/>
      </c>
      <c r="RTY30" t="str">
        <f t="shared" si="202"/>
        <v/>
      </c>
      <c r="RTZ30" t="str">
        <f t="shared" si="202"/>
        <v/>
      </c>
      <c r="RUA30" t="str">
        <f t="shared" si="202"/>
        <v/>
      </c>
      <c r="RUB30" t="str">
        <f t="shared" si="202"/>
        <v/>
      </c>
      <c r="RUC30" t="str">
        <f t="shared" si="202"/>
        <v/>
      </c>
      <c r="RUD30" t="str">
        <f t="shared" si="202"/>
        <v/>
      </c>
      <c r="RUE30" t="str">
        <f t="shared" si="202"/>
        <v/>
      </c>
      <c r="RUF30" t="str">
        <f t="shared" si="202"/>
        <v/>
      </c>
      <c r="RUG30" t="str">
        <f t="shared" si="202"/>
        <v/>
      </c>
      <c r="RUH30" t="str">
        <f t="shared" si="202"/>
        <v/>
      </c>
      <c r="RUI30" t="str">
        <f t="shared" si="202"/>
        <v/>
      </c>
      <c r="RUJ30" t="str">
        <f t="shared" si="202"/>
        <v/>
      </c>
      <c r="RUK30" t="str">
        <f t="shared" si="202"/>
        <v/>
      </c>
      <c r="RUL30" t="str">
        <f t="shared" si="202"/>
        <v/>
      </c>
      <c r="RUM30" t="str">
        <f t="shared" si="202"/>
        <v/>
      </c>
      <c r="RUN30" t="str">
        <f t="shared" si="202"/>
        <v/>
      </c>
      <c r="RUO30" t="str">
        <f t="shared" si="202"/>
        <v/>
      </c>
      <c r="RUP30" t="str">
        <f t="shared" si="202"/>
        <v/>
      </c>
      <c r="RUQ30" t="str">
        <f t="shared" si="202"/>
        <v/>
      </c>
      <c r="RUR30" t="str">
        <f t="shared" si="202"/>
        <v/>
      </c>
      <c r="RUS30" t="str">
        <f t="shared" si="202"/>
        <v/>
      </c>
      <c r="RUT30" t="str">
        <f t="shared" si="202"/>
        <v/>
      </c>
      <c r="RUU30" t="str">
        <f t="shared" si="202"/>
        <v/>
      </c>
      <c r="RUV30" t="str">
        <f t="shared" si="202"/>
        <v/>
      </c>
      <c r="RUW30" t="str">
        <f t="shared" si="202"/>
        <v/>
      </c>
      <c r="RUX30" t="str">
        <f t="shared" si="202"/>
        <v/>
      </c>
      <c r="RUY30" t="str">
        <f t="shared" si="202"/>
        <v/>
      </c>
      <c r="RUZ30" t="str">
        <f t="shared" si="202"/>
        <v/>
      </c>
      <c r="RVA30" t="str">
        <f t="shared" si="202"/>
        <v/>
      </c>
      <c r="RVB30" t="str">
        <f t="shared" si="202"/>
        <v/>
      </c>
      <c r="RVC30" t="str">
        <f t="shared" si="202"/>
        <v/>
      </c>
      <c r="RVD30" t="str">
        <f t="shared" si="202"/>
        <v/>
      </c>
      <c r="RVE30" t="str">
        <f t="shared" si="202"/>
        <v/>
      </c>
      <c r="RVF30" t="str">
        <f t="shared" si="202"/>
        <v/>
      </c>
      <c r="RVG30" t="str">
        <f t="shared" si="202"/>
        <v/>
      </c>
      <c r="RVH30" t="str">
        <f t="shared" si="202"/>
        <v/>
      </c>
      <c r="RVI30" t="str">
        <f t="shared" si="202"/>
        <v/>
      </c>
      <c r="RVJ30" t="str">
        <f t="shared" si="202"/>
        <v/>
      </c>
      <c r="RVK30" t="str">
        <f t="shared" si="202"/>
        <v/>
      </c>
      <c r="RVL30" t="str">
        <f t="shared" ref="RVL30:RXW30" si="203">TRIM(RVX11)</f>
        <v/>
      </c>
      <c r="RVM30" t="str">
        <f t="shared" si="203"/>
        <v/>
      </c>
      <c r="RVN30" t="str">
        <f t="shared" si="203"/>
        <v/>
      </c>
      <c r="RVO30" t="str">
        <f t="shared" si="203"/>
        <v/>
      </c>
      <c r="RVP30" t="str">
        <f t="shared" si="203"/>
        <v/>
      </c>
      <c r="RVQ30" t="str">
        <f t="shared" si="203"/>
        <v/>
      </c>
      <c r="RVR30" t="str">
        <f t="shared" si="203"/>
        <v/>
      </c>
      <c r="RVS30" t="str">
        <f t="shared" si="203"/>
        <v/>
      </c>
      <c r="RVT30" t="str">
        <f t="shared" si="203"/>
        <v/>
      </c>
      <c r="RVU30" t="str">
        <f t="shared" si="203"/>
        <v/>
      </c>
      <c r="RVV30" t="str">
        <f t="shared" si="203"/>
        <v/>
      </c>
      <c r="RVW30" t="str">
        <f t="shared" si="203"/>
        <v/>
      </c>
      <c r="RVX30" t="str">
        <f t="shared" si="203"/>
        <v/>
      </c>
      <c r="RVY30" t="str">
        <f t="shared" si="203"/>
        <v/>
      </c>
      <c r="RVZ30" t="str">
        <f t="shared" si="203"/>
        <v/>
      </c>
      <c r="RWA30" t="str">
        <f t="shared" si="203"/>
        <v/>
      </c>
      <c r="RWB30" t="str">
        <f t="shared" si="203"/>
        <v/>
      </c>
      <c r="RWC30" t="str">
        <f t="shared" si="203"/>
        <v/>
      </c>
      <c r="RWD30" t="str">
        <f t="shared" si="203"/>
        <v/>
      </c>
      <c r="RWE30" t="str">
        <f t="shared" si="203"/>
        <v/>
      </c>
      <c r="RWF30" t="str">
        <f t="shared" si="203"/>
        <v/>
      </c>
      <c r="RWG30" t="str">
        <f t="shared" si="203"/>
        <v/>
      </c>
      <c r="RWH30" t="str">
        <f t="shared" si="203"/>
        <v/>
      </c>
      <c r="RWI30" t="str">
        <f t="shared" si="203"/>
        <v/>
      </c>
      <c r="RWJ30" t="str">
        <f t="shared" si="203"/>
        <v/>
      </c>
      <c r="RWK30" t="str">
        <f t="shared" si="203"/>
        <v/>
      </c>
      <c r="RWL30" t="str">
        <f t="shared" si="203"/>
        <v/>
      </c>
      <c r="RWM30" t="str">
        <f t="shared" si="203"/>
        <v/>
      </c>
      <c r="RWN30" t="str">
        <f t="shared" si="203"/>
        <v/>
      </c>
      <c r="RWO30" t="str">
        <f t="shared" si="203"/>
        <v/>
      </c>
      <c r="RWP30" t="str">
        <f t="shared" si="203"/>
        <v/>
      </c>
      <c r="RWQ30" t="str">
        <f t="shared" si="203"/>
        <v/>
      </c>
      <c r="RWR30" t="str">
        <f t="shared" si="203"/>
        <v/>
      </c>
      <c r="RWS30" t="str">
        <f t="shared" si="203"/>
        <v/>
      </c>
      <c r="RWT30" t="str">
        <f t="shared" si="203"/>
        <v/>
      </c>
      <c r="RWU30" t="str">
        <f t="shared" si="203"/>
        <v/>
      </c>
      <c r="RWV30" t="str">
        <f t="shared" si="203"/>
        <v/>
      </c>
      <c r="RWW30" t="str">
        <f t="shared" si="203"/>
        <v/>
      </c>
      <c r="RWX30" t="str">
        <f t="shared" si="203"/>
        <v/>
      </c>
      <c r="RWY30" t="str">
        <f t="shared" si="203"/>
        <v/>
      </c>
      <c r="RWZ30" t="str">
        <f t="shared" si="203"/>
        <v/>
      </c>
      <c r="RXA30" t="str">
        <f t="shared" si="203"/>
        <v/>
      </c>
      <c r="RXB30" t="str">
        <f t="shared" si="203"/>
        <v/>
      </c>
      <c r="RXC30" t="str">
        <f t="shared" si="203"/>
        <v/>
      </c>
      <c r="RXD30" t="str">
        <f t="shared" si="203"/>
        <v/>
      </c>
      <c r="RXE30" t="str">
        <f t="shared" si="203"/>
        <v/>
      </c>
      <c r="RXF30" t="str">
        <f t="shared" si="203"/>
        <v/>
      </c>
      <c r="RXG30" t="str">
        <f t="shared" si="203"/>
        <v/>
      </c>
      <c r="RXH30" t="str">
        <f t="shared" si="203"/>
        <v/>
      </c>
      <c r="RXI30" t="str">
        <f t="shared" si="203"/>
        <v/>
      </c>
      <c r="RXJ30" t="str">
        <f t="shared" si="203"/>
        <v/>
      </c>
      <c r="RXK30" t="str">
        <f t="shared" si="203"/>
        <v/>
      </c>
      <c r="RXL30" t="str">
        <f t="shared" si="203"/>
        <v/>
      </c>
      <c r="RXM30" t="str">
        <f t="shared" si="203"/>
        <v/>
      </c>
      <c r="RXN30" t="str">
        <f t="shared" si="203"/>
        <v/>
      </c>
      <c r="RXO30" t="str">
        <f t="shared" si="203"/>
        <v/>
      </c>
      <c r="RXP30" t="str">
        <f t="shared" si="203"/>
        <v/>
      </c>
      <c r="RXQ30" t="str">
        <f t="shared" si="203"/>
        <v/>
      </c>
      <c r="RXR30" t="str">
        <f t="shared" si="203"/>
        <v/>
      </c>
      <c r="RXS30" t="str">
        <f t="shared" si="203"/>
        <v/>
      </c>
      <c r="RXT30" t="str">
        <f t="shared" si="203"/>
        <v/>
      </c>
      <c r="RXU30" t="str">
        <f t="shared" si="203"/>
        <v/>
      </c>
      <c r="RXV30" t="str">
        <f t="shared" si="203"/>
        <v/>
      </c>
      <c r="RXW30" t="str">
        <f t="shared" si="203"/>
        <v/>
      </c>
      <c r="RXX30" t="str">
        <f t="shared" ref="RXX30:SAI30" si="204">TRIM(RYJ11)</f>
        <v/>
      </c>
      <c r="RXY30" t="str">
        <f t="shared" si="204"/>
        <v/>
      </c>
      <c r="RXZ30" t="str">
        <f t="shared" si="204"/>
        <v/>
      </c>
      <c r="RYA30" t="str">
        <f t="shared" si="204"/>
        <v/>
      </c>
      <c r="RYB30" t="str">
        <f t="shared" si="204"/>
        <v/>
      </c>
      <c r="RYC30" t="str">
        <f t="shared" si="204"/>
        <v/>
      </c>
      <c r="RYD30" t="str">
        <f t="shared" si="204"/>
        <v/>
      </c>
      <c r="RYE30" t="str">
        <f t="shared" si="204"/>
        <v/>
      </c>
      <c r="RYF30" t="str">
        <f t="shared" si="204"/>
        <v/>
      </c>
      <c r="RYG30" t="str">
        <f t="shared" si="204"/>
        <v/>
      </c>
      <c r="RYH30" t="str">
        <f t="shared" si="204"/>
        <v/>
      </c>
      <c r="RYI30" t="str">
        <f t="shared" si="204"/>
        <v/>
      </c>
      <c r="RYJ30" t="str">
        <f t="shared" si="204"/>
        <v/>
      </c>
      <c r="RYK30" t="str">
        <f t="shared" si="204"/>
        <v/>
      </c>
      <c r="RYL30" t="str">
        <f t="shared" si="204"/>
        <v/>
      </c>
      <c r="RYM30" t="str">
        <f t="shared" si="204"/>
        <v/>
      </c>
      <c r="RYN30" t="str">
        <f t="shared" si="204"/>
        <v/>
      </c>
      <c r="RYO30" t="str">
        <f t="shared" si="204"/>
        <v/>
      </c>
      <c r="RYP30" t="str">
        <f t="shared" si="204"/>
        <v/>
      </c>
      <c r="RYQ30" t="str">
        <f t="shared" si="204"/>
        <v/>
      </c>
      <c r="RYR30" t="str">
        <f t="shared" si="204"/>
        <v/>
      </c>
      <c r="RYS30" t="str">
        <f t="shared" si="204"/>
        <v/>
      </c>
      <c r="RYT30" t="str">
        <f t="shared" si="204"/>
        <v/>
      </c>
      <c r="RYU30" t="str">
        <f t="shared" si="204"/>
        <v/>
      </c>
      <c r="RYV30" t="str">
        <f t="shared" si="204"/>
        <v/>
      </c>
      <c r="RYW30" t="str">
        <f t="shared" si="204"/>
        <v/>
      </c>
      <c r="RYX30" t="str">
        <f t="shared" si="204"/>
        <v/>
      </c>
      <c r="RYY30" t="str">
        <f t="shared" si="204"/>
        <v/>
      </c>
      <c r="RYZ30" t="str">
        <f t="shared" si="204"/>
        <v/>
      </c>
      <c r="RZA30" t="str">
        <f t="shared" si="204"/>
        <v/>
      </c>
      <c r="RZB30" t="str">
        <f t="shared" si="204"/>
        <v/>
      </c>
      <c r="RZC30" t="str">
        <f t="shared" si="204"/>
        <v/>
      </c>
      <c r="RZD30" t="str">
        <f t="shared" si="204"/>
        <v/>
      </c>
      <c r="RZE30" t="str">
        <f t="shared" si="204"/>
        <v/>
      </c>
      <c r="RZF30" t="str">
        <f t="shared" si="204"/>
        <v/>
      </c>
      <c r="RZG30" t="str">
        <f t="shared" si="204"/>
        <v/>
      </c>
      <c r="RZH30" t="str">
        <f t="shared" si="204"/>
        <v/>
      </c>
      <c r="RZI30" t="str">
        <f t="shared" si="204"/>
        <v/>
      </c>
      <c r="RZJ30" t="str">
        <f t="shared" si="204"/>
        <v/>
      </c>
      <c r="RZK30" t="str">
        <f t="shared" si="204"/>
        <v/>
      </c>
      <c r="RZL30" t="str">
        <f t="shared" si="204"/>
        <v/>
      </c>
      <c r="RZM30" t="str">
        <f t="shared" si="204"/>
        <v/>
      </c>
      <c r="RZN30" t="str">
        <f t="shared" si="204"/>
        <v/>
      </c>
      <c r="RZO30" t="str">
        <f t="shared" si="204"/>
        <v/>
      </c>
      <c r="RZP30" t="str">
        <f t="shared" si="204"/>
        <v/>
      </c>
      <c r="RZQ30" t="str">
        <f t="shared" si="204"/>
        <v/>
      </c>
      <c r="RZR30" t="str">
        <f t="shared" si="204"/>
        <v/>
      </c>
      <c r="RZS30" t="str">
        <f t="shared" si="204"/>
        <v/>
      </c>
      <c r="RZT30" t="str">
        <f t="shared" si="204"/>
        <v/>
      </c>
      <c r="RZU30" t="str">
        <f t="shared" si="204"/>
        <v/>
      </c>
      <c r="RZV30" t="str">
        <f t="shared" si="204"/>
        <v/>
      </c>
      <c r="RZW30" t="str">
        <f t="shared" si="204"/>
        <v/>
      </c>
      <c r="RZX30" t="str">
        <f t="shared" si="204"/>
        <v/>
      </c>
      <c r="RZY30" t="str">
        <f t="shared" si="204"/>
        <v/>
      </c>
      <c r="RZZ30" t="str">
        <f t="shared" si="204"/>
        <v/>
      </c>
      <c r="SAA30" t="str">
        <f t="shared" si="204"/>
        <v/>
      </c>
      <c r="SAB30" t="str">
        <f t="shared" si="204"/>
        <v/>
      </c>
      <c r="SAC30" t="str">
        <f t="shared" si="204"/>
        <v/>
      </c>
      <c r="SAD30" t="str">
        <f t="shared" si="204"/>
        <v/>
      </c>
      <c r="SAE30" t="str">
        <f t="shared" si="204"/>
        <v/>
      </c>
      <c r="SAF30" t="str">
        <f t="shared" si="204"/>
        <v/>
      </c>
      <c r="SAG30" t="str">
        <f t="shared" si="204"/>
        <v/>
      </c>
      <c r="SAH30" t="str">
        <f t="shared" si="204"/>
        <v/>
      </c>
      <c r="SAI30" t="str">
        <f t="shared" si="204"/>
        <v/>
      </c>
      <c r="SAJ30" t="str">
        <f t="shared" ref="SAJ30:SCU30" si="205">TRIM(SAV11)</f>
        <v/>
      </c>
      <c r="SAK30" t="str">
        <f t="shared" si="205"/>
        <v/>
      </c>
      <c r="SAL30" t="str">
        <f t="shared" si="205"/>
        <v/>
      </c>
      <c r="SAM30" t="str">
        <f t="shared" si="205"/>
        <v/>
      </c>
      <c r="SAN30" t="str">
        <f t="shared" si="205"/>
        <v/>
      </c>
      <c r="SAO30" t="str">
        <f t="shared" si="205"/>
        <v/>
      </c>
      <c r="SAP30" t="str">
        <f t="shared" si="205"/>
        <v/>
      </c>
      <c r="SAQ30" t="str">
        <f t="shared" si="205"/>
        <v/>
      </c>
      <c r="SAR30" t="str">
        <f t="shared" si="205"/>
        <v/>
      </c>
      <c r="SAS30" t="str">
        <f t="shared" si="205"/>
        <v/>
      </c>
      <c r="SAT30" t="str">
        <f t="shared" si="205"/>
        <v/>
      </c>
      <c r="SAU30" t="str">
        <f t="shared" si="205"/>
        <v/>
      </c>
      <c r="SAV30" t="str">
        <f t="shared" si="205"/>
        <v/>
      </c>
      <c r="SAW30" t="str">
        <f t="shared" si="205"/>
        <v/>
      </c>
      <c r="SAX30" t="str">
        <f t="shared" si="205"/>
        <v/>
      </c>
      <c r="SAY30" t="str">
        <f t="shared" si="205"/>
        <v/>
      </c>
      <c r="SAZ30" t="str">
        <f t="shared" si="205"/>
        <v/>
      </c>
      <c r="SBA30" t="str">
        <f t="shared" si="205"/>
        <v/>
      </c>
      <c r="SBB30" t="str">
        <f t="shared" si="205"/>
        <v/>
      </c>
      <c r="SBC30" t="str">
        <f t="shared" si="205"/>
        <v/>
      </c>
      <c r="SBD30" t="str">
        <f t="shared" si="205"/>
        <v/>
      </c>
      <c r="SBE30" t="str">
        <f t="shared" si="205"/>
        <v/>
      </c>
      <c r="SBF30" t="str">
        <f t="shared" si="205"/>
        <v/>
      </c>
      <c r="SBG30" t="str">
        <f t="shared" si="205"/>
        <v/>
      </c>
      <c r="SBH30" t="str">
        <f t="shared" si="205"/>
        <v/>
      </c>
      <c r="SBI30" t="str">
        <f t="shared" si="205"/>
        <v/>
      </c>
      <c r="SBJ30" t="str">
        <f t="shared" si="205"/>
        <v/>
      </c>
      <c r="SBK30" t="str">
        <f t="shared" si="205"/>
        <v/>
      </c>
      <c r="SBL30" t="str">
        <f t="shared" si="205"/>
        <v/>
      </c>
      <c r="SBM30" t="str">
        <f t="shared" si="205"/>
        <v/>
      </c>
      <c r="SBN30" t="str">
        <f t="shared" si="205"/>
        <v/>
      </c>
      <c r="SBO30" t="str">
        <f t="shared" si="205"/>
        <v/>
      </c>
      <c r="SBP30" t="str">
        <f t="shared" si="205"/>
        <v/>
      </c>
      <c r="SBQ30" t="str">
        <f t="shared" si="205"/>
        <v/>
      </c>
      <c r="SBR30" t="str">
        <f t="shared" si="205"/>
        <v/>
      </c>
      <c r="SBS30" t="str">
        <f t="shared" si="205"/>
        <v/>
      </c>
      <c r="SBT30" t="str">
        <f t="shared" si="205"/>
        <v/>
      </c>
      <c r="SBU30" t="str">
        <f t="shared" si="205"/>
        <v/>
      </c>
      <c r="SBV30" t="str">
        <f t="shared" si="205"/>
        <v/>
      </c>
      <c r="SBW30" t="str">
        <f t="shared" si="205"/>
        <v/>
      </c>
      <c r="SBX30" t="str">
        <f t="shared" si="205"/>
        <v/>
      </c>
      <c r="SBY30" t="str">
        <f t="shared" si="205"/>
        <v/>
      </c>
      <c r="SBZ30" t="str">
        <f t="shared" si="205"/>
        <v/>
      </c>
      <c r="SCA30" t="str">
        <f t="shared" si="205"/>
        <v/>
      </c>
      <c r="SCB30" t="str">
        <f t="shared" si="205"/>
        <v/>
      </c>
      <c r="SCC30" t="str">
        <f t="shared" si="205"/>
        <v/>
      </c>
      <c r="SCD30" t="str">
        <f t="shared" si="205"/>
        <v/>
      </c>
      <c r="SCE30" t="str">
        <f t="shared" si="205"/>
        <v/>
      </c>
      <c r="SCF30" t="str">
        <f t="shared" si="205"/>
        <v/>
      </c>
      <c r="SCG30" t="str">
        <f t="shared" si="205"/>
        <v/>
      </c>
      <c r="SCH30" t="str">
        <f t="shared" si="205"/>
        <v/>
      </c>
      <c r="SCI30" t="str">
        <f t="shared" si="205"/>
        <v/>
      </c>
      <c r="SCJ30" t="str">
        <f t="shared" si="205"/>
        <v/>
      </c>
      <c r="SCK30" t="str">
        <f t="shared" si="205"/>
        <v/>
      </c>
      <c r="SCL30" t="str">
        <f t="shared" si="205"/>
        <v/>
      </c>
      <c r="SCM30" t="str">
        <f t="shared" si="205"/>
        <v/>
      </c>
      <c r="SCN30" t="str">
        <f t="shared" si="205"/>
        <v/>
      </c>
      <c r="SCO30" t="str">
        <f t="shared" si="205"/>
        <v/>
      </c>
      <c r="SCP30" t="str">
        <f t="shared" si="205"/>
        <v/>
      </c>
      <c r="SCQ30" t="str">
        <f t="shared" si="205"/>
        <v/>
      </c>
      <c r="SCR30" t="str">
        <f t="shared" si="205"/>
        <v/>
      </c>
      <c r="SCS30" t="str">
        <f t="shared" si="205"/>
        <v/>
      </c>
      <c r="SCT30" t="str">
        <f t="shared" si="205"/>
        <v/>
      </c>
      <c r="SCU30" t="str">
        <f t="shared" si="205"/>
        <v/>
      </c>
      <c r="SCV30" t="str">
        <f t="shared" ref="SCV30:SFG30" si="206">TRIM(SDH11)</f>
        <v/>
      </c>
      <c r="SCW30" t="str">
        <f t="shared" si="206"/>
        <v/>
      </c>
      <c r="SCX30" t="str">
        <f t="shared" si="206"/>
        <v/>
      </c>
      <c r="SCY30" t="str">
        <f t="shared" si="206"/>
        <v/>
      </c>
      <c r="SCZ30" t="str">
        <f t="shared" si="206"/>
        <v/>
      </c>
      <c r="SDA30" t="str">
        <f t="shared" si="206"/>
        <v/>
      </c>
      <c r="SDB30" t="str">
        <f t="shared" si="206"/>
        <v/>
      </c>
      <c r="SDC30" t="str">
        <f t="shared" si="206"/>
        <v/>
      </c>
      <c r="SDD30" t="str">
        <f t="shared" si="206"/>
        <v/>
      </c>
      <c r="SDE30" t="str">
        <f t="shared" si="206"/>
        <v/>
      </c>
      <c r="SDF30" t="str">
        <f t="shared" si="206"/>
        <v/>
      </c>
      <c r="SDG30" t="str">
        <f t="shared" si="206"/>
        <v/>
      </c>
      <c r="SDH30" t="str">
        <f t="shared" si="206"/>
        <v/>
      </c>
      <c r="SDI30" t="str">
        <f t="shared" si="206"/>
        <v/>
      </c>
      <c r="SDJ30" t="str">
        <f t="shared" si="206"/>
        <v/>
      </c>
      <c r="SDK30" t="str">
        <f t="shared" si="206"/>
        <v/>
      </c>
      <c r="SDL30" t="str">
        <f t="shared" si="206"/>
        <v/>
      </c>
      <c r="SDM30" t="str">
        <f t="shared" si="206"/>
        <v/>
      </c>
      <c r="SDN30" t="str">
        <f t="shared" si="206"/>
        <v/>
      </c>
      <c r="SDO30" t="str">
        <f t="shared" si="206"/>
        <v/>
      </c>
      <c r="SDP30" t="str">
        <f t="shared" si="206"/>
        <v/>
      </c>
      <c r="SDQ30" t="str">
        <f t="shared" si="206"/>
        <v/>
      </c>
      <c r="SDR30" t="str">
        <f t="shared" si="206"/>
        <v/>
      </c>
      <c r="SDS30" t="str">
        <f t="shared" si="206"/>
        <v/>
      </c>
      <c r="SDT30" t="str">
        <f t="shared" si="206"/>
        <v/>
      </c>
      <c r="SDU30" t="str">
        <f t="shared" si="206"/>
        <v/>
      </c>
      <c r="SDV30" t="str">
        <f t="shared" si="206"/>
        <v/>
      </c>
      <c r="SDW30" t="str">
        <f t="shared" si="206"/>
        <v/>
      </c>
      <c r="SDX30" t="str">
        <f t="shared" si="206"/>
        <v/>
      </c>
      <c r="SDY30" t="str">
        <f t="shared" si="206"/>
        <v/>
      </c>
      <c r="SDZ30" t="str">
        <f t="shared" si="206"/>
        <v/>
      </c>
      <c r="SEA30" t="str">
        <f t="shared" si="206"/>
        <v/>
      </c>
      <c r="SEB30" t="str">
        <f t="shared" si="206"/>
        <v/>
      </c>
      <c r="SEC30" t="str">
        <f t="shared" si="206"/>
        <v/>
      </c>
      <c r="SED30" t="str">
        <f t="shared" si="206"/>
        <v/>
      </c>
      <c r="SEE30" t="str">
        <f t="shared" si="206"/>
        <v/>
      </c>
      <c r="SEF30" t="str">
        <f t="shared" si="206"/>
        <v/>
      </c>
      <c r="SEG30" t="str">
        <f t="shared" si="206"/>
        <v/>
      </c>
      <c r="SEH30" t="str">
        <f t="shared" si="206"/>
        <v/>
      </c>
      <c r="SEI30" t="str">
        <f t="shared" si="206"/>
        <v/>
      </c>
      <c r="SEJ30" t="str">
        <f t="shared" si="206"/>
        <v/>
      </c>
      <c r="SEK30" t="str">
        <f t="shared" si="206"/>
        <v/>
      </c>
      <c r="SEL30" t="str">
        <f t="shared" si="206"/>
        <v/>
      </c>
      <c r="SEM30" t="str">
        <f t="shared" si="206"/>
        <v/>
      </c>
      <c r="SEN30" t="str">
        <f t="shared" si="206"/>
        <v/>
      </c>
      <c r="SEO30" t="str">
        <f t="shared" si="206"/>
        <v/>
      </c>
      <c r="SEP30" t="str">
        <f t="shared" si="206"/>
        <v/>
      </c>
      <c r="SEQ30" t="str">
        <f t="shared" si="206"/>
        <v/>
      </c>
      <c r="SER30" t="str">
        <f t="shared" si="206"/>
        <v/>
      </c>
      <c r="SES30" t="str">
        <f t="shared" si="206"/>
        <v/>
      </c>
      <c r="SET30" t="str">
        <f t="shared" si="206"/>
        <v/>
      </c>
      <c r="SEU30" t="str">
        <f t="shared" si="206"/>
        <v/>
      </c>
      <c r="SEV30" t="str">
        <f t="shared" si="206"/>
        <v/>
      </c>
      <c r="SEW30" t="str">
        <f t="shared" si="206"/>
        <v/>
      </c>
      <c r="SEX30" t="str">
        <f t="shared" si="206"/>
        <v/>
      </c>
      <c r="SEY30" t="str">
        <f t="shared" si="206"/>
        <v/>
      </c>
      <c r="SEZ30" t="str">
        <f t="shared" si="206"/>
        <v/>
      </c>
      <c r="SFA30" t="str">
        <f t="shared" si="206"/>
        <v/>
      </c>
      <c r="SFB30" t="str">
        <f t="shared" si="206"/>
        <v/>
      </c>
      <c r="SFC30" t="str">
        <f t="shared" si="206"/>
        <v/>
      </c>
      <c r="SFD30" t="str">
        <f t="shared" si="206"/>
        <v/>
      </c>
      <c r="SFE30" t="str">
        <f t="shared" si="206"/>
        <v/>
      </c>
      <c r="SFF30" t="str">
        <f t="shared" si="206"/>
        <v/>
      </c>
      <c r="SFG30" t="str">
        <f t="shared" si="206"/>
        <v/>
      </c>
      <c r="SFH30" t="str">
        <f t="shared" ref="SFH30:SHS30" si="207">TRIM(SFT11)</f>
        <v/>
      </c>
      <c r="SFI30" t="str">
        <f t="shared" si="207"/>
        <v/>
      </c>
      <c r="SFJ30" t="str">
        <f t="shared" si="207"/>
        <v/>
      </c>
      <c r="SFK30" t="str">
        <f t="shared" si="207"/>
        <v/>
      </c>
      <c r="SFL30" t="str">
        <f t="shared" si="207"/>
        <v/>
      </c>
      <c r="SFM30" t="str">
        <f t="shared" si="207"/>
        <v/>
      </c>
      <c r="SFN30" t="str">
        <f t="shared" si="207"/>
        <v/>
      </c>
      <c r="SFO30" t="str">
        <f t="shared" si="207"/>
        <v/>
      </c>
      <c r="SFP30" t="str">
        <f t="shared" si="207"/>
        <v/>
      </c>
      <c r="SFQ30" t="str">
        <f t="shared" si="207"/>
        <v/>
      </c>
      <c r="SFR30" t="str">
        <f t="shared" si="207"/>
        <v/>
      </c>
      <c r="SFS30" t="str">
        <f t="shared" si="207"/>
        <v/>
      </c>
      <c r="SFT30" t="str">
        <f t="shared" si="207"/>
        <v/>
      </c>
      <c r="SFU30" t="str">
        <f t="shared" si="207"/>
        <v/>
      </c>
      <c r="SFV30" t="str">
        <f t="shared" si="207"/>
        <v/>
      </c>
      <c r="SFW30" t="str">
        <f t="shared" si="207"/>
        <v/>
      </c>
      <c r="SFX30" t="str">
        <f t="shared" si="207"/>
        <v/>
      </c>
      <c r="SFY30" t="str">
        <f t="shared" si="207"/>
        <v/>
      </c>
      <c r="SFZ30" t="str">
        <f t="shared" si="207"/>
        <v/>
      </c>
      <c r="SGA30" t="str">
        <f t="shared" si="207"/>
        <v/>
      </c>
      <c r="SGB30" t="str">
        <f t="shared" si="207"/>
        <v/>
      </c>
      <c r="SGC30" t="str">
        <f t="shared" si="207"/>
        <v/>
      </c>
      <c r="SGD30" t="str">
        <f t="shared" si="207"/>
        <v/>
      </c>
      <c r="SGE30" t="str">
        <f t="shared" si="207"/>
        <v/>
      </c>
      <c r="SGF30" t="str">
        <f t="shared" si="207"/>
        <v/>
      </c>
      <c r="SGG30" t="str">
        <f t="shared" si="207"/>
        <v/>
      </c>
      <c r="SGH30" t="str">
        <f t="shared" si="207"/>
        <v/>
      </c>
      <c r="SGI30" t="str">
        <f t="shared" si="207"/>
        <v/>
      </c>
      <c r="SGJ30" t="str">
        <f t="shared" si="207"/>
        <v/>
      </c>
      <c r="SGK30" t="str">
        <f t="shared" si="207"/>
        <v/>
      </c>
      <c r="SGL30" t="str">
        <f t="shared" si="207"/>
        <v/>
      </c>
      <c r="SGM30" t="str">
        <f t="shared" si="207"/>
        <v/>
      </c>
      <c r="SGN30" t="str">
        <f t="shared" si="207"/>
        <v/>
      </c>
      <c r="SGO30" t="str">
        <f t="shared" si="207"/>
        <v/>
      </c>
      <c r="SGP30" t="str">
        <f t="shared" si="207"/>
        <v/>
      </c>
      <c r="SGQ30" t="str">
        <f t="shared" si="207"/>
        <v/>
      </c>
      <c r="SGR30" t="str">
        <f t="shared" si="207"/>
        <v/>
      </c>
      <c r="SGS30" t="str">
        <f t="shared" si="207"/>
        <v/>
      </c>
      <c r="SGT30" t="str">
        <f t="shared" si="207"/>
        <v/>
      </c>
      <c r="SGU30" t="str">
        <f t="shared" si="207"/>
        <v/>
      </c>
      <c r="SGV30" t="str">
        <f t="shared" si="207"/>
        <v/>
      </c>
      <c r="SGW30" t="str">
        <f t="shared" si="207"/>
        <v/>
      </c>
      <c r="SGX30" t="str">
        <f t="shared" si="207"/>
        <v/>
      </c>
      <c r="SGY30" t="str">
        <f t="shared" si="207"/>
        <v/>
      </c>
      <c r="SGZ30" t="str">
        <f t="shared" si="207"/>
        <v/>
      </c>
      <c r="SHA30" t="str">
        <f t="shared" si="207"/>
        <v/>
      </c>
      <c r="SHB30" t="str">
        <f t="shared" si="207"/>
        <v/>
      </c>
      <c r="SHC30" t="str">
        <f t="shared" si="207"/>
        <v/>
      </c>
      <c r="SHD30" t="str">
        <f t="shared" si="207"/>
        <v/>
      </c>
      <c r="SHE30" t="str">
        <f t="shared" si="207"/>
        <v/>
      </c>
      <c r="SHF30" t="str">
        <f t="shared" si="207"/>
        <v/>
      </c>
      <c r="SHG30" t="str">
        <f t="shared" si="207"/>
        <v/>
      </c>
      <c r="SHH30" t="str">
        <f t="shared" si="207"/>
        <v/>
      </c>
      <c r="SHI30" t="str">
        <f t="shared" si="207"/>
        <v/>
      </c>
      <c r="SHJ30" t="str">
        <f t="shared" si="207"/>
        <v/>
      </c>
      <c r="SHK30" t="str">
        <f t="shared" si="207"/>
        <v/>
      </c>
      <c r="SHL30" t="str">
        <f t="shared" si="207"/>
        <v/>
      </c>
      <c r="SHM30" t="str">
        <f t="shared" si="207"/>
        <v/>
      </c>
      <c r="SHN30" t="str">
        <f t="shared" si="207"/>
        <v/>
      </c>
      <c r="SHO30" t="str">
        <f t="shared" si="207"/>
        <v/>
      </c>
      <c r="SHP30" t="str">
        <f t="shared" si="207"/>
        <v/>
      </c>
      <c r="SHQ30" t="str">
        <f t="shared" si="207"/>
        <v/>
      </c>
      <c r="SHR30" t="str">
        <f t="shared" si="207"/>
        <v/>
      </c>
      <c r="SHS30" t="str">
        <f t="shared" si="207"/>
        <v/>
      </c>
      <c r="SHT30" t="str">
        <f t="shared" ref="SHT30:SKE30" si="208">TRIM(SIF11)</f>
        <v/>
      </c>
      <c r="SHU30" t="str">
        <f t="shared" si="208"/>
        <v/>
      </c>
      <c r="SHV30" t="str">
        <f t="shared" si="208"/>
        <v/>
      </c>
      <c r="SHW30" t="str">
        <f t="shared" si="208"/>
        <v/>
      </c>
      <c r="SHX30" t="str">
        <f t="shared" si="208"/>
        <v/>
      </c>
      <c r="SHY30" t="str">
        <f t="shared" si="208"/>
        <v/>
      </c>
      <c r="SHZ30" t="str">
        <f t="shared" si="208"/>
        <v/>
      </c>
      <c r="SIA30" t="str">
        <f t="shared" si="208"/>
        <v/>
      </c>
      <c r="SIB30" t="str">
        <f t="shared" si="208"/>
        <v/>
      </c>
      <c r="SIC30" t="str">
        <f t="shared" si="208"/>
        <v/>
      </c>
      <c r="SID30" t="str">
        <f t="shared" si="208"/>
        <v/>
      </c>
      <c r="SIE30" t="str">
        <f t="shared" si="208"/>
        <v/>
      </c>
      <c r="SIF30" t="str">
        <f t="shared" si="208"/>
        <v/>
      </c>
      <c r="SIG30" t="str">
        <f t="shared" si="208"/>
        <v/>
      </c>
      <c r="SIH30" t="str">
        <f t="shared" si="208"/>
        <v/>
      </c>
      <c r="SII30" t="str">
        <f t="shared" si="208"/>
        <v/>
      </c>
      <c r="SIJ30" t="str">
        <f t="shared" si="208"/>
        <v/>
      </c>
      <c r="SIK30" t="str">
        <f t="shared" si="208"/>
        <v/>
      </c>
      <c r="SIL30" t="str">
        <f t="shared" si="208"/>
        <v/>
      </c>
      <c r="SIM30" t="str">
        <f t="shared" si="208"/>
        <v/>
      </c>
      <c r="SIN30" t="str">
        <f t="shared" si="208"/>
        <v/>
      </c>
      <c r="SIO30" t="str">
        <f t="shared" si="208"/>
        <v/>
      </c>
      <c r="SIP30" t="str">
        <f t="shared" si="208"/>
        <v/>
      </c>
      <c r="SIQ30" t="str">
        <f t="shared" si="208"/>
        <v/>
      </c>
      <c r="SIR30" t="str">
        <f t="shared" si="208"/>
        <v/>
      </c>
      <c r="SIS30" t="str">
        <f t="shared" si="208"/>
        <v/>
      </c>
      <c r="SIT30" t="str">
        <f t="shared" si="208"/>
        <v/>
      </c>
      <c r="SIU30" t="str">
        <f t="shared" si="208"/>
        <v/>
      </c>
      <c r="SIV30" t="str">
        <f t="shared" si="208"/>
        <v/>
      </c>
      <c r="SIW30" t="str">
        <f t="shared" si="208"/>
        <v/>
      </c>
      <c r="SIX30" t="str">
        <f t="shared" si="208"/>
        <v/>
      </c>
      <c r="SIY30" t="str">
        <f t="shared" si="208"/>
        <v/>
      </c>
      <c r="SIZ30" t="str">
        <f t="shared" si="208"/>
        <v/>
      </c>
      <c r="SJA30" t="str">
        <f t="shared" si="208"/>
        <v/>
      </c>
      <c r="SJB30" t="str">
        <f t="shared" si="208"/>
        <v/>
      </c>
      <c r="SJC30" t="str">
        <f t="shared" si="208"/>
        <v/>
      </c>
      <c r="SJD30" t="str">
        <f t="shared" si="208"/>
        <v/>
      </c>
      <c r="SJE30" t="str">
        <f t="shared" si="208"/>
        <v/>
      </c>
      <c r="SJF30" t="str">
        <f t="shared" si="208"/>
        <v/>
      </c>
      <c r="SJG30" t="str">
        <f t="shared" si="208"/>
        <v/>
      </c>
      <c r="SJH30" t="str">
        <f t="shared" si="208"/>
        <v/>
      </c>
      <c r="SJI30" t="str">
        <f t="shared" si="208"/>
        <v/>
      </c>
      <c r="SJJ30" t="str">
        <f t="shared" si="208"/>
        <v/>
      </c>
      <c r="SJK30" t="str">
        <f t="shared" si="208"/>
        <v/>
      </c>
      <c r="SJL30" t="str">
        <f t="shared" si="208"/>
        <v/>
      </c>
      <c r="SJM30" t="str">
        <f t="shared" si="208"/>
        <v/>
      </c>
      <c r="SJN30" t="str">
        <f t="shared" si="208"/>
        <v/>
      </c>
      <c r="SJO30" t="str">
        <f t="shared" si="208"/>
        <v/>
      </c>
      <c r="SJP30" t="str">
        <f t="shared" si="208"/>
        <v/>
      </c>
      <c r="SJQ30" t="str">
        <f t="shared" si="208"/>
        <v/>
      </c>
      <c r="SJR30" t="str">
        <f t="shared" si="208"/>
        <v/>
      </c>
      <c r="SJS30" t="str">
        <f t="shared" si="208"/>
        <v/>
      </c>
      <c r="SJT30" t="str">
        <f t="shared" si="208"/>
        <v/>
      </c>
      <c r="SJU30" t="str">
        <f t="shared" si="208"/>
        <v/>
      </c>
      <c r="SJV30" t="str">
        <f t="shared" si="208"/>
        <v/>
      </c>
      <c r="SJW30" t="str">
        <f t="shared" si="208"/>
        <v/>
      </c>
      <c r="SJX30" t="str">
        <f t="shared" si="208"/>
        <v/>
      </c>
      <c r="SJY30" t="str">
        <f t="shared" si="208"/>
        <v/>
      </c>
      <c r="SJZ30" t="str">
        <f t="shared" si="208"/>
        <v/>
      </c>
      <c r="SKA30" t="str">
        <f t="shared" si="208"/>
        <v/>
      </c>
      <c r="SKB30" t="str">
        <f t="shared" si="208"/>
        <v/>
      </c>
      <c r="SKC30" t="str">
        <f t="shared" si="208"/>
        <v/>
      </c>
      <c r="SKD30" t="str">
        <f t="shared" si="208"/>
        <v/>
      </c>
      <c r="SKE30" t="str">
        <f t="shared" si="208"/>
        <v/>
      </c>
      <c r="SKF30" t="str">
        <f t="shared" ref="SKF30:SMQ30" si="209">TRIM(SKR11)</f>
        <v/>
      </c>
      <c r="SKG30" t="str">
        <f t="shared" si="209"/>
        <v/>
      </c>
      <c r="SKH30" t="str">
        <f t="shared" si="209"/>
        <v/>
      </c>
      <c r="SKI30" t="str">
        <f t="shared" si="209"/>
        <v/>
      </c>
      <c r="SKJ30" t="str">
        <f t="shared" si="209"/>
        <v/>
      </c>
      <c r="SKK30" t="str">
        <f t="shared" si="209"/>
        <v/>
      </c>
      <c r="SKL30" t="str">
        <f t="shared" si="209"/>
        <v/>
      </c>
      <c r="SKM30" t="str">
        <f t="shared" si="209"/>
        <v/>
      </c>
      <c r="SKN30" t="str">
        <f t="shared" si="209"/>
        <v/>
      </c>
      <c r="SKO30" t="str">
        <f t="shared" si="209"/>
        <v/>
      </c>
      <c r="SKP30" t="str">
        <f t="shared" si="209"/>
        <v/>
      </c>
      <c r="SKQ30" t="str">
        <f t="shared" si="209"/>
        <v/>
      </c>
      <c r="SKR30" t="str">
        <f t="shared" si="209"/>
        <v/>
      </c>
      <c r="SKS30" t="str">
        <f t="shared" si="209"/>
        <v/>
      </c>
      <c r="SKT30" t="str">
        <f t="shared" si="209"/>
        <v/>
      </c>
      <c r="SKU30" t="str">
        <f t="shared" si="209"/>
        <v/>
      </c>
      <c r="SKV30" t="str">
        <f t="shared" si="209"/>
        <v/>
      </c>
      <c r="SKW30" t="str">
        <f t="shared" si="209"/>
        <v/>
      </c>
      <c r="SKX30" t="str">
        <f t="shared" si="209"/>
        <v/>
      </c>
      <c r="SKY30" t="str">
        <f t="shared" si="209"/>
        <v/>
      </c>
      <c r="SKZ30" t="str">
        <f t="shared" si="209"/>
        <v/>
      </c>
      <c r="SLA30" t="str">
        <f t="shared" si="209"/>
        <v/>
      </c>
      <c r="SLB30" t="str">
        <f t="shared" si="209"/>
        <v/>
      </c>
      <c r="SLC30" t="str">
        <f t="shared" si="209"/>
        <v/>
      </c>
      <c r="SLD30" t="str">
        <f t="shared" si="209"/>
        <v/>
      </c>
      <c r="SLE30" t="str">
        <f t="shared" si="209"/>
        <v/>
      </c>
      <c r="SLF30" t="str">
        <f t="shared" si="209"/>
        <v/>
      </c>
      <c r="SLG30" t="str">
        <f t="shared" si="209"/>
        <v/>
      </c>
      <c r="SLH30" t="str">
        <f t="shared" si="209"/>
        <v/>
      </c>
      <c r="SLI30" t="str">
        <f t="shared" si="209"/>
        <v/>
      </c>
      <c r="SLJ30" t="str">
        <f t="shared" si="209"/>
        <v/>
      </c>
      <c r="SLK30" t="str">
        <f t="shared" si="209"/>
        <v/>
      </c>
      <c r="SLL30" t="str">
        <f t="shared" si="209"/>
        <v/>
      </c>
      <c r="SLM30" t="str">
        <f t="shared" si="209"/>
        <v/>
      </c>
      <c r="SLN30" t="str">
        <f t="shared" si="209"/>
        <v/>
      </c>
      <c r="SLO30" t="str">
        <f t="shared" si="209"/>
        <v/>
      </c>
      <c r="SLP30" t="str">
        <f t="shared" si="209"/>
        <v/>
      </c>
      <c r="SLQ30" t="str">
        <f t="shared" si="209"/>
        <v/>
      </c>
      <c r="SLR30" t="str">
        <f t="shared" si="209"/>
        <v/>
      </c>
      <c r="SLS30" t="str">
        <f t="shared" si="209"/>
        <v/>
      </c>
      <c r="SLT30" t="str">
        <f t="shared" si="209"/>
        <v/>
      </c>
      <c r="SLU30" t="str">
        <f t="shared" si="209"/>
        <v/>
      </c>
      <c r="SLV30" t="str">
        <f t="shared" si="209"/>
        <v/>
      </c>
      <c r="SLW30" t="str">
        <f t="shared" si="209"/>
        <v/>
      </c>
      <c r="SLX30" t="str">
        <f t="shared" si="209"/>
        <v/>
      </c>
      <c r="SLY30" t="str">
        <f t="shared" si="209"/>
        <v/>
      </c>
      <c r="SLZ30" t="str">
        <f t="shared" si="209"/>
        <v/>
      </c>
      <c r="SMA30" t="str">
        <f t="shared" si="209"/>
        <v/>
      </c>
      <c r="SMB30" t="str">
        <f t="shared" si="209"/>
        <v/>
      </c>
      <c r="SMC30" t="str">
        <f t="shared" si="209"/>
        <v/>
      </c>
      <c r="SMD30" t="str">
        <f t="shared" si="209"/>
        <v/>
      </c>
      <c r="SME30" t="str">
        <f t="shared" si="209"/>
        <v/>
      </c>
      <c r="SMF30" t="str">
        <f t="shared" si="209"/>
        <v/>
      </c>
      <c r="SMG30" t="str">
        <f t="shared" si="209"/>
        <v/>
      </c>
      <c r="SMH30" t="str">
        <f t="shared" si="209"/>
        <v/>
      </c>
      <c r="SMI30" t="str">
        <f t="shared" si="209"/>
        <v/>
      </c>
      <c r="SMJ30" t="str">
        <f t="shared" si="209"/>
        <v/>
      </c>
      <c r="SMK30" t="str">
        <f t="shared" si="209"/>
        <v/>
      </c>
      <c r="SML30" t="str">
        <f t="shared" si="209"/>
        <v/>
      </c>
      <c r="SMM30" t="str">
        <f t="shared" si="209"/>
        <v/>
      </c>
      <c r="SMN30" t="str">
        <f t="shared" si="209"/>
        <v/>
      </c>
      <c r="SMO30" t="str">
        <f t="shared" si="209"/>
        <v/>
      </c>
      <c r="SMP30" t="str">
        <f t="shared" si="209"/>
        <v/>
      </c>
      <c r="SMQ30" t="str">
        <f t="shared" si="209"/>
        <v/>
      </c>
      <c r="SMR30" t="str">
        <f t="shared" ref="SMR30:SPC30" si="210">TRIM(SND11)</f>
        <v/>
      </c>
      <c r="SMS30" t="str">
        <f t="shared" si="210"/>
        <v/>
      </c>
      <c r="SMT30" t="str">
        <f t="shared" si="210"/>
        <v/>
      </c>
      <c r="SMU30" t="str">
        <f t="shared" si="210"/>
        <v/>
      </c>
      <c r="SMV30" t="str">
        <f t="shared" si="210"/>
        <v/>
      </c>
      <c r="SMW30" t="str">
        <f t="shared" si="210"/>
        <v/>
      </c>
      <c r="SMX30" t="str">
        <f t="shared" si="210"/>
        <v/>
      </c>
      <c r="SMY30" t="str">
        <f t="shared" si="210"/>
        <v/>
      </c>
      <c r="SMZ30" t="str">
        <f t="shared" si="210"/>
        <v/>
      </c>
      <c r="SNA30" t="str">
        <f t="shared" si="210"/>
        <v/>
      </c>
      <c r="SNB30" t="str">
        <f t="shared" si="210"/>
        <v/>
      </c>
      <c r="SNC30" t="str">
        <f t="shared" si="210"/>
        <v/>
      </c>
      <c r="SND30" t="str">
        <f t="shared" si="210"/>
        <v/>
      </c>
      <c r="SNE30" t="str">
        <f t="shared" si="210"/>
        <v/>
      </c>
      <c r="SNF30" t="str">
        <f t="shared" si="210"/>
        <v/>
      </c>
      <c r="SNG30" t="str">
        <f t="shared" si="210"/>
        <v/>
      </c>
      <c r="SNH30" t="str">
        <f t="shared" si="210"/>
        <v/>
      </c>
      <c r="SNI30" t="str">
        <f t="shared" si="210"/>
        <v/>
      </c>
      <c r="SNJ30" t="str">
        <f t="shared" si="210"/>
        <v/>
      </c>
      <c r="SNK30" t="str">
        <f t="shared" si="210"/>
        <v/>
      </c>
      <c r="SNL30" t="str">
        <f t="shared" si="210"/>
        <v/>
      </c>
      <c r="SNM30" t="str">
        <f t="shared" si="210"/>
        <v/>
      </c>
      <c r="SNN30" t="str">
        <f t="shared" si="210"/>
        <v/>
      </c>
      <c r="SNO30" t="str">
        <f t="shared" si="210"/>
        <v/>
      </c>
      <c r="SNP30" t="str">
        <f t="shared" si="210"/>
        <v/>
      </c>
      <c r="SNQ30" t="str">
        <f t="shared" si="210"/>
        <v/>
      </c>
      <c r="SNR30" t="str">
        <f t="shared" si="210"/>
        <v/>
      </c>
      <c r="SNS30" t="str">
        <f t="shared" si="210"/>
        <v/>
      </c>
      <c r="SNT30" t="str">
        <f t="shared" si="210"/>
        <v/>
      </c>
      <c r="SNU30" t="str">
        <f t="shared" si="210"/>
        <v/>
      </c>
      <c r="SNV30" t="str">
        <f t="shared" si="210"/>
        <v/>
      </c>
      <c r="SNW30" t="str">
        <f t="shared" si="210"/>
        <v/>
      </c>
      <c r="SNX30" t="str">
        <f t="shared" si="210"/>
        <v/>
      </c>
      <c r="SNY30" t="str">
        <f t="shared" si="210"/>
        <v/>
      </c>
      <c r="SNZ30" t="str">
        <f t="shared" si="210"/>
        <v/>
      </c>
      <c r="SOA30" t="str">
        <f t="shared" si="210"/>
        <v/>
      </c>
      <c r="SOB30" t="str">
        <f t="shared" si="210"/>
        <v/>
      </c>
      <c r="SOC30" t="str">
        <f t="shared" si="210"/>
        <v/>
      </c>
      <c r="SOD30" t="str">
        <f t="shared" si="210"/>
        <v/>
      </c>
      <c r="SOE30" t="str">
        <f t="shared" si="210"/>
        <v/>
      </c>
      <c r="SOF30" t="str">
        <f t="shared" si="210"/>
        <v/>
      </c>
      <c r="SOG30" t="str">
        <f t="shared" si="210"/>
        <v/>
      </c>
      <c r="SOH30" t="str">
        <f t="shared" si="210"/>
        <v/>
      </c>
      <c r="SOI30" t="str">
        <f t="shared" si="210"/>
        <v/>
      </c>
      <c r="SOJ30" t="str">
        <f t="shared" si="210"/>
        <v/>
      </c>
      <c r="SOK30" t="str">
        <f t="shared" si="210"/>
        <v/>
      </c>
      <c r="SOL30" t="str">
        <f t="shared" si="210"/>
        <v/>
      </c>
      <c r="SOM30" t="str">
        <f t="shared" si="210"/>
        <v/>
      </c>
      <c r="SON30" t="str">
        <f t="shared" si="210"/>
        <v/>
      </c>
      <c r="SOO30" t="str">
        <f t="shared" si="210"/>
        <v/>
      </c>
      <c r="SOP30" t="str">
        <f t="shared" si="210"/>
        <v/>
      </c>
      <c r="SOQ30" t="str">
        <f t="shared" si="210"/>
        <v/>
      </c>
      <c r="SOR30" t="str">
        <f t="shared" si="210"/>
        <v/>
      </c>
      <c r="SOS30" t="str">
        <f t="shared" si="210"/>
        <v/>
      </c>
      <c r="SOT30" t="str">
        <f t="shared" si="210"/>
        <v/>
      </c>
      <c r="SOU30" t="str">
        <f t="shared" si="210"/>
        <v/>
      </c>
      <c r="SOV30" t="str">
        <f t="shared" si="210"/>
        <v/>
      </c>
      <c r="SOW30" t="str">
        <f t="shared" si="210"/>
        <v/>
      </c>
      <c r="SOX30" t="str">
        <f t="shared" si="210"/>
        <v/>
      </c>
      <c r="SOY30" t="str">
        <f t="shared" si="210"/>
        <v/>
      </c>
      <c r="SOZ30" t="str">
        <f t="shared" si="210"/>
        <v/>
      </c>
      <c r="SPA30" t="str">
        <f t="shared" si="210"/>
        <v/>
      </c>
      <c r="SPB30" t="str">
        <f t="shared" si="210"/>
        <v/>
      </c>
      <c r="SPC30" t="str">
        <f t="shared" si="210"/>
        <v/>
      </c>
      <c r="SPD30" t="str">
        <f t="shared" ref="SPD30:SRO30" si="211">TRIM(SPP11)</f>
        <v/>
      </c>
      <c r="SPE30" t="str">
        <f t="shared" si="211"/>
        <v/>
      </c>
      <c r="SPF30" t="str">
        <f t="shared" si="211"/>
        <v/>
      </c>
      <c r="SPG30" t="str">
        <f t="shared" si="211"/>
        <v/>
      </c>
      <c r="SPH30" t="str">
        <f t="shared" si="211"/>
        <v/>
      </c>
      <c r="SPI30" t="str">
        <f t="shared" si="211"/>
        <v/>
      </c>
      <c r="SPJ30" t="str">
        <f t="shared" si="211"/>
        <v/>
      </c>
      <c r="SPK30" t="str">
        <f t="shared" si="211"/>
        <v/>
      </c>
      <c r="SPL30" t="str">
        <f t="shared" si="211"/>
        <v/>
      </c>
      <c r="SPM30" t="str">
        <f t="shared" si="211"/>
        <v/>
      </c>
      <c r="SPN30" t="str">
        <f t="shared" si="211"/>
        <v/>
      </c>
      <c r="SPO30" t="str">
        <f t="shared" si="211"/>
        <v/>
      </c>
      <c r="SPP30" t="str">
        <f t="shared" si="211"/>
        <v/>
      </c>
      <c r="SPQ30" t="str">
        <f t="shared" si="211"/>
        <v/>
      </c>
      <c r="SPR30" t="str">
        <f t="shared" si="211"/>
        <v/>
      </c>
      <c r="SPS30" t="str">
        <f t="shared" si="211"/>
        <v/>
      </c>
      <c r="SPT30" t="str">
        <f t="shared" si="211"/>
        <v/>
      </c>
      <c r="SPU30" t="str">
        <f t="shared" si="211"/>
        <v/>
      </c>
      <c r="SPV30" t="str">
        <f t="shared" si="211"/>
        <v/>
      </c>
      <c r="SPW30" t="str">
        <f t="shared" si="211"/>
        <v/>
      </c>
      <c r="SPX30" t="str">
        <f t="shared" si="211"/>
        <v/>
      </c>
      <c r="SPY30" t="str">
        <f t="shared" si="211"/>
        <v/>
      </c>
      <c r="SPZ30" t="str">
        <f t="shared" si="211"/>
        <v/>
      </c>
      <c r="SQA30" t="str">
        <f t="shared" si="211"/>
        <v/>
      </c>
      <c r="SQB30" t="str">
        <f t="shared" si="211"/>
        <v/>
      </c>
      <c r="SQC30" t="str">
        <f t="shared" si="211"/>
        <v/>
      </c>
      <c r="SQD30" t="str">
        <f t="shared" si="211"/>
        <v/>
      </c>
      <c r="SQE30" t="str">
        <f t="shared" si="211"/>
        <v/>
      </c>
      <c r="SQF30" t="str">
        <f t="shared" si="211"/>
        <v/>
      </c>
      <c r="SQG30" t="str">
        <f t="shared" si="211"/>
        <v/>
      </c>
      <c r="SQH30" t="str">
        <f t="shared" si="211"/>
        <v/>
      </c>
      <c r="SQI30" t="str">
        <f t="shared" si="211"/>
        <v/>
      </c>
      <c r="SQJ30" t="str">
        <f t="shared" si="211"/>
        <v/>
      </c>
      <c r="SQK30" t="str">
        <f t="shared" si="211"/>
        <v/>
      </c>
      <c r="SQL30" t="str">
        <f t="shared" si="211"/>
        <v/>
      </c>
      <c r="SQM30" t="str">
        <f t="shared" si="211"/>
        <v/>
      </c>
      <c r="SQN30" t="str">
        <f t="shared" si="211"/>
        <v/>
      </c>
      <c r="SQO30" t="str">
        <f t="shared" si="211"/>
        <v/>
      </c>
      <c r="SQP30" t="str">
        <f t="shared" si="211"/>
        <v/>
      </c>
      <c r="SQQ30" t="str">
        <f t="shared" si="211"/>
        <v/>
      </c>
      <c r="SQR30" t="str">
        <f t="shared" si="211"/>
        <v/>
      </c>
      <c r="SQS30" t="str">
        <f t="shared" si="211"/>
        <v/>
      </c>
      <c r="SQT30" t="str">
        <f t="shared" si="211"/>
        <v/>
      </c>
      <c r="SQU30" t="str">
        <f t="shared" si="211"/>
        <v/>
      </c>
      <c r="SQV30" t="str">
        <f t="shared" si="211"/>
        <v/>
      </c>
      <c r="SQW30" t="str">
        <f t="shared" si="211"/>
        <v/>
      </c>
      <c r="SQX30" t="str">
        <f t="shared" si="211"/>
        <v/>
      </c>
      <c r="SQY30" t="str">
        <f t="shared" si="211"/>
        <v/>
      </c>
      <c r="SQZ30" t="str">
        <f t="shared" si="211"/>
        <v/>
      </c>
      <c r="SRA30" t="str">
        <f t="shared" si="211"/>
        <v/>
      </c>
      <c r="SRB30" t="str">
        <f t="shared" si="211"/>
        <v/>
      </c>
      <c r="SRC30" t="str">
        <f t="shared" si="211"/>
        <v/>
      </c>
      <c r="SRD30" t="str">
        <f t="shared" si="211"/>
        <v/>
      </c>
      <c r="SRE30" t="str">
        <f t="shared" si="211"/>
        <v/>
      </c>
      <c r="SRF30" t="str">
        <f t="shared" si="211"/>
        <v/>
      </c>
      <c r="SRG30" t="str">
        <f t="shared" si="211"/>
        <v/>
      </c>
      <c r="SRH30" t="str">
        <f t="shared" si="211"/>
        <v/>
      </c>
      <c r="SRI30" t="str">
        <f t="shared" si="211"/>
        <v/>
      </c>
      <c r="SRJ30" t="str">
        <f t="shared" si="211"/>
        <v/>
      </c>
      <c r="SRK30" t="str">
        <f t="shared" si="211"/>
        <v/>
      </c>
      <c r="SRL30" t="str">
        <f t="shared" si="211"/>
        <v/>
      </c>
      <c r="SRM30" t="str">
        <f t="shared" si="211"/>
        <v/>
      </c>
      <c r="SRN30" t="str">
        <f t="shared" si="211"/>
        <v/>
      </c>
      <c r="SRO30" t="str">
        <f t="shared" si="211"/>
        <v/>
      </c>
      <c r="SRP30" t="str">
        <f t="shared" ref="SRP30:SUA30" si="212">TRIM(SSB11)</f>
        <v/>
      </c>
      <c r="SRQ30" t="str">
        <f t="shared" si="212"/>
        <v/>
      </c>
      <c r="SRR30" t="str">
        <f t="shared" si="212"/>
        <v/>
      </c>
      <c r="SRS30" t="str">
        <f t="shared" si="212"/>
        <v/>
      </c>
      <c r="SRT30" t="str">
        <f t="shared" si="212"/>
        <v/>
      </c>
      <c r="SRU30" t="str">
        <f t="shared" si="212"/>
        <v/>
      </c>
      <c r="SRV30" t="str">
        <f t="shared" si="212"/>
        <v/>
      </c>
      <c r="SRW30" t="str">
        <f t="shared" si="212"/>
        <v/>
      </c>
      <c r="SRX30" t="str">
        <f t="shared" si="212"/>
        <v/>
      </c>
      <c r="SRY30" t="str">
        <f t="shared" si="212"/>
        <v/>
      </c>
      <c r="SRZ30" t="str">
        <f t="shared" si="212"/>
        <v/>
      </c>
      <c r="SSA30" t="str">
        <f t="shared" si="212"/>
        <v/>
      </c>
      <c r="SSB30" t="str">
        <f t="shared" si="212"/>
        <v/>
      </c>
      <c r="SSC30" t="str">
        <f t="shared" si="212"/>
        <v/>
      </c>
      <c r="SSD30" t="str">
        <f t="shared" si="212"/>
        <v/>
      </c>
      <c r="SSE30" t="str">
        <f t="shared" si="212"/>
        <v/>
      </c>
      <c r="SSF30" t="str">
        <f t="shared" si="212"/>
        <v/>
      </c>
      <c r="SSG30" t="str">
        <f t="shared" si="212"/>
        <v/>
      </c>
      <c r="SSH30" t="str">
        <f t="shared" si="212"/>
        <v/>
      </c>
      <c r="SSI30" t="str">
        <f t="shared" si="212"/>
        <v/>
      </c>
      <c r="SSJ30" t="str">
        <f t="shared" si="212"/>
        <v/>
      </c>
      <c r="SSK30" t="str">
        <f t="shared" si="212"/>
        <v/>
      </c>
      <c r="SSL30" t="str">
        <f t="shared" si="212"/>
        <v/>
      </c>
      <c r="SSM30" t="str">
        <f t="shared" si="212"/>
        <v/>
      </c>
      <c r="SSN30" t="str">
        <f t="shared" si="212"/>
        <v/>
      </c>
      <c r="SSO30" t="str">
        <f t="shared" si="212"/>
        <v/>
      </c>
      <c r="SSP30" t="str">
        <f t="shared" si="212"/>
        <v/>
      </c>
      <c r="SSQ30" t="str">
        <f t="shared" si="212"/>
        <v/>
      </c>
      <c r="SSR30" t="str">
        <f t="shared" si="212"/>
        <v/>
      </c>
      <c r="SSS30" t="str">
        <f t="shared" si="212"/>
        <v/>
      </c>
      <c r="SST30" t="str">
        <f t="shared" si="212"/>
        <v/>
      </c>
      <c r="SSU30" t="str">
        <f t="shared" si="212"/>
        <v/>
      </c>
      <c r="SSV30" t="str">
        <f t="shared" si="212"/>
        <v/>
      </c>
      <c r="SSW30" t="str">
        <f t="shared" si="212"/>
        <v/>
      </c>
      <c r="SSX30" t="str">
        <f t="shared" si="212"/>
        <v/>
      </c>
      <c r="SSY30" t="str">
        <f t="shared" si="212"/>
        <v/>
      </c>
      <c r="SSZ30" t="str">
        <f t="shared" si="212"/>
        <v/>
      </c>
      <c r="STA30" t="str">
        <f t="shared" si="212"/>
        <v/>
      </c>
      <c r="STB30" t="str">
        <f t="shared" si="212"/>
        <v/>
      </c>
      <c r="STC30" t="str">
        <f t="shared" si="212"/>
        <v/>
      </c>
      <c r="STD30" t="str">
        <f t="shared" si="212"/>
        <v/>
      </c>
      <c r="STE30" t="str">
        <f t="shared" si="212"/>
        <v/>
      </c>
      <c r="STF30" t="str">
        <f t="shared" si="212"/>
        <v/>
      </c>
      <c r="STG30" t="str">
        <f t="shared" si="212"/>
        <v/>
      </c>
      <c r="STH30" t="str">
        <f t="shared" si="212"/>
        <v/>
      </c>
      <c r="STI30" t="str">
        <f t="shared" si="212"/>
        <v/>
      </c>
      <c r="STJ30" t="str">
        <f t="shared" si="212"/>
        <v/>
      </c>
      <c r="STK30" t="str">
        <f t="shared" si="212"/>
        <v/>
      </c>
      <c r="STL30" t="str">
        <f t="shared" si="212"/>
        <v/>
      </c>
      <c r="STM30" t="str">
        <f t="shared" si="212"/>
        <v/>
      </c>
      <c r="STN30" t="str">
        <f t="shared" si="212"/>
        <v/>
      </c>
      <c r="STO30" t="str">
        <f t="shared" si="212"/>
        <v/>
      </c>
      <c r="STP30" t="str">
        <f t="shared" si="212"/>
        <v/>
      </c>
      <c r="STQ30" t="str">
        <f t="shared" si="212"/>
        <v/>
      </c>
      <c r="STR30" t="str">
        <f t="shared" si="212"/>
        <v/>
      </c>
      <c r="STS30" t="str">
        <f t="shared" si="212"/>
        <v/>
      </c>
      <c r="STT30" t="str">
        <f t="shared" si="212"/>
        <v/>
      </c>
      <c r="STU30" t="str">
        <f t="shared" si="212"/>
        <v/>
      </c>
      <c r="STV30" t="str">
        <f t="shared" si="212"/>
        <v/>
      </c>
      <c r="STW30" t="str">
        <f t="shared" si="212"/>
        <v/>
      </c>
      <c r="STX30" t="str">
        <f t="shared" si="212"/>
        <v/>
      </c>
      <c r="STY30" t="str">
        <f t="shared" si="212"/>
        <v/>
      </c>
      <c r="STZ30" t="str">
        <f t="shared" si="212"/>
        <v/>
      </c>
      <c r="SUA30" t="str">
        <f t="shared" si="212"/>
        <v/>
      </c>
      <c r="SUB30" t="str">
        <f t="shared" ref="SUB30:SWM30" si="213">TRIM(SUN11)</f>
        <v/>
      </c>
      <c r="SUC30" t="str">
        <f t="shared" si="213"/>
        <v/>
      </c>
      <c r="SUD30" t="str">
        <f t="shared" si="213"/>
        <v/>
      </c>
      <c r="SUE30" t="str">
        <f t="shared" si="213"/>
        <v/>
      </c>
      <c r="SUF30" t="str">
        <f t="shared" si="213"/>
        <v/>
      </c>
      <c r="SUG30" t="str">
        <f t="shared" si="213"/>
        <v/>
      </c>
      <c r="SUH30" t="str">
        <f t="shared" si="213"/>
        <v/>
      </c>
      <c r="SUI30" t="str">
        <f t="shared" si="213"/>
        <v/>
      </c>
      <c r="SUJ30" t="str">
        <f t="shared" si="213"/>
        <v/>
      </c>
      <c r="SUK30" t="str">
        <f t="shared" si="213"/>
        <v/>
      </c>
      <c r="SUL30" t="str">
        <f t="shared" si="213"/>
        <v/>
      </c>
      <c r="SUM30" t="str">
        <f t="shared" si="213"/>
        <v/>
      </c>
      <c r="SUN30" t="str">
        <f t="shared" si="213"/>
        <v/>
      </c>
      <c r="SUO30" t="str">
        <f t="shared" si="213"/>
        <v/>
      </c>
      <c r="SUP30" t="str">
        <f t="shared" si="213"/>
        <v/>
      </c>
      <c r="SUQ30" t="str">
        <f t="shared" si="213"/>
        <v/>
      </c>
      <c r="SUR30" t="str">
        <f t="shared" si="213"/>
        <v/>
      </c>
      <c r="SUS30" t="str">
        <f t="shared" si="213"/>
        <v/>
      </c>
      <c r="SUT30" t="str">
        <f t="shared" si="213"/>
        <v/>
      </c>
      <c r="SUU30" t="str">
        <f t="shared" si="213"/>
        <v/>
      </c>
      <c r="SUV30" t="str">
        <f t="shared" si="213"/>
        <v/>
      </c>
      <c r="SUW30" t="str">
        <f t="shared" si="213"/>
        <v/>
      </c>
      <c r="SUX30" t="str">
        <f t="shared" si="213"/>
        <v/>
      </c>
      <c r="SUY30" t="str">
        <f t="shared" si="213"/>
        <v/>
      </c>
      <c r="SUZ30" t="str">
        <f t="shared" si="213"/>
        <v/>
      </c>
      <c r="SVA30" t="str">
        <f t="shared" si="213"/>
        <v/>
      </c>
      <c r="SVB30" t="str">
        <f t="shared" si="213"/>
        <v/>
      </c>
      <c r="SVC30" t="str">
        <f t="shared" si="213"/>
        <v/>
      </c>
      <c r="SVD30" t="str">
        <f t="shared" si="213"/>
        <v/>
      </c>
      <c r="SVE30" t="str">
        <f t="shared" si="213"/>
        <v/>
      </c>
      <c r="SVF30" t="str">
        <f t="shared" si="213"/>
        <v/>
      </c>
      <c r="SVG30" t="str">
        <f t="shared" si="213"/>
        <v/>
      </c>
      <c r="SVH30" t="str">
        <f t="shared" si="213"/>
        <v/>
      </c>
      <c r="SVI30" t="str">
        <f t="shared" si="213"/>
        <v/>
      </c>
      <c r="SVJ30" t="str">
        <f t="shared" si="213"/>
        <v/>
      </c>
      <c r="SVK30" t="str">
        <f t="shared" si="213"/>
        <v/>
      </c>
      <c r="SVL30" t="str">
        <f t="shared" si="213"/>
        <v/>
      </c>
      <c r="SVM30" t="str">
        <f t="shared" si="213"/>
        <v/>
      </c>
      <c r="SVN30" t="str">
        <f t="shared" si="213"/>
        <v/>
      </c>
      <c r="SVO30" t="str">
        <f t="shared" si="213"/>
        <v/>
      </c>
      <c r="SVP30" t="str">
        <f t="shared" si="213"/>
        <v/>
      </c>
      <c r="SVQ30" t="str">
        <f t="shared" si="213"/>
        <v/>
      </c>
      <c r="SVR30" t="str">
        <f t="shared" si="213"/>
        <v/>
      </c>
      <c r="SVS30" t="str">
        <f t="shared" si="213"/>
        <v/>
      </c>
      <c r="SVT30" t="str">
        <f t="shared" si="213"/>
        <v/>
      </c>
      <c r="SVU30" t="str">
        <f t="shared" si="213"/>
        <v/>
      </c>
      <c r="SVV30" t="str">
        <f t="shared" si="213"/>
        <v/>
      </c>
      <c r="SVW30" t="str">
        <f t="shared" si="213"/>
        <v/>
      </c>
      <c r="SVX30" t="str">
        <f t="shared" si="213"/>
        <v/>
      </c>
      <c r="SVY30" t="str">
        <f t="shared" si="213"/>
        <v/>
      </c>
      <c r="SVZ30" t="str">
        <f t="shared" si="213"/>
        <v/>
      </c>
      <c r="SWA30" t="str">
        <f t="shared" si="213"/>
        <v/>
      </c>
      <c r="SWB30" t="str">
        <f t="shared" si="213"/>
        <v/>
      </c>
      <c r="SWC30" t="str">
        <f t="shared" si="213"/>
        <v/>
      </c>
      <c r="SWD30" t="str">
        <f t="shared" si="213"/>
        <v/>
      </c>
      <c r="SWE30" t="str">
        <f t="shared" si="213"/>
        <v/>
      </c>
      <c r="SWF30" t="str">
        <f t="shared" si="213"/>
        <v/>
      </c>
      <c r="SWG30" t="str">
        <f t="shared" si="213"/>
        <v/>
      </c>
      <c r="SWH30" t="str">
        <f t="shared" si="213"/>
        <v/>
      </c>
      <c r="SWI30" t="str">
        <f t="shared" si="213"/>
        <v/>
      </c>
      <c r="SWJ30" t="str">
        <f t="shared" si="213"/>
        <v/>
      </c>
      <c r="SWK30" t="str">
        <f t="shared" si="213"/>
        <v/>
      </c>
      <c r="SWL30" t="str">
        <f t="shared" si="213"/>
        <v/>
      </c>
      <c r="SWM30" t="str">
        <f t="shared" si="213"/>
        <v/>
      </c>
      <c r="SWN30" t="str">
        <f t="shared" ref="SWN30:SYY30" si="214">TRIM(SWZ11)</f>
        <v/>
      </c>
      <c r="SWO30" t="str">
        <f t="shared" si="214"/>
        <v/>
      </c>
      <c r="SWP30" t="str">
        <f t="shared" si="214"/>
        <v/>
      </c>
      <c r="SWQ30" t="str">
        <f t="shared" si="214"/>
        <v/>
      </c>
      <c r="SWR30" t="str">
        <f t="shared" si="214"/>
        <v/>
      </c>
      <c r="SWS30" t="str">
        <f t="shared" si="214"/>
        <v/>
      </c>
      <c r="SWT30" t="str">
        <f t="shared" si="214"/>
        <v/>
      </c>
      <c r="SWU30" t="str">
        <f t="shared" si="214"/>
        <v/>
      </c>
      <c r="SWV30" t="str">
        <f t="shared" si="214"/>
        <v/>
      </c>
      <c r="SWW30" t="str">
        <f t="shared" si="214"/>
        <v/>
      </c>
      <c r="SWX30" t="str">
        <f t="shared" si="214"/>
        <v/>
      </c>
      <c r="SWY30" t="str">
        <f t="shared" si="214"/>
        <v/>
      </c>
      <c r="SWZ30" t="str">
        <f t="shared" si="214"/>
        <v/>
      </c>
      <c r="SXA30" t="str">
        <f t="shared" si="214"/>
        <v/>
      </c>
      <c r="SXB30" t="str">
        <f t="shared" si="214"/>
        <v/>
      </c>
      <c r="SXC30" t="str">
        <f t="shared" si="214"/>
        <v/>
      </c>
      <c r="SXD30" t="str">
        <f t="shared" si="214"/>
        <v/>
      </c>
      <c r="SXE30" t="str">
        <f t="shared" si="214"/>
        <v/>
      </c>
      <c r="SXF30" t="str">
        <f t="shared" si="214"/>
        <v/>
      </c>
      <c r="SXG30" t="str">
        <f t="shared" si="214"/>
        <v/>
      </c>
      <c r="SXH30" t="str">
        <f t="shared" si="214"/>
        <v/>
      </c>
      <c r="SXI30" t="str">
        <f t="shared" si="214"/>
        <v/>
      </c>
      <c r="SXJ30" t="str">
        <f t="shared" si="214"/>
        <v/>
      </c>
      <c r="SXK30" t="str">
        <f t="shared" si="214"/>
        <v/>
      </c>
      <c r="SXL30" t="str">
        <f t="shared" si="214"/>
        <v/>
      </c>
      <c r="SXM30" t="str">
        <f t="shared" si="214"/>
        <v/>
      </c>
      <c r="SXN30" t="str">
        <f t="shared" si="214"/>
        <v/>
      </c>
      <c r="SXO30" t="str">
        <f t="shared" si="214"/>
        <v/>
      </c>
      <c r="SXP30" t="str">
        <f t="shared" si="214"/>
        <v/>
      </c>
      <c r="SXQ30" t="str">
        <f t="shared" si="214"/>
        <v/>
      </c>
      <c r="SXR30" t="str">
        <f t="shared" si="214"/>
        <v/>
      </c>
      <c r="SXS30" t="str">
        <f t="shared" si="214"/>
        <v/>
      </c>
      <c r="SXT30" t="str">
        <f t="shared" si="214"/>
        <v/>
      </c>
      <c r="SXU30" t="str">
        <f t="shared" si="214"/>
        <v/>
      </c>
      <c r="SXV30" t="str">
        <f t="shared" si="214"/>
        <v/>
      </c>
      <c r="SXW30" t="str">
        <f t="shared" si="214"/>
        <v/>
      </c>
      <c r="SXX30" t="str">
        <f t="shared" si="214"/>
        <v/>
      </c>
      <c r="SXY30" t="str">
        <f t="shared" si="214"/>
        <v/>
      </c>
      <c r="SXZ30" t="str">
        <f t="shared" si="214"/>
        <v/>
      </c>
      <c r="SYA30" t="str">
        <f t="shared" si="214"/>
        <v/>
      </c>
      <c r="SYB30" t="str">
        <f t="shared" si="214"/>
        <v/>
      </c>
      <c r="SYC30" t="str">
        <f t="shared" si="214"/>
        <v/>
      </c>
      <c r="SYD30" t="str">
        <f t="shared" si="214"/>
        <v/>
      </c>
      <c r="SYE30" t="str">
        <f t="shared" si="214"/>
        <v/>
      </c>
      <c r="SYF30" t="str">
        <f t="shared" si="214"/>
        <v/>
      </c>
      <c r="SYG30" t="str">
        <f t="shared" si="214"/>
        <v/>
      </c>
      <c r="SYH30" t="str">
        <f t="shared" si="214"/>
        <v/>
      </c>
      <c r="SYI30" t="str">
        <f t="shared" si="214"/>
        <v/>
      </c>
      <c r="SYJ30" t="str">
        <f t="shared" si="214"/>
        <v/>
      </c>
      <c r="SYK30" t="str">
        <f t="shared" si="214"/>
        <v/>
      </c>
      <c r="SYL30" t="str">
        <f t="shared" si="214"/>
        <v/>
      </c>
      <c r="SYM30" t="str">
        <f t="shared" si="214"/>
        <v/>
      </c>
      <c r="SYN30" t="str">
        <f t="shared" si="214"/>
        <v/>
      </c>
      <c r="SYO30" t="str">
        <f t="shared" si="214"/>
        <v/>
      </c>
      <c r="SYP30" t="str">
        <f t="shared" si="214"/>
        <v/>
      </c>
      <c r="SYQ30" t="str">
        <f t="shared" si="214"/>
        <v/>
      </c>
      <c r="SYR30" t="str">
        <f t="shared" si="214"/>
        <v/>
      </c>
      <c r="SYS30" t="str">
        <f t="shared" si="214"/>
        <v/>
      </c>
      <c r="SYT30" t="str">
        <f t="shared" si="214"/>
        <v/>
      </c>
      <c r="SYU30" t="str">
        <f t="shared" si="214"/>
        <v/>
      </c>
      <c r="SYV30" t="str">
        <f t="shared" si="214"/>
        <v/>
      </c>
      <c r="SYW30" t="str">
        <f t="shared" si="214"/>
        <v/>
      </c>
      <c r="SYX30" t="str">
        <f t="shared" si="214"/>
        <v/>
      </c>
      <c r="SYY30" t="str">
        <f t="shared" si="214"/>
        <v/>
      </c>
      <c r="SYZ30" t="str">
        <f t="shared" ref="SYZ30:TBK30" si="215">TRIM(SZL11)</f>
        <v/>
      </c>
      <c r="SZA30" t="str">
        <f t="shared" si="215"/>
        <v/>
      </c>
      <c r="SZB30" t="str">
        <f t="shared" si="215"/>
        <v/>
      </c>
      <c r="SZC30" t="str">
        <f t="shared" si="215"/>
        <v/>
      </c>
      <c r="SZD30" t="str">
        <f t="shared" si="215"/>
        <v/>
      </c>
      <c r="SZE30" t="str">
        <f t="shared" si="215"/>
        <v/>
      </c>
      <c r="SZF30" t="str">
        <f t="shared" si="215"/>
        <v/>
      </c>
      <c r="SZG30" t="str">
        <f t="shared" si="215"/>
        <v/>
      </c>
      <c r="SZH30" t="str">
        <f t="shared" si="215"/>
        <v/>
      </c>
      <c r="SZI30" t="str">
        <f t="shared" si="215"/>
        <v/>
      </c>
      <c r="SZJ30" t="str">
        <f t="shared" si="215"/>
        <v/>
      </c>
      <c r="SZK30" t="str">
        <f t="shared" si="215"/>
        <v/>
      </c>
      <c r="SZL30" t="str">
        <f t="shared" si="215"/>
        <v/>
      </c>
      <c r="SZM30" t="str">
        <f t="shared" si="215"/>
        <v/>
      </c>
      <c r="SZN30" t="str">
        <f t="shared" si="215"/>
        <v/>
      </c>
      <c r="SZO30" t="str">
        <f t="shared" si="215"/>
        <v/>
      </c>
      <c r="SZP30" t="str">
        <f t="shared" si="215"/>
        <v/>
      </c>
      <c r="SZQ30" t="str">
        <f t="shared" si="215"/>
        <v/>
      </c>
      <c r="SZR30" t="str">
        <f t="shared" si="215"/>
        <v/>
      </c>
      <c r="SZS30" t="str">
        <f t="shared" si="215"/>
        <v/>
      </c>
      <c r="SZT30" t="str">
        <f t="shared" si="215"/>
        <v/>
      </c>
      <c r="SZU30" t="str">
        <f t="shared" si="215"/>
        <v/>
      </c>
      <c r="SZV30" t="str">
        <f t="shared" si="215"/>
        <v/>
      </c>
      <c r="SZW30" t="str">
        <f t="shared" si="215"/>
        <v/>
      </c>
      <c r="SZX30" t="str">
        <f t="shared" si="215"/>
        <v/>
      </c>
      <c r="SZY30" t="str">
        <f t="shared" si="215"/>
        <v/>
      </c>
      <c r="SZZ30" t="str">
        <f t="shared" si="215"/>
        <v/>
      </c>
      <c r="TAA30" t="str">
        <f t="shared" si="215"/>
        <v/>
      </c>
      <c r="TAB30" t="str">
        <f t="shared" si="215"/>
        <v/>
      </c>
      <c r="TAC30" t="str">
        <f t="shared" si="215"/>
        <v/>
      </c>
      <c r="TAD30" t="str">
        <f t="shared" si="215"/>
        <v/>
      </c>
      <c r="TAE30" t="str">
        <f t="shared" si="215"/>
        <v/>
      </c>
      <c r="TAF30" t="str">
        <f t="shared" si="215"/>
        <v/>
      </c>
      <c r="TAG30" t="str">
        <f t="shared" si="215"/>
        <v/>
      </c>
      <c r="TAH30" t="str">
        <f t="shared" si="215"/>
        <v/>
      </c>
      <c r="TAI30" t="str">
        <f t="shared" si="215"/>
        <v/>
      </c>
      <c r="TAJ30" t="str">
        <f t="shared" si="215"/>
        <v/>
      </c>
      <c r="TAK30" t="str">
        <f t="shared" si="215"/>
        <v/>
      </c>
      <c r="TAL30" t="str">
        <f t="shared" si="215"/>
        <v/>
      </c>
      <c r="TAM30" t="str">
        <f t="shared" si="215"/>
        <v/>
      </c>
      <c r="TAN30" t="str">
        <f t="shared" si="215"/>
        <v/>
      </c>
      <c r="TAO30" t="str">
        <f t="shared" si="215"/>
        <v/>
      </c>
      <c r="TAP30" t="str">
        <f t="shared" si="215"/>
        <v/>
      </c>
      <c r="TAQ30" t="str">
        <f t="shared" si="215"/>
        <v/>
      </c>
      <c r="TAR30" t="str">
        <f t="shared" si="215"/>
        <v/>
      </c>
      <c r="TAS30" t="str">
        <f t="shared" si="215"/>
        <v/>
      </c>
      <c r="TAT30" t="str">
        <f t="shared" si="215"/>
        <v/>
      </c>
      <c r="TAU30" t="str">
        <f t="shared" si="215"/>
        <v/>
      </c>
      <c r="TAV30" t="str">
        <f t="shared" si="215"/>
        <v/>
      </c>
      <c r="TAW30" t="str">
        <f t="shared" si="215"/>
        <v/>
      </c>
      <c r="TAX30" t="str">
        <f t="shared" si="215"/>
        <v/>
      </c>
      <c r="TAY30" t="str">
        <f t="shared" si="215"/>
        <v/>
      </c>
      <c r="TAZ30" t="str">
        <f t="shared" si="215"/>
        <v/>
      </c>
      <c r="TBA30" t="str">
        <f t="shared" si="215"/>
        <v/>
      </c>
      <c r="TBB30" t="str">
        <f t="shared" si="215"/>
        <v/>
      </c>
      <c r="TBC30" t="str">
        <f t="shared" si="215"/>
        <v/>
      </c>
      <c r="TBD30" t="str">
        <f t="shared" si="215"/>
        <v/>
      </c>
      <c r="TBE30" t="str">
        <f t="shared" si="215"/>
        <v/>
      </c>
      <c r="TBF30" t="str">
        <f t="shared" si="215"/>
        <v/>
      </c>
      <c r="TBG30" t="str">
        <f t="shared" si="215"/>
        <v/>
      </c>
      <c r="TBH30" t="str">
        <f t="shared" si="215"/>
        <v/>
      </c>
      <c r="TBI30" t="str">
        <f t="shared" si="215"/>
        <v/>
      </c>
      <c r="TBJ30" t="str">
        <f t="shared" si="215"/>
        <v/>
      </c>
      <c r="TBK30" t="str">
        <f t="shared" si="215"/>
        <v/>
      </c>
      <c r="TBL30" t="str">
        <f t="shared" ref="TBL30:TDW30" si="216">TRIM(TBX11)</f>
        <v/>
      </c>
      <c r="TBM30" t="str">
        <f t="shared" si="216"/>
        <v/>
      </c>
      <c r="TBN30" t="str">
        <f t="shared" si="216"/>
        <v/>
      </c>
      <c r="TBO30" t="str">
        <f t="shared" si="216"/>
        <v/>
      </c>
      <c r="TBP30" t="str">
        <f t="shared" si="216"/>
        <v/>
      </c>
      <c r="TBQ30" t="str">
        <f t="shared" si="216"/>
        <v/>
      </c>
      <c r="TBR30" t="str">
        <f t="shared" si="216"/>
        <v/>
      </c>
      <c r="TBS30" t="str">
        <f t="shared" si="216"/>
        <v/>
      </c>
      <c r="TBT30" t="str">
        <f t="shared" si="216"/>
        <v/>
      </c>
      <c r="TBU30" t="str">
        <f t="shared" si="216"/>
        <v/>
      </c>
      <c r="TBV30" t="str">
        <f t="shared" si="216"/>
        <v/>
      </c>
      <c r="TBW30" t="str">
        <f t="shared" si="216"/>
        <v/>
      </c>
      <c r="TBX30" t="str">
        <f t="shared" si="216"/>
        <v/>
      </c>
      <c r="TBY30" t="str">
        <f t="shared" si="216"/>
        <v/>
      </c>
      <c r="TBZ30" t="str">
        <f t="shared" si="216"/>
        <v/>
      </c>
      <c r="TCA30" t="str">
        <f t="shared" si="216"/>
        <v/>
      </c>
      <c r="TCB30" t="str">
        <f t="shared" si="216"/>
        <v/>
      </c>
      <c r="TCC30" t="str">
        <f t="shared" si="216"/>
        <v/>
      </c>
      <c r="TCD30" t="str">
        <f t="shared" si="216"/>
        <v/>
      </c>
      <c r="TCE30" t="str">
        <f t="shared" si="216"/>
        <v/>
      </c>
      <c r="TCF30" t="str">
        <f t="shared" si="216"/>
        <v/>
      </c>
      <c r="TCG30" t="str">
        <f t="shared" si="216"/>
        <v/>
      </c>
      <c r="TCH30" t="str">
        <f t="shared" si="216"/>
        <v/>
      </c>
      <c r="TCI30" t="str">
        <f t="shared" si="216"/>
        <v/>
      </c>
      <c r="TCJ30" t="str">
        <f t="shared" si="216"/>
        <v/>
      </c>
      <c r="TCK30" t="str">
        <f t="shared" si="216"/>
        <v/>
      </c>
      <c r="TCL30" t="str">
        <f t="shared" si="216"/>
        <v/>
      </c>
      <c r="TCM30" t="str">
        <f t="shared" si="216"/>
        <v/>
      </c>
      <c r="TCN30" t="str">
        <f t="shared" si="216"/>
        <v/>
      </c>
      <c r="TCO30" t="str">
        <f t="shared" si="216"/>
        <v/>
      </c>
      <c r="TCP30" t="str">
        <f t="shared" si="216"/>
        <v/>
      </c>
      <c r="TCQ30" t="str">
        <f t="shared" si="216"/>
        <v/>
      </c>
      <c r="TCR30" t="str">
        <f t="shared" si="216"/>
        <v/>
      </c>
      <c r="TCS30" t="str">
        <f t="shared" si="216"/>
        <v/>
      </c>
      <c r="TCT30" t="str">
        <f t="shared" si="216"/>
        <v/>
      </c>
      <c r="TCU30" t="str">
        <f t="shared" si="216"/>
        <v/>
      </c>
      <c r="TCV30" t="str">
        <f t="shared" si="216"/>
        <v/>
      </c>
      <c r="TCW30" t="str">
        <f t="shared" si="216"/>
        <v/>
      </c>
      <c r="TCX30" t="str">
        <f t="shared" si="216"/>
        <v/>
      </c>
      <c r="TCY30" t="str">
        <f t="shared" si="216"/>
        <v/>
      </c>
      <c r="TCZ30" t="str">
        <f t="shared" si="216"/>
        <v/>
      </c>
      <c r="TDA30" t="str">
        <f t="shared" si="216"/>
        <v/>
      </c>
      <c r="TDB30" t="str">
        <f t="shared" si="216"/>
        <v/>
      </c>
      <c r="TDC30" t="str">
        <f t="shared" si="216"/>
        <v/>
      </c>
      <c r="TDD30" t="str">
        <f t="shared" si="216"/>
        <v/>
      </c>
      <c r="TDE30" t="str">
        <f t="shared" si="216"/>
        <v/>
      </c>
      <c r="TDF30" t="str">
        <f t="shared" si="216"/>
        <v/>
      </c>
      <c r="TDG30" t="str">
        <f t="shared" si="216"/>
        <v/>
      </c>
      <c r="TDH30" t="str">
        <f t="shared" si="216"/>
        <v/>
      </c>
      <c r="TDI30" t="str">
        <f t="shared" si="216"/>
        <v/>
      </c>
      <c r="TDJ30" t="str">
        <f t="shared" si="216"/>
        <v/>
      </c>
      <c r="TDK30" t="str">
        <f t="shared" si="216"/>
        <v/>
      </c>
      <c r="TDL30" t="str">
        <f t="shared" si="216"/>
        <v/>
      </c>
      <c r="TDM30" t="str">
        <f t="shared" si="216"/>
        <v/>
      </c>
      <c r="TDN30" t="str">
        <f t="shared" si="216"/>
        <v/>
      </c>
      <c r="TDO30" t="str">
        <f t="shared" si="216"/>
        <v/>
      </c>
      <c r="TDP30" t="str">
        <f t="shared" si="216"/>
        <v/>
      </c>
      <c r="TDQ30" t="str">
        <f t="shared" si="216"/>
        <v/>
      </c>
      <c r="TDR30" t="str">
        <f t="shared" si="216"/>
        <v/>
      </c>
      <c r="TDS30" t="str">
        <f t="shared" si="216"/>
        <v/>
      </c>
      <c r="TDT30" t="str">
        <f t="shared" si="216"/>
        <v/>
      </c>
      <c r="TDU30" t="str">
        <f t="shared" si="216"/>
        <v/>
      </c>
      <c r="TDV30" t="str">
        <f t="shared" si="216"/>
        <v/>
      </c>
      <c r="TDW30" t="str">
        <f t="shared" si="216"/>
        <v/>
      </c>
      <c r="TDX30" t="str">
        <f t="shared" ref="TDX30:TGI30" si="217">TRIM(TEJ11)</f>
        <v/>
      </c>
      <c r="TDY30" t="str">
        <f t="shared" si="217"/>
        <v/>
      </c>
      <c r="TDZ30" t="str">
        <f t="shared" si="217"/>
        <v/>
      </c>
      <c r="TEA30" t="str">
        <f t="shared" si="217"/>
        <v/>
      </c>
      <c r="TEB30" t="str">
        <f t="shared" si="217"/>
        <v/>
      </c>
      <c r="TEC30" t="str">
        <f t="shared" si="217"/>
        <v/>
      </c>
      <c r="TED30" t="str">
        <f t="shared" si="217"/>
        <v/>
      </c>
      <c r="TEE30" t="str">
        <f t="shared" si="217"/>
        <v/>
      </c>
      <c r="TEF30" t="str">
        <f t="shared" si="217"/>
        <v/>
      </c>
      <c r="TEG30" t="str">
        <f t="shared" si="217"/>
        <v/>
      </c>
      <c r="TEH30" t="str">
        <f t="shared" si="217"/>
        <v/>
      </c>
      <c r="TEI30" t="str">
        <f t="shared" si="217"/>
        <v/>
      </c>
      <c r="TEJ30" t="str">
        <f t="shared" si="217"/>
        <v/>
      </c>
      <c r="TEK30" t="str">
        <f t="shared" si="217"/>
        <v/>
      </c>
      <c r="TEL30" t="str">
        <f t="shared" si="217"/>
        <v/>
      </c>
      <c r="TEM30" t="str">
        <f t="shared" si="217"/>
        <v/>
      </c>
      <c r="TEN30" t="str">
        <f t="shared" si="217"/>
        <v/>
      </c>
      <c r="TEO30" t="str">
        <f t="shared" si="217"/>
        <v/>
      </c>
      <c r="TEP30" t="str">
        <f t="shared" si="217"/>
        <v/>
      </c>
      <c r="TEQ30" t="str">
        <f t="shared" si="217"/>
        <v/>
      </c>
      <c r="TER30" t="str">
        <f t="shared" si="217"/>
        <v/>
      </c>
      <c r="TES30" t="str">
        <f t="shared" si="217"/>
        <v/>
      </c>
      <c r="TET30" t="str">
        <f t="shared" si="217"/>
        <v/>
      </c>
      <c r="TEU30" t="str">
        <f t="shared" si="217"/>
        <v/>
      </c>
      <c r="TEV30" t="str">
        <f t="shared" si="217"/>
        <v/>
      </c>
      <c r="TEW30" t="str">
        <f t="shared" si="217"/>
        <v/>
      </c>
      <c r="TEX30" t="str">
        <f t="shared" si="217"/>
        <v/>
      </c>
      <c r="TEY30" t="str">
        <f t="shared" si="217"/>
        <v/>
      </c>
      <c r="TEZ30" t="str">
        <f t="shared" si="217"/>
        <v/>
      </c>
      <c r="TFA30" t="str">
        <f t="shared" si="217"/>
        <v/>
      </c>
      <c r="TFB30" t="str">
        <f t="shared" si="217"/>
        <v/>
      </c>
      <c r="TFC30" t="str">
        <f t="shared" si="217"/>
        <v/>
      </c>
      <c r="TFD30" t="str">
        <f t="shared" si="217"/>
        <v/>
      </c>
      <c r="TFE30" t="str">
        <f t="shared" si="217"/>
        <v/>
      </c>
      <c r="TFF30" t="str">
        <f t="shared" si="217"/>
        <v/>
      </c>
      <c r="TFG30" t="str">
        <f t="shared" si="217"/>
        <v/>
      </c>
      <c r="TFH30" t="str">
        <f t="shared" si="217"/>
        <v/>
      </c>
      <c r="TFI30" t="str">
        <f t="shared" si="217"/>
        <v/>
      </c>
      <c r="TFJ30" t="str">
        <f t="shared" si="217"/>
        <v/>
      </c>
      <c r="TFK30" t="str">
        <f t="shared" si="217"/>
        <v/>
      </c>
      <c r="TFL30" t="str">
        <f t="shared" si="217"/>
        <v/>
      </c>
      <c r="TFM30" t="str">
        <f t="shared" si="217"/>
        <v/>
      </c>
      <c r="TFN30" t="str">
        <f t="shared" si="217"/>
        <v/>
      </c>
      <c r="TFO30" t="str">
        <f t="shared" si="217"/>
        <v/>
      </c>
      <c r="TFP30" t="str">
        <f t="shared" si="217"/>
        <v/>
      </c>
      <c r="TFQ30" t="str">
        <f t="shared" si="217"/>
        <v/>
      </c>
      <c r="TFR30" t="str">
        <f t="shared" si="217"/>
        <v/>
      </c>
      <c r="TFS30" t="str">
        <f t="shared" si="217"/>
        <v/>
      </c>
      <c r="TFT30" t="str">
        <f t="shared" si="217"/>
        <v/>
      </c>
      <c r="TFU30" t="str">
        <f t="shared" si="217"/>
        <v/>
      </c>
      <c r="TFV30" t="str">
        <f t="shared" si="217"/>
        <v/>
      </c>
      <c r="TFW30" t="str">
        <f t="shared" si="217"/>
        <v/>
      </c>
      <c r="TFX30" t="str">
        <f t="shared" si="217"/>
        <v/>
      </c>
      <c r="TFY30" t="str">
        <f t="shared" si="217"/>
        <v/>
      </c>
      <c r="TFZ30" t="str">
        <f t="shared" si="217"/>
        <v/>
      </c>
      <c r="TGA30" t="str">
        <f t="shared" si="217"/>
        <v/>
      </c>
      <c r="TGB30" t="str">
        <f t="shared" si="217"/>
        <v/>
      </c>
      <c r="TGC30" t="str">
        <f t="shared" si="217"/>
        <v/>
      </c>
      <c r="TGD30" t="str">
        <f t="shared" si="217"/>
        <v/>
      </c>
      <c r="TGE30" t="str">
        <f t="shared" si="217"/>
        <v/>
      </c>
      <c r="TGF30" t="str">
        <f t="shared" si="217"/>
        <v/>
      </c>
      <c r="TGG30" t="str">
        <f t="shared" si="217"/>
        <v/>
      </c>
      <c r="TGH30" t="str">
        <f t="shared" si="217"/>
        <v/>
      </c>
      <c r="TGI30" t="str">
        <f t="shared" si="217"/>
        <v/>
      </c>
      <c r="TGJ30" t="str">
        <f t="shared" ref="TGJ30:TIU30" si="218">TRIM(TGV11)</f>
        <v/>
      </c>
      <c r="TGK30" t="str">
        <f t="shared" si="218"/>
        <v/>
      </c>
      <c r="TGL30" t="str">
        <f t="shared" si="218"/>
        <v/>
      </c>
      <c r="TGM30" t="str">
        <f t="shared" si="218"/>
        <v/>
      </c>
      <c r="TGN30" t="str">
        <f t="shared" si="218"/>
        <v/>
      </c>
      <c r="TGO30" t="str">
        <f t="shared" si="218"/>
        <v/>
      </c>
      <c r="TGP30" t="str">
        <f t="shared" si="218"/>
        <v/>
      </c>
      <c r="TGQ30" t="str">
        <f t="shared" si="218"/>
        <v/>
      </c>
      <c r="TGR30" t="str">
        <f t="shared" si="218"/>
        <v/>
      </c>
      <c r="TGS30" t="str">
        <f t="shared" si="218"/>
        <v/>
      </c>
      <c r="TGT30" t="str">
        <f t="shared" si="218"/>
        <v/>
      </c>
      <c r="TGU30" t="str">
        <f t="shared" si="218"/>
        <v/>
      </c>
      <c r="TGV30" t="str">
        <f t="shared" si="218"/>
        <v/>
      </c>
      <c r="TGW30" t="str">
        <f t="shared" si="218"/>
        <v/>
      </c>
      <c r="TGX30" t="str">
        <f t="shared" si="218"/>
        <v/>
      </c>
      <c r="TGY30" t="str">
        <f t="shared" si="218"/>
        <v/>
      </c>
      <c r="TGZ30" t="str">
        <f t="shared" si="218"/>
        <v/>
      </c>
      <c r="THA30" t="str">
        <f t="shared" si="218"/>
        <v/>
      </c>
      <c r="THB30" t="str">
        <f t="shared" si="218"/>
        <v/>
      </c>
      <c r="THC30" t="str">
        <f t="shared" si="218"/>
        <v/>
      </c>
      <c r="THD30" t="str">
        <f t="shared" si="218"/>
        <v/>
      </c>
      <c r="THE30" t="str">
        <f t="shared" si="218"/>
        <v/>
      </c>
      <c r="THF30" t="str">
        <f t="shared" si="218"/>
        <v/>
      </c>
      <c r="THG30" t="str">
        <f t="shared" si="218"/>
        <v/>
      </c>
      <c r="THH30" t="str">
        <f t="shared" si="218"/>
        <v/>
      </c>
      <c r="THI30" t="str">
        <f t="shared" si="218"/>
        <v/>
      </c>
      <c r="THJ30" t="str">
        <f t="shared" si="218"/>
        <v/>
      </c>
      <c r="THK30" t="str">
        <f t="shared" si="218"/>
        <v/>
      </c>
      <c r="THL30" t="str">
        <f t="shared" si="218"/>
        <v/>
      </c>
      <c r="THM30" t="str">
        <f t="shared" si="218"/>
        <v/>
      </c>
      <c r="THN30" t="str">
        <f t="shared" si="218"/>
        <v/>
      </c>
      <c r="THO30" t="str">
        <f t="shared" si="218"/>
        <v/>
      </c>
      <c r="THP30" t="str">
        <f t="shared" si="218"/>
        <v/>
      </c>
      <c r="THQ30" t="str">
        <f t="shared" si="218"/>
        <v/>
      </c>
      <c r="THR30" t="str">
        <f t="shared" si="218"/>
        <v/>
      </c>
      <c r="THS30" t="str">
        <f t="shared" si="218"/>
        <v/>
      </c>
      <c r="THT30" t="str">
        <f t="shared" si="218"/>
        <v/>
      </c>
      <c r="THU30" t="str">
        <f t="shared" si="218"/>
        <v/>
      </c>
      <c r="THV30" t="str">
        <f t="shared" si="218"/>
        <v/>
      </c>
      <c r="THW30" t="str">
        <f t="shared" si="218"/>
        <v/>
      </c>
      <c r="THX30" t="str">
        <f t="shared" si="218"/>
        <v/>
      </c>
      <c r="THY30" t="str">
        <f t="shared" si="218"/>
        <v/>
      </c>
      <c r="THZ30" t="str">
        <f t="shared" si="218"/>
        <v/>
      </c>
      <c r="TIA30" t="str">
        <f t="shared" si="218"/>
        <v/>
      </c>
      <c r="TIB30" t="str">
        <f t="shared" si="218"/>
        <v/>
      </c>
      <c r="TIC30" t="str">
        <f t="shared" si="218"/>
        <v/>
      </c>
      <c r="TID30" t="str">
        <f t="shared" si="218"/>
        <v/>
      </c>
      <c r="TIE30" t="str">
        <f t="shared" si="218"/>
        <v/>
      </c>
      <c r="TIF30" t="str">
        <f t="shared" si="218"/>
        <v/>
      </c>
      <c r="TIG30" t="str">
        <f t="shared" si="218"/>
        <v/>
      </c>
      <c r="TIH30" t="str">
        <f t="shared" si="218"/>
        <v/>
      </c>
      <c r="TII30" t="str">
        <f t="shared" si="218"/>
        <v/>
      </c>
      <c r="TIJ30" t="str">
        <f t="shared" si="218"/>
        <v/>
      </c>
      <c r="TIK30" t="str">
        <f t="shared" si="218"/>
        <v/>
      </c>
      <c r="TIL30" t="str">
        <f t="shared" si="218"/>
        <v/>
      </c>
      <c r="TIM30" t="str">
        <f t="shared" si="218"/>
        <v/>
      </c>
      <c r="TIN30" t="str">
        <f t="shared" si="218"/>
        <v/>
      </c>
      <c r="TIO30" t="str">
        <f t="shared" si="218"/>
        <v/>
      </c>
      <c r="TIP30" t="str">
        <f t="shared" si="218"/>
        <v/>
      </c>
      <c r="TIQ30" t="str">
        <f t="shared" si="218"/>
        <v/>
      </c>
      <c r="TIR30" t="str">
        <f t="shared" si="218"/>
        <v/>
      </c>
      <c r="TIS30" t="str">
        <f t="shared" si="218"/>
        <v/>
      </c>
      <c r="TIT30" t="str">
        <f t="shared" si="218"/>
        <v/>
      </c>
      <c r="TIU30" t="str">
        <f t="shared" si="218"/>
        <v/>
      </c>
      <c r="TIV30" t="str">
        <f t="shared" ref="TIV30:TLG30" si="219">TRIM(TJH11)</f>
        <v/>
      </c>
      <c r="TIW30" t="str">
        <f t="shared" si="219"/>
        <v/>
      </c>
      <c r="TIX30" t="str">
        <f t="shared" si="219"/>
        <v/>
      </c>
      <c r="TIY30" t="str">
        <f t="shared" si="219"/>
        <v/>
      </c>
      <c r="TIZ30" t="str">
        <f t="shared" si="219"/>
        <v/>
      </c>
      <c r="TJA30" t="str">
        <f t="shared" si="219"/>
        <v/>
      </c>
      <c r="TJB30" t="str">
        <f t="shared" si="219"/>
        <v/>
      </c>
      <c r="TJC30" t="str">
        <f t="shared" si="219"/>
        <v/>
      </c>
      <c r="TJD30" t="str">
        <f t="shared" si="219"/>
        <v/>
      </c>
      <c r="TJE30" t="str">
        <f t="shared" si="219"/>
        <v/>
      </c>
      <c r="TJF30" t="str">
        <f t="shared" si="219"/>
        <v/>
      </c>
      <c r="TJG30" t="str">
        <f t="shared" si="219"/>
        <v/>
      </c>
      <c r="TJH30" t="str">
        <f t="shared" si="219"/>
        <v/>
      </c>
      <c r="TJI30" t="str">
        <f t="shared" si="219"/>
        <v/>
      </c>
      <c r="TJJ30" t="str">
        <f t="shared" si="219"/>
        <v/>
      </c>
      <c r="TJK30" t="str">
        <f t="shared" si="219"/>
        <v/>
      </c>
      <c r="TJL30" t="str">
        <f t="shared" si="219"/>
        <v/>
      </c>
      <c r="TJM30" t="str">
        <f t="shared" si="219"/>
        <v/>
      </c>
      <c r="TJN30" t="str">
        <f t="shared" si="219"/>
        <v/>
      </c>
      <c r="TJO30" t="str">
        <f t="shared" si="219"/>
        <v/>
      </c>
      <c r="TJP30" t="str">
        <f t="shared" si="219"/>
        <v/>
      </c>
      <c r="TJQ30" t="str">
        <f t="shared" si="219"/>
        <v/>
      </c>
      <c r="TJR30" t="str">
        <f t="shared" si="219"/>
        <v/>
      </c>
      <c r="TJS30" t="str">
        <f t="shared" si="219"/>
        <v/>
      </c>
      <c r="TJT30" t="str">
        <f t="shared" si="219"/>
        <v/>
      </c>
      <c r="TJU30" t="str">
        <f t="shared" si="219"/>
        <v/>
      </c>
      <c r="TJV30" t="str">
        <f t="shared" si="219"/>
        <v/>
      </c>
      <c r="TJW30" t="str">
        <f t="shared" si="219"/>
        <v/>
      </c>
      <c r="TJX30" t="str">
        <f t="shared" si="219"/>
        <v/>
      </c>
      <c r="TJY30" t="str">
        <f t="shared" si="219"/>
        <v/>
      </c>
      <c r="TJZ30" t="str">
        <f t="shared" si="219"/>
        <v/>
      </c>
      <c r="TKA30" t="str">
        <f t="shared" si="219"/>
        <v/>
      </c>
      <c r="TKB30" t="str">
        <f t="shared" si="219"/>
        <v/>
      </c>
      <c r="TKC30" t="str">
        <f t="shared" si="219"/>
        <v/>
      </c>
      <c r="TKD30" t="str">
        <f t="shared" si="219"/>
        <v/>
      </c>
      <c r="TKE30" t="str">
        <f t="shared" si="219"/>
        <v/>
      </c>
      <c r="TKF30" t="str">
        <f t="shared" si="219"/>
        <v/>
      </c>
      <c r="TKG30" t="str">
        <f t="shared" si="219"/>
        <v/>
      </c>
      <c r="TKH30" t="str">
        <f t="shared" si="219"/>
        <v/>
      </c>
      <c r="TKI30" t="str">
        <f t="shared" si="219"/>
        <v/>
      </c>
      <c r="TKJ30" t="str">
        <f t="shared" si="219"/>
        <v/>
      </c>
      <c r="TKK30" t="str">
        <f t="shared" si="219"/>
        <v/>
      </c>
      <c r="TKL30" t="str">
        <f t="shared" si="219"/>
        <v/>
      </c>
      <c r="TKM30" t="str">
        <f t="shared" si="219"/>
        <v/>
      </c>
      <c r="TKN30" t="str">
        <f t="shared" si="219"/>
        <v/>
      </c>
      <c r="TKO30" t="str">
        <f t="shared" si="219"/>
        <v/>
      </c>
      <c r="TKP30" t="str">
        <f t="shared" si="219"/>
        <v/>
      </c>
      <c r="TKQ30" t="str">
        <f t="shared" si="219"/>
        <v/>
      </c>
      <c r="TKR30" t="str">
        <f t="shared" si="219"/>
        <v/>
      </c>
      <c r="TKS30" t="str">
        <f t="shared" si="219"/>
        <v/>
      </c>
      <c r="TKT30" t="str">
        <f t="shared" si="219"/>
        <v/>
      </c>
      <c r="TKU30" t="str">
        <f t="shared" si="219"/>
        <v/>
      </c>
      <c r="TKV30" t="str">
        <f t="shared" si="219"/>
        <v/>
      </c>
      <c r="TKW30" t="str">
        <f t="shared" si="219"/>
        <v/>
      </c>
      <c r="TKX30" t="str">
        <f t="shared" si="219"/>
        <v/>
      </c>
      <c r="TKY30" t="str">
        <f t="shared" si="219"/>
        <v/>
      </c>
      <c r="TKZ30" t="str">
        <f t="shared" si="219"/>
        <v/>
      </c>
      <c r="TLA30" t="str">
        <f t="shared" si="219"/>
        <v/>
      </c>
      <c r="TLB30" t="str">
        <f t="shared" si="219"/>
        <v/>
      </c>
      <c r="TLC30" t="str">
        <f t="shared" si="219"/>
        <v/>
      </c>
      <c r="TLD30" t="str">
        <f t="shared" si="219"/>
        <v/>
      </c>
      <c r="TLE30" t="str">
        <f t="shared" si="219"/>
        <v/>
      </c>
      <c r="TLF30" t="str">
        <f t="shared" si="219"/>
        <v/>
      </c>
      <c r="TLG30" t="str">
        <f t="shared" si="219"/>
        <v/>
      </c>
      <c r="TLH30" t="str">
        <f t="shared" ref="TLH30:TNS30" si="220">TRIM(TLT11)</f>
        <v/>
      </c>
      <c r="TLI30" t="str">
        <f t="shared" si="220"/>
        <v/>
      </c>
      <c r="TLJ30" t="str">
        <f t="shared" si="220"/>
        <v/>
      </c>
      <c r="TLK30" t="str">
        <f t="shared" si="220"/>
        <v/>
      </c>
      <c r="TLL30" t="str">
        <f t="shared" si="220"/>
        <v/>
      </c>
      <c r="TLM30" t="str">
        <f t="shared" si="220"/>
        <v/>
      </c>
      <c r="TLN30" t="str">
        <f t="shared" si="220"/>
        <v/>
      </c>
      <c r="TLO30" t="str">
        <f t="shared" si="220"/>
        <v/>
      </c>
      <c r="TLP30" t="str">
        <f t="shared" si="220"/>
        <v/>
      </c>
      <c r="TLQ30" t="str">
        <f t="shared" si="220"/>
        <v/>
      </c>
      <c r="TLR30" t="str">
        <f t="shared" si="220"/>
        <v/>
      </c>
      <c r="TLS30" t="str">
        <f t="shared" si="220"/>
        <v/>
      </c>
      <c r="TLT30" t="str">
        <f t="shared" si="220"/>
        <v/>
      </c>
      <c r="TLU30" t="str">
        <f t="shared" si="220"/>
        <v/>
      </c>
      <c r="TLV30" t="str">
        <f t="shared" si="220"/>
        <v/>
      </c>
      <c r="TLW30" t="str">
        <f t="shared" si="220"/>
        <v/>
      </c>
      <c r="TLX30" t="str">
        <f t="shared" si="220"/>
        <v/>
      </c>
      <c r="TLY30" t="str">
        <f t="shared" si="220"/>
        <v/>
      </c>
      <c r="TLZ30" t="str">
        <f t="shared" si="220"/>
        <v/>
      </c>
      <c r="TMA30" t="str">
        <f t="shared" si="220"/>
        <v/>
      </c>
      <c r="TMB30" t="str">
        <f t="shared" si="220"/>
        <v/>
      </c>
      <c r="TMC30" t="str">
        <f t="shared" si="220"/>
        <v/>
      </c>
      <c r="TMD30" t="str">
        <f t="shared" si="220"/>
        <v/>
      </c>
      <c r="TME30" t="str">
        <f t="shared" si="220"/>
        <v/>
      </c>
      <c r="TMF30" t="str">
        <f t="shared" si="220"/>
        <v/>
      </c>
      <c r="TMG30" t="str">
        <f t="shared" si="220"/>
        <v/>
      </c>
      <c r="TMH30" t="str">
        <f t="shared" si="220"/>
        <v/>
      </c>
      <c r="TMI30" t="str">
        <f t="shared" si="220"/>
        <v/>
      </c>
      <c r="TMJ30" t="str">
        <f t="shared" si="220"/>
        <v/>
      </c>
      <c r="TMK30" t="str">
        <f t="shared" si="220"/>
        <v/>
      </c>
      <c r="TML30" t="str">
        <f t="shared" si="220"/>
        <v/>
      </c>
      <c r="TMM30" t="str">
        <f t="shared" si="220"/>
        <v/>
      </c>
      <c r="TMN30" t="str">
        <f t="shared" si="220"/>
        <v/>
      </c>
      <c r="TMO30" t="str">
        <f t="shared" si="220"/>
        <v/>
      </c>
      <c r="TMP30" t="str">
        <f t="shared" si="220"/>
        <v/>
      </c>
      <c r="TMQ30" t="str">
        <f t="shared" si="220"/>
        <v/>
      </c>
      <c r="TMR30" t="str">
        <f t="shared" si="220"/>
        <v/>
      </c>
      <c r="TMS30" t="str">
        <f t="shared" si="220"/>
        <v/>
      </c>
      <c r="TMT30" t="str">
        <f t="shared" si="220"/>
        <v/>
      </c>
      <c r="TMU30" t="str">
        <f t="shared" si="220"/>
        <v/>
      </c>
      <c r="TMV30" t="str">
        <f t="shared" si="220"/>
        <v/>
      </c>
      <c r="TMW30" t="str">
        <f t="shared" si="220"/>
        <v/>
      </c>
      <c r="TMX30" t="str">
        <f t="shared" si="220"/>
        <v/>
      </c>
      <c r="TMY30" t="str">
        <f t="shared" si="220"/>
        <v/>
      </c>
      <c r="TMZ30" t="str">
        <f t="shared" si="220"/>
        <v/>
      </c>
      <c r="TNA30" t="str">
        <f t="shared" si="220"/>
        <v/>
      </c>
      <c r="TNB30" t="str">
        <f t="shared" si="220"/>
        <v/>
      </c>
      <c r="TNC30" t="str">
        <f t="shared" si="220"/>
        <v/>
      </c>
      <c r="TND30" t="str">
        <f t="shared" si="220"/>
        <v/>
      </c>
      <c r="TNE30" t="str">
        <f t="shared" si="220"/>
        <v/>
      </c>
      <c r="TNF30" t="str">
        <f t="shared" si="220"/>
        <v/>
      </c>
      <c r="TNG30" t="str">
        <f t="shared" si="220"/>
        <v/>
      </c>
      <c r="TNH30" t="str">
        <f t="shared" si="220"/>
        <v/>
      </c>
      <c r="TNI30" t="str">
        <f t="shared" si="220"/>
        <v/>
      </c>
      <c r="TNJ30" t="str">
        <f t="shared" si="220"/>
        <v/>
      </c>
      <c r="TNK30" t="str">
        <f t="shared" si="220"/>
        <v/>
      </c>
      <c r="TNL30" t="str">
        <f t="shared" si="220"/>
        <v/>
      </c>
      <c r="TNM30" t="str">
        <f t="shared" si="220"/>
        <v/>
      </c>
      <c r="TNN30" t="str">
        <f t="shared" si="220"/>
        <v/>
      </c>
      <c r="TNO30" t="str">
        <f t="shared" si="220"/>
        <v/>
      </c>
      <c r="TNP30" t="str">
        <f t="shared" si="220"/>
        <v/>
      </c>
      <c r="TNQ30" t="str">
        <f t="shared" si="220"/>
        <v/>
      </c>
      <c r="TNR30" t="str">
        <f t="shared" si="220"/>
        <v/>
      </c>
      <c r="TNS30" t="str">
        <f t="shared" si="220"/>
        <v/>
      </c>
      <c r="TNT30" t="str">
        <f t="shared" ref="TNT30:TQE30" si="221">TRIM(TOF11)</f>
        <v/>
      </c>
      <c r="TNU30" t="str">
        <f t="shared" si="221"/>
        <v/>
      </c>
      <c r="TNV30" t="str">
        <f t="shared" si="221"/>
        <v/>
      </c>
      <c r="TNW30" t="str">
        <f t="shared" si="221"/>
        <v/>
      </c>
      <c r="TNX30" t="str">
        <f t="shared" si="221"/>
        <v/>
      </c>
      <c r="TNY30" t="str">
        <f t="shared" si="221"/>
        <v/>
      </c>
      <c r="TNZ30" t="str">
        <f t="shared" si="221"/>
        <v/>
      </c>
      <c r="TOA30" t="str">
        <f t="shared" si="221"/>
        <v/>
      </c>
      <c r="TOB30" t="str">
        <f t="shared" si="221"/>
        <v/>
      </c>
      <c r="TOC30" t="str">
        <f t="shared" si="221"/>
        <v/>
      </c>
      <c r="TOD30" t="str">
        <f t="shared" si="221"/>
        <v/>
      </c>
      <c r="TOE30" t="str">
        <f t="shared" si="221"/>
        <v/>
      </c>
      <c r="TOF30" t="str">
        <f t="shared" si="221"/>
        <v/>
      </c>
      <c r="TOG30" t="str">
        <f t="shared" si="221"/>
        <v/>
      </c>
      <c r="TOH30" t="str">
        <f t="shared" si="221"/>
        <v/>
      </c>
      <c r="TOI30" t="str">
        <f t="shared" si="221"/>
        <v/>
      </c>
      <c r="TOJ30" t="str">
        <f t="shared" si="221"/>
        <v/>
      </c>
      <c r="TOK30" t="str">
        <f t="shared" si="221"/>
        <v/>
      </c>
      <c r="TOL30" t="str">
        <f t="shared" si="221"/>
        <v/>
      </c>
      <c r="TOM30" t="str">
        <f t="shared" si="221"/>
        <v/>
      </c>
      <c r="TON30" t="str">
        <f t="shared" si="221"/>
        <v/>
      </c>
      <c r="TOO30" t="str">
        <f t="shared" si="221"/>
        <v/>
      </c>
      <c r="TOP30" t="str">
        <f t="shared" si="221"/>
        <v/>
      </c>
      <c r="TOQ30" t="str">
        <f t="shared" si="221"/>
        <v/>
      </c>
      <c r="TOR30" t="str">
        <f t="shared" si="221"/>
        <v/>
      </c>
      <c r="TOS30" t="str">
        <f t="shared" si="221"/>
        <v/>
      </c>
      <c r="TOT30" t="str">
        <f t="shared" si="221"/>
        <v/>
      </c>
      <c r="TOU30" t="str">
        <f t="shared" si="221"/>
        <v/>
      </c>
      <c r="TOV30" t="str">
        <f t="shared" si="221"/>
        <v/>
      </c>
      <c r="TOW30" t="str">
        <f t="shared" si="221"/>
        <v/>
      </c>
      <c r="TOX30" t="str">
        <f t="shared" si="221"/>
        <v/>
      </c>
      <c r="TOY30" t="str">
        <f t="shared" si="221"/>
        <v/>
      </c>
      <c r="TOZ30" t="str">
        <f t="shared" si="221"/>
        <v/>
      </c>
      <c r="TPA30" t="str">
        <f t="shared" si="221"/>
        <v/>
      </c>
      <c r="TPB30" t="str">
        <f t="shared" si="221"/>
        <v/>
      </c>
      <c r="TPC30" t="str">
        <f t="shared" si="221"/>
        <v/>
      </c>
      <c r="TPD30" t="str">
        <f t="shared" si="221"/>
        <v/>
      </c>
      <c r="TPE30" t="str">
        <f t="shared" si="221"/>
        <v/>
      </c>
      <c r="TPF30" t="str">
        <f t="shared" si="221"/>
        <v/>
      </c>
      <c r="TPG30" t="str">
        <f t="shared" si="221"/>
        <v/>
      </c>
      <c r="TPH30" t="str">
        <f t="shared" si="221"/>
        <v/>
      </c>
      <c r="TPI30" t="str">
        <f t="shared" si="221"/>
        <v/>
      </c>
      <c r="TPJ30" t="str">
        <f t="shared" si="221"/>
        <v/>
      </c>
      <c r="TPK30" t="str">
        <f t="shared" si="221"/>
        <v/>
      </c>
      <c r="TPL30" t="str">
        <f t="shared" si="221"/>
        <v/>
      </c>
      <c r="TPM30" t="str">
        <f t="shared" si="221"/>
        <v/>
      </c>
      <c r="TPN30" t="str">
        <f t="shared" si="221"/>
        <v/>
      </c>
      <c r="TPO30" t="str">
        <f t="shared" si="221"/>
        <v/>
      </c>
      <c r="TPP30" t="str">
        <f t="shared" si="221"/>
        <v/>
      </c>
      <c r="TPQ30" t="str">
        <f t="shared" si="221"/>
        <v/>
      </c>
      <c r="TPR30" t="str">
        <f t="shared" si="221"/>
        <v/>
      </c>
      <c r="TPS30" t="str">
        <f t="shared" si="221"/>
        <v/>
      </c>
      <c r="TPT30" t="str">
        <f t="shared" si="221"/>
        <v/>
      </c>
      <c r="TPU30" t="str">
        <f t="shared" si="221"/>
        <v/>
      </c>
      <c r="TPV30" t="str">
        <f t="shared" si="221"/>
        <v/>
      </c>
      <c r="TPW30" t="str">
        <f t="shared" si="221"/>
        <v/>
      </c>
      <c r="TPX30" t="str">
        <f t="shared" si="221"/>
        <v/>
      </c>
      <c r="TPY30" t="str">
        <f t="shared" si="221"/>
        <v/>
      </c>
      <c r="TPZ30" t="str">
        <f t="shared" si="221"/>
        <v/>
      </c>
      <c r="TQA30" t="str">
        <f t="shared" si="221"/>
        <v/>
      </c>
      <c r="TQB30" t="str">
        <f t="shared" si="221"/>
        <v/>
      </c>
      <c r="TQC30" t="str">
        <f t="shared" si="221"/>
        <v/>
      </c>
      <c r="TQD30" t="str">
        <f t="shared" si="221"/>
        <v/>
      </c>
      <c r="TQE30" t="str">
        <f t="shared" si="221"/>
        <v/>
      </c>
      <c r="TQF30" t="str">
        <f t="shared" ref="TQF30:TSQ30" si="222">TRIM(TQR11)</f>
        <v/>
      </c>
      <c r="TQG30" t="str">
        <f t="shared" si="222"/>
        <v/>
      </c>
      <c r="TQH30" t="str">
        <f t="shared" si="222"/>
        <v/>
      </c>
      <c r="TQI30" t="str">
        <f t="shared" si="222"/>
        <v/>
      </c>
      <c r="TQJ30" t="str">
        <f t="shared" si="222"/>
        <v/>
      </c>
      <c r="TQK30" t="str">
        <f t="shared" si="222"/>
        <v/>
      </c>
      <c r="TQL30" t="str">
        <f t="shared" si="222"/>
        <v/>
      </c>
      <c r="TQM30" t="str">
        <f t="shared" si="222"/>
        <v/>
      </c>
      <c r="TQN30" t="str">
        <f t="shared" si="222"/>
        <v/>
      </c>
      <c r="TQO30" t="str">
        <f t="shared" si="222"/>
        <v/>
      </c>
      <c r="TQP30" t="str">
        <f t="shared" si="222"/>
        <v/>
      </c>
      <c r="TQQ30" t="str">
        <f t="shared" si="222"/>
        <v/>
      </c>
      <c r="TQR30" t="str">
        <f t="shared" si="222"/>
        <v/>
      </c>
      <c r="TQS30" t="str">
        <f t="shared" si="222"/>
        <v/>
      </c>
      <c r="TQT30" t="str">
        <f t="shared" si="222"/>
        <v/>
      </c>
      <c r="TQU30" t="str">
        <f t="shared" si="222"/>
        <v/>
      </c>
      <c r="TQV30" t="str">
        <f t="shared" si="222"/>
        <v/>
      </c>
      <c r="TQW30" t="str">
        <f t="shared" si="222"/>
        <v/>
      </c>
      <c r="TQX30" t="str">
        <f t="shared" si="222"/>
        <v/>
      </c>
      <c r="TQY30" t="str">
        <f t="shared" si="222"/>
        <v/>
      </c>
      <c r="TQZ30" t="str">
        <f t="shared" si="222"/>
        <v/>
      </c>
      <c r="TRA30" t="str">
        <f t="shared" si="222"/>
        <v/>
      </c>
      <c r="TRB30" t="str">
        <f t="shared" si="222"/>
        <v/>
      </c>
      <c r="TRC30" t="str">
        <f t="shared" si="222"/>
        <v/>
      </c>
      <c r="TRD30" t="str">
        <f t="shared" si="222"/>
        <v/>
      </c>
      <c r="TRE30" t="str">
        <f t="shared" si="222"/>
        <v/>
      </c>
      <c r="TRF30" t="str">
        <f t="shared" si="222"/>
        <v/>
      </c>
      <c r="TRG30" t="str">
        <f t="shared" si="222"/>
        <v/>
      </c>
      <c r="TRH30" t="str">
        <f t="shared" si="222"/>
        <v/>
      </c>
      <c r="TRI30" t="str">
        <f t="shared" si="222"/>
        <v/>
      </c>
      <c r="TRJ30" t="str">
        <f t="shared" si="222"/>
        <v/>
      </c>
      <c r="TRK30" t="str">
        <f t="shared" si="222"/>
        <v/>
      </c>
      <c r="TRL30" t="str">
        <f t="shared" si="222"/>
        <v/>
      </c>
      <c r="TRM30" t="str">
        <f t="shared" si="222"/>
        <v/>
      </c>
      <c r="TRN30" t="str">
        <f t="shared" si="222"/>
        <v/>
      </c>
      <c r="TRO30" t="str">
        <f t="shared" si="222"/>
        <v/>
      </c>
      <c r="TRP30" t="str">
        <f t="shared" si="222"/>
        <v/>
      </c>
      <c r="TRQ30" t="str">
        <f t="shared" si="222"/>
        <v/>
      </c>
      <c r="TRR30" t="str">
        <f t="shared" si="222"/>
        <v/>
      </c>
      <c r="TRS30" t="str">
        <f t="shared" si="222"/>
        <v/>
      </c>
      <c r="TRT30" t="str">
        <f t="shared" si="222"/>
        <v/>
      </c>
      <c r="TRU30" t="str">
        <f t="shared" si="222"/>
        <v/>
      </c>
      <c r="TRV30" t="str">
        <f t="shared" si="222"/>
        <v/>
      </c>
      <c r="TRW30" t="str">
        <f t="shared" si="222"/>
        <v/>
      </c>
      <c r="TRX30" t="str">
        <f t="shared" si="222"/>
        <v/>
      </c>
      <c r="TRY30" t="str">
        <f t="shared" si="222"/>
        <v/>
      </c>
      <c r="TRZ30" t="str">
        <f t="shared" si="222"/>
        <v/>
      </c>
      <c r="TSA30" t="str">
        <f t="shared" si="222"/>
        <v/>
      </c>
      <c r="TSB30" t="str">
        <f t="shared" si="222"/>
        <v/>
      </c>
      <c r="TSC30" t="str">
        <f t="shared" si="222"/>
        <v/>
      </c>
      <c r="TSD30" t="str">
        <f t="shared" si="222"/>
        <v/>
      </c>
      <c r="TSE30" t="str">
        <f t="shared" si="222"/>
        <v/>
      </c>
      <c r="TSF30" t="str">
        <f t="shared" si="222"/>
        <v/>
      </c>
      <c r="TSG30" t="str">
        <f t="shared" si="222"/>
        <v/>
      </c>
      <c r="TSH30" t="str">
        <f t="shared" si="222"/>
        <v/>
      </c>
      <c r="TSI30" t="str">
        <f t="shared" si="222"/>
        <v/>
      </c>
      <c r="TSJ30" t="str">
        <f t="shared" si="222"/>
        <v/>
      </c>
      <c r="TSK30" t="str">
        <f t="shared" si="222"/>
        <v/>
      </c>
      <c r="TSL30" t="str">
        <f t="shared" si="222"/>
        <v/>
      </c>
      <c r="TSM30" t="str">
        <f t="shared" si="222"/>
        <v/>
      </c>
      <c r="TSN30" t="str">
        <f t="shared" si="222"/>
        <v/>
      </c>
      <c r="TSO30" t="str">
        <f t="shared" si="222"/>
        <v/>
      </c>
      <c r="TSP30" t="str">
        <f t="shared" si="222"/>
        <v/>
      </c>
      <c r="TSQ30" t="str">
        <f t="shared" si="222"/>
        <v/>
      </c>
      <c r="TSR30" t="str">
        <f t="shared" ref="TSR30:TVC30" si="223">TRIM(TTD11)</f>
        <v/>
      </c>
      <c r="TSS30" t="str">
        <f t="shared" si="223"/>
        <v/>
      </c>
      <c r="TST30" t="str">
        <f t="shared" si="223"/>
        <v/>
      </c>
      <c r="TSU30" t="str">
        <f t="shared" si="223"/>
        <v/>
      </c>
      <c r="TSV30" t="str">
        <f t="shared" si="223"/>
        <v/>
      </c>
      <c r="TSW30" t="str">
        <f t="shared" si="223"/>
        <v/>
      </c>
      <c r="TSX30" t="str">
        <f t="shared" si="223"/>
        <v/>
      </c>
      <c r="TSY30" t="str">
        <f t="shared" si="223"/>
        <v/>
      </c>
      <c r="TSZ30" t="str">
        <f t="shared" si="223"/>
        <v/>
      </c>
      <c r="TTA30" t="str">
        <f t="shared" si="223"/>
        <v/>
      </c>
      <c r="TTB30" t="str">
        <f t="shared" si="223"/>
        <v/>
      </c>
      <c r="TTC30" t="str">
        <f t="shared" si="223"/>
        <v/>
      </c>
      <c r="TTD30" t="str">
        <f t="shared" si="223"/>
        <v/>
      </c>
      <c r="TTE30" t="str">
        <f t="shared" si="223"/>
        <v/>
      </c>
      <c r="TTF30" t="str">
        <f t="shared" si="223"/>
        <v/>
      </c>
      <c r="TTG30" t="str">
        <f t="shared" si="223"/>
        <v/>
      </c>
      <c r="TTH30" t="str">
        <f t="shared" si="223"/>
        <v/>
      </c>
      <c r="TTI30" t="str">
        <f t="shared" si="223"/>
        <v/>
      </c>
      <c r="TTJ30" t="str">
        <f t="shared" si="223"/>
        <v/>
      </c>
      <c r="TTK30" t="str">
        <f t="shared" si="223"/>
        <v/>
      </c>
      <c r="TTL30" t="str">
        <f t="shared" si="223"/>
        <v/>
      </c>
      <c r="TTM30" t="str">
        <f t="shared" si="223"/>
        <v/>
      </c>
      <c r="TTN30" t="str">
        <f t="shared" si="223"/>
        <v/>
      </c>
      <c r="TTO30" t="str">
        <f t="shared" si="223"/>
        <v/>
      </c>
      <c r="TTP30" t="str">
        <f t="shared" si="223"/>
        <v/>
      </c>
      <c r="TTQ30" t="str">
        <f t="shared" si="223"/>
        <v/>
      </c>
      <c r="TTR30" t="str">
        <f t="shared" si="223"/>
        <v/>
      </c>
      <c r="TTS30" t="str">
        <f t="shared" si="223"/>
        <v/>
      </c>
      <c r="TTT30" t="str">
        <f t="shared" si="223"/>
        <v/>
      </c>
      <c r="TTU30" t="str">
        <f t="shared" si="223"/>
        <v/>
      </c>
      <c r="TTV30" t="str">
        <f t="shared" si="223"/>
        <v/>
      </c>
      <c r="TTW30" t="str">
        <f t="shared" si="223"/>
        <v/>
      </c>
      <c r="TTX30" t="str">
        <f t="shared" si="223"/>
        <v/>
      </c>
      <c r="TTY30" t="str">
        <f t="shared" si="223"/>
        <v/>
      </c>
      <c r="TTZ30" t="str">
        <f t="shared" si="223"/>
        <v/>
      </c>
      <c r="TUA30" t="str">
        <f t="shared" si="223"/>
        <v/>
      </c>
      <c r="TUB30" t="str">
        <f t="shared" si="223"/>
        <v/>
      </c>
      <c r="TUC30" t="str">
        <f t="shared" si="223"/>
        <v/>
      </c>
      <c r="TUD30" t="str">
        <f t="shared" si="223"/>
        <v/>
      </c>
      <c r="TUE30" t="str">
        <f t="shared" si="223"/>
        <v/>
      </c>
      <c r="TUF30" t="str">
        <f t="shared" si="223"/>
        <v/>
      </c>
      <c r="TUG30" t="str">
        <f t="shared" si="223"/>
        <v/>
      </c>
      <c r="TUH30" t="str">
        <f t="shared" si="223"/>
        <v/>
      </c>
      <c r="TUI30" t="str">
        <f t="shared" si="223"/>
        <v/>
      </c>
      <c r="TUJ30" t="str">
        <f t="shared" si="223"/>
        <v/>
      </c>
      <c r="TUK30" t="str">
        <f t="shared" si="223"/>
        <v/>
      </c>
      <c r="TUL30" t="str">
        <f t="shared" si="223"/>
        <v/>
      </c>
      <c r="TUM30" t="str">
        <f t="shared" si="223"/>
        <v/>
      </c>
      <c r="TUN30" t="str">
        <f t="shared" si="223"/>
        <v/>
      </c>
      <c r="TUO30" t="str">
        <f t="shared" si="223"/>
        <v/>
      </c>
      <c r="TUP30" t="str">
        <f t="shared" si="223"/>
        <v/>
      </c>
      <c r="TUQ30" t="str">
        <f t="shared" si="223"/>
        <v/>
      </c>
      <c r="TUR30" t="str">
        <f t="shared" si="223"/>
        <v/>
      </c>
      <c r="TUS30" t="str">
        <f t="shared" si="223"/>
        <v/>
      </c>
      <c r="TUT30" t="str">
        <f t="shared" si="223"/>
        <v/>
      </c>
      <c r="TUU30" t="str">
        <f t="shared" si="223"/>
        <v/>
      </c>
      <c r="TUV30" t="str">
        <f t="shared" si="223"/>
        <v/>
      </c>
      <c r="TUW30" t="str">
        <f t="shared" si="223"/>
        <v/>
      </c>
      <c r="TUX30" t="str">
        <f t="shared" si="223"/>
        <v/>
      </c>
      <c r="TUY30" t="str">
        <f t="shared" si="223"/>
        <v/>
      </c>
      <c r="TUZ30" t="str">
        <f t="shared" si="223"/>
        <v/>
      </c>
      <c r="TVA30" t="str">
        <f t="shared" si="223"/>
        <v/>
      </c>
      <c r="TVB30" t="str">
        <f t="shared" si="223"/>
        <v/>
      </c>
      <c r="TVC30" t="str">
        <f t="shared" si="223"/>
        <v/>
      </c>
      <c r="TVD30" t="str">
        <f t="shared" ref="TVD30:TXO30" si="224">TRIM(TVP11)</f>
        <v/>
      </c>
      <c r="TVE30" t="str">
        <f t="shared" si="224"/>
        <v/>
      </c>
      <c r="TVF30" t="str">
        <f t="shared" si="224"/>
        <v/>
      </c>
      <c r="TVG30" t="str">
        <f t="shared" si="224"/>
        <v/>
      </c>
      <c r="TVH30" t="str">
        <f t="shared" si="224"/>
        <v/>
      </c>
      <c r="TVI30" t="str">
        <f t="shared" si="224"/>
        <v/>
      </c>
      <c r="TVJ30" t="str">
        <f t="shared" si="224"/>
        <v/>
      </c>
      <c r="TVK30" t="str">
        <f t="shared" si="224"/>
        <v/>
      </c>
      <c r="TVL30" t="str">
        <f t="shared" si="224"/>
        <v/>
      </c>
      <c r="TVM30" t="str">
        <f t="shared" si="224"/>
        <v/>
      </c>
      <c r="TVN30" t="str">
        <f t="shared" si="224"/>
        <v/>
      </c>
      <c r="TVO30" t="str">
        <f t="shared" si="224"/>
        <v/>
      </c>
      <c r="TVP30" t="str">
        <f t="shared" si="224"/>
        <v/>
      </c>
      <c r="TVQ30" t="str">
        <f t="shared" si="224"/>
        <v/>
      </c>
      <c r="TVR30" t="str">
        <f t="shared" si="224"/>
        <v/>
      </c>
      <c r="TVS30" t="str">
        <f t="shared" si="224"/>
        <v/>
      </c>
      <c r="TVT30" t="str">
        <f t="shared" si="224"/>
        <v/>
      </c>
      <c r="TVU30" t="str">
        <f t="shared" si="224"/>
        <v/>
      </c>
      <c r="TVV30" t="str">
        <f t="shared" si="224"/>
        <v/>
      </c>
      <c r="TVW30" t="str">
        <f t="shared" si="224"/>
        <v/>
      </c>
      <c r="TVX30" t="str">
        <f t="shared" si="224"/>
        <v/>
      </c>
      <c r="TVY30" t="str">
        <f t="shared" si="224"/>
        <v/>
      </c>
      <c r="TVZ30" t="str">
        <f t="shared" si="224"/>
        <v/>
      </c>
      <c r="TWA30" t="str">
        <f t="shared" si="224"/>
        <v/>
      </c>
      <c r="TWB30" t="str">
        <f t="shared" si="224"/>
        <v/>
      </c>
      <c r="TWC30" t="str">
        <f t="shared" si="224"/>
        <v/>
      </c>
      <c r="TWD30" t="str">
        <f t="shared" si="224"/>
        <v/>
      </c>
      <c r="TWE30" t="str">
        <f t="shared" si="224"/>
        <v/>
      </c>
      <c r="TWF30" t="str">
        <f t="shared" si="224"/>
        <v/>
      </c>
      <c r="TWG30" t="str">
        <f t="shared" si="224"/>
        <v/>
      </c>
      <c r="TWH30" t="str">
        <f t="shared" si="224"/>
        <v/>
      </c>
      <c r="TWI30" t="str">
        <f t="shared" si="224"/>
        <v/>
      </c>
      <c r="TWJ30" t="str">
        <f t="shared" si="224"/>
        <v/>
      </c>
      <c r="TWK30" t="str">
        <f t="shared" si="224"/>
        <v/>
      </c>
      <c r="TWL30" t="str">
        <f t="shared" si="224"/>
        <v/>
      </c>
      <c r="TWM30" t="str">
        <f t="shared" si="224"/>
        <v/>
      </c>
      <c r="TWN30" t="str">
        <f t="shared" si="224"/>
        <v/>
      </c>
      <c r="TWO30" t="str">
        <f t="shared" si="224"/>
        <v/>
      </c>
      <c r="TWP30" t="str">
        <f t="shared" si="224"/>
        <v/>
      </c>
      <c r="TWQ30" t="str">
        <f t="shared" si="224"/>
        <v/>
      </c>
      <c r="TWR30" t="str">
        <f t="shared" si="224"/>
        <v/>
      </c>
      <c r="TWS30" t="str">
        <f t="shared" si="224"/>
        <v/>
      </c>
      <c r="TWT30" t="str">
        <f t="shared" si="224"/>
        <v/>
      </c>
      <c r="TWU30" t="str">
        <f t="shared" si="224"/>
        <v/>
      </c>
      <c r="TWV30" t="str">
        <f t="shared" si="224"/>
        <v/>
      </c>
      <c r="TWW30" t="str">
        <f t="shared" si="224"/>
        <v/>
      </c>
      <c r="TWX30" t="str">
        <f t="shared" si="224"/>
        <v/>
      </c>
      <c r="TWY30" t="str">
        <f t="shared" si="224"/>
        <v/>
      </c>
      <c r="TWZ30" t="str">
        <f t="shared" si="224"/>
        <v/>
      </c>
      <c r="TXA30" t="str">
        <f t="shared" si="224"/>
        <v/>
      </c>
      <c r="TXB30" t="str">
        <f t="shared" si="224"/>
        <v/>
      </c>
      <c r="TXC30" t="str">
        <f t="shared" si="224"/>
        <v/>
      </c>
      <c r="TXD30" t="str">
        <f t="shared" si="224"/>
        <v/>
      </c>
      <c r="TXE30" t="str">
        <f t="shared" si="224"/>
        <v/>
      </c>
      <c r="TXF30" t="str">
        <f t="shared" si="224"/>
        <v/>
      </c>
      <c r="TXG30" t="str">
        <f t="shared" si="224"/>
        <v/>
      </c>
      <c r="TXH30" t="str">
        <f t="shared" si="224"/>
        <v/>
      </c>
      <c r="TXI30" t="str">
        <f t="shared" si="224"/>
        <v/>
      </c>
      <c r="TXJ30" t="str">
        <f t="shared" si="224"/>
        <v/>
      </c>
      <c r="TXK30" t="str">
        <f t="shared" si="224"/>
        <v/>
      </c>
      <c r="TXL30" t="str">
        <f t="shared" si="224"/>
        <v/>
      </c>
      <c r="TXM30" t="str">
        <f t="shared" si="224"/>
        <v/>
      </c>
      <c r="TXN30" t="str">
        <f t="shared" si="224"/>
        <v/>
      </c>
      <c r="TXO30" t="str">
        <f t="shared" si="224"/>
        <v/>
      </c>
      <c r="TXP30" t="str">
        <f t="shared" ref="TXP30:UAA30" si="225">TRIM(TYB11)</f>
        <v/>
      </c>
      <c r="TXQ30" t="str">
        <f t="shared" si="225"/>
        <v/>
      </c>
      <c r="TXR30" t="str">
        <f t="shared" si="225"/>
        <v/>
      </c>
      <c r="TXS30" t="str">
        <f t="shared" si="225"/>
        <v/>
      </c>
      <c r="TXT30" t="str">
        <f t="shared" si="225"/>
        <v/>
      </c>
      <c r="TXU30" t="str">
        <f t="shared" si="225"/>
        <v/>
      </c>
      <c r="TXV30" t="str">
        <f t="shared" si="225"/>
        <v/>
      </c>
      <c r="TXW30" t="str">
        <f t="shared" si="225"/>
        <v/>
      </c>
      <c r="TXX30" t="str">
        <f t="shared" si="225"/>
        <v/>
      </c>
      <c r="TXY30" t="str">
        <f t="shared" si="225"/>
        <v/>
      </c>
      <c r="TXZ30" t="str">
        <f t="shared" si="225"/>
        <v/>
      </c>
      <c r="TYA30" t="str">
        <f t="shared" si="225"/>
        <v/>
      </c>
      <c r="TYB30" t="str">
        <f t="shared" si="225"/>
        <v/>
      </c>
      <c r="TYC30" t="str">
        <f t="shared" si="225"/>
        <v/>
      </c>
      <c r="TYD30" t="str">
        <f t="shared" si="225"/>
        <v/>
      </c>
      <c r="TYE30" t="str">
        <f t="shared" si="225"/>
        <v/>
      </c>
      <c r="TYF30" t="str">
        <f t="shared" si="225"/>
        <v/>
      </c>
      <c r="TYG30" t="str">
        <f t="shared" si="225"/>
        <v/>
      </c>
      <c r="TYH30" t="str">
        <f t="shared" si="225"/>
        <v/>
      </c>
      <c r="TYI30" t="str">
        <f t="shared" si="225"/>
        <v/>
      </c>
      <c r="TYJ30" t="str">
        <f t="shared" si="225"/>
        <v/>
      </c>
      <c r="TYK30" t="str">
        <f t="shared" si="225"/>
        <v/>
      </c>
      <c r="TYL30" t="str">
        <f t="shared" si="225"/>
        <v/>
      </c>
      <c r="TYM30" t="str">
        <f t="shared" si="225"/>
        <v/>
      </c>
      <c r="TYN30" t="str">
        <f t="shared" si="225"/>
        <v/>
      </c>
      <c r="TYO30" t="str">
        <f t="shared" si="225"/>
        <v/>
      </c>
      <c r="TYP30" t="str">
        <f t="shared" si="225"/>
        <v/>
      </c>
      <c r="TYQ30" t="str">
        <f t="shared" si="225"/>
        <v/>
      </c>
      <c r="TYR30" t="str">
        <f t="shared" si="225"/>
        <v/>
      </c>
      <c r="TYS30" t="str">
        <f t="shared" si="225"/>
        <v/>
      </c>
      <c r="TYT30" t="str">
        <f t="shared" si="225"/>
        <v/>
      </c>
      <c r="TYU30" t="str">
        <f t="shared" si="225"/>
        <v/>
      </c>
      <c r="TYV30" t="str">
        <f t="shared" si="225"/>
        <v/>
      </c>
      <c r="TYW30" t="str">
        <f t="shared" si="225"/>
        <v/>
      </c>
      <c r="TYX30" t="str">
        <f t="shared" si="225"/>
        <v/>
      </c>
      <c r="TYY30" t="str">
        <f t="shared" si="225"/>
        <v/>
      </c>
      <c r="TYZ30" t="str">
        <f t="shared" si="225"/>
        <v/>
      </c>
      <c r="TZA30" t="str">
        <f t="shared" si="225"/>
        <v/>
      </c>
      <c r="TZB30" t="str">
        <f t="shared" si="225"/>
        <v/>
      </c>
      <c r="TZC30" t="str">
        <f t="shared" si="225"/>
        <v/>
      </c>
      <c r="TZD30" t="str">
        <f t="shared" si="225"/>
        <v/>
      </c>
      <c r="TZE30" t="str">
        <f t="shared" si="225"/>
        <v/>
      </c>
      <c r="TZF30" t="str">
        <f t="shared" si="225"/>
        <v/>
      </c>
      <c r="TZG30" t="str">
        <f t="shared" si="225"/>
        <v/>
      </c>
      <c r="TZH30" t="str">
        <f t="shared" si="225"/>
        <v/>
      </c>
      <c r="TZI30" t="str">
        <f t="shared" si="225"/>
        <v/>
      </c>
      <c r="TZJ30" t="str">
        <f t="shared" si="225"/>
        <v/>
      </c>
      <c r="TZK30" t="str">
        <f t="shared" si="225"/>
        <v/>
      </c>
      <c r="TZL30" t="str">
        <f t="shared" si="225"/>
        <v/>
      </c>
      <c r="TZM30" t="str">
        <f t="shared" si="225"/>
        <v/>
      </c>
      <c r="TZN30" t="str">
        <f t="shared" si="225"/>
        <v/>
      </c>
      <c r="TZO30" t="str">
        <f t="shared" si="225"/>
        <v/>
      </c>
      <c r="TZP30" t="str">
        <f t="shared" si="225"/>
        <v/>
      </c>
      <c r="TZQ30" t="str">
        <f t="shared" si="225"/>
        <v/>
      </c>
      <c r="TZR30" t="str">
        <f t="shared" si="225"/>
        <v/>
      </c>
      <c r="TZS30" t="str">
        <f t="shared" si="225"/>
        <v/>
      </c>
      <c r="TZT30" t="str">
        <f t="shared" si="225"/>
        <v/>
      </c>
      <c r="TZU30" t="str">
        <f t="shared" si="225"/>
        <v/>
      </c>
      <c r="TZV30" t="str">
        <f t="shared" si="225"/>
        <v/>
      </c>
      <c r="TZW30" t="str">
        <f t="shared" si="225"/>
        <v/>
      </c>
      <c r="TZX30" t="str">
        <f t="shared" si="225"/>
        <v/>
      </c>
      <c r="TZY30" t="str">
        <f t="shared" si="225"/>
        <v/>
      </c>
      <c r="TZZ30" t="str">
        <f t="shared" si="225"/>
        <v/>
      </c>
      <c r="UAA30" t="str">
        <f t="shared" si="225"/>
        <v/>
      </c>
      <c r="UAB30" t="str">
        <f t="shared" ref="UAB30:UCM30" si="226">TRIM(UAN11)</f>
        <v/>
      </c>
      <c r="UAC30" t="str">
        <f t="shared" si="226"/>
        <v/>
      </c>
      <c r="UAD30" t="str">
        <f t="shared" si="226"/>
        <v/>
      </c>
      <c r="UAE30" t="str">
        <f t="shared" si="226"/>
        <v/>
      </c>
      <c r="UAF30" t="str">
        <f t="shared" si="226"/>
        <v/>
      </c>
      <c r="UAG30" t="str">
        <f t="shared" si="226"/>
        <v/>
      </c>
      <c r="UAH30" t="str">
        <f t="shared" si="226"/>
        <v/>
      </c>
      <c r="UAI30" t="str">
        <f t="shared" si="226"/>
        <v/>
      </c>
      <c r="UAJ30" t="str">
        <f t="shared" si="226"/>
        <v/>
      </c>
      <c r="UAK30" t="str">
        <f t="shared" si="226"/>
        <v/>
      </c>
      <c r="UAL30" t="str">
        <f t="shared" si="226"/>
        <v/>
      </c>
      <c r="UAM30" t="str">
        <f t="shared" si="226"/>
        <v/>
      </c>
      <c r="UAN30" t="str">
        <f t="shared" si="226"/>
        <v/>
      </c>
      <c r="UAO30" t="str">
        <f t="shared" si="226"/>
        <v/>
      </c>
      <c r="UAP30" t="str">
        <f t="shared" si="226"/>
        <v/>
      </c>
      <c r="UAQ30" t="str">
        <f t="shared" si="226"/>
        <v/>
      </c>
      <c r="UAR30" t="str">
        <f t="shared" si="226"/>
        <v/>
      </c>
      <c r="UAS30" t="str">
        <f t="shared" si="226"/>
        <v/>
      </c>
      <c r="UAT30" t="str">
        <f t="shared" si="226"/>
        <v/>
      </c>
      <c r="UAU30" t="str">
        <f t="shared" si="226"/>
        <v/>
      </c>
      <c r="UAV30" t="str">
        <f t="shared" si="226"/>
        <v/>
      </c>
      <c r="UAW30" t="str">
        <f t="shared" si="226"/>
        <v/>
      </c>
      <c r="UAX30" t="str">
        <f t="shared" si="226"/>
        <v/>
      </c>
      <c r="UAY30" t="str">
        <f t="shared" si="226"/>
        <v/>
      </c>
      <c r="UAZ30" t="str">
        <f t="shared" si="226"/>
        <v/>
      </c>
      <c r="UBA30" t="str">
        <f t="shared" si="226"/>
        <v/>
      </c>
      <c r="UBB30" t="str">
        <f t="shared" si="226"/>
        <v/>
      </c>
      <c r="UBC30" t="str">
        <f t="shared" si="226"/>
        <v/>
      </c>
      <c r="UBD30" t="str">
        <f t="shared" si="226"/>
        <v/>
      </c>
      <c r="UBE30" t="str">
        <f t="shared" si="226"/>
        <v/>
      </c>
      <c r="UBF30" t="str">
        <f t="shared" si="226"/>
        <v/>
      </c>
      <c r="UBG30" t="str">
        <f t="shared" si="226"/>
        <v/>
      </c>
      <c r="UBH30" t="str">
        <f t="shared" si="226"/>
        <v/>
      </c>
      <c r="UBI30" t="str">
        <f t="shared" si="226"/>
        <v/>
      </c>
      <c r="UBJ30" t="str">
        <f t="shared" si="226"/>
        <v/>
      </c>
      <c r="UBK30" t="str">
        <f t="shared" si="226"/>
        <v/>
      </c>
      <c r="UBL30" t="str">
        <f t="shared" si="226"/>
        <v/>
      </c>
      <c r="UBM30" t="str">
        <f t="shared" si="226"/>
        <v/>
      </c>
      <c r="UBN30" t="str">
        <f t="shared" si="226"/>
        <v/>
      </c>
      <c r="UBO30" t="str">
        <f t="shared" si="226"/>
        <v/>
      </c>
      <c r="UBP30" t="str">
        <f t="shared" si="226"/>
        <v/>
      </c>
      <c r="UBQ30" t="str">
        <f t="shared" si="226"/>
        <v/>
      </c>
      <c r="UBR30" t="str">
        <f t="shared" si="226"/>
        <v/>
      </c>
      <c r="UBS30" t="str">
        <f t="shared" si="226"/>
        <v/>
      </c>
      <c r="UBT30" t="str">
        <f t="shared" si="226"/>
        <v/>
      </c>
      <c r="UBU30" t="str">
        <f t="shared" si="226"/>
        <v/>
      </c>
      <c r="UBV30" t="str">
        <f t="shared" si="226"/>
        <v/>
      </c>
      <c r="UBW30" t="str">
        <f t="shared" si="226"/>
        <v/>
      </c>
      <c r="UBX30" t="str">
        <f t="shared" si="226"/>
        <v/>
      </c>
      <c r="UBY30" t="str">
        <f t="shared" si="226"/>
        <v/>
      </c>
      <c r="UBZ30" t="str">
        <f t="shared" si="226"/>
        <v/>
      </c>
      <c r="UCA30" t="str">
        <f t="shared" si="226"/>
        <v/>
      </c>
      <c r="UCB30" t="str">
        <f t="shared" si="226"/>
        <v/>
      </c>
      <c r="UCC30" t="str">
        <f t="shared" si="226"/>
        <v/>
      </c>
      <c r="UCD30" t="str">
        <f t="shared" si="226"/>
        <v/>
      </c>
      <c r="UCE30" t="str">
        <f t="shared" si="226"/>
        <v/>
      </c>
      <c r="UCF30" t="str">
        <f t="shared" si="226"/>
        <v/>
      </c>
      <c r="UCG30" t="str">
        <f t="shared" si="226"/>
        <v/>
      </c>
      <c r="UCH30" t="str">
        <f t="shared" si="226"/>
        <v/>
      </c>
      <c r="UCI30" t="str">
        <f t="shared" si="226"/>
        <v/>
      </c>
      <c r="UCJ30" t="str">
        <f t="shared" si="226"/>
        <v/>
      </c>
      <c r="UCK30" t="str">
        <f t="shared" si="226"/>
        <v/>
      </c>
      <c r="UCL30" t="str">
        <f t="shared" si="226"/>
        <v/>
      </c>
      <c r="UCM30" t="str">
        <f t="shared" si="226"/>
        <v/>
      </c>
      <c r="UCN30" t="str">
        <f t="shared" ref="UCN30:UEY30" si="227">TRIM(UCZ11)</f>
        <v/>
      </c>
      <c r="UCO30" t="str">
        <f t="shared" si="227"/>
        <v/>
      </c>
      <c r="UCP30" t="str">
        <f t="shared" si="227"/>
        <v/>
      </c>
      <c r="UCQ30" t="str">
        <f t="shared" si="227"/>
        <v/>
      </c>
      <c r="UCR30" t="str">
        <f t="shared" si="227"/>
        <v/>
      </c>
      <c r="UCS30" t="str">
        <f t="shared" si="227"/>
        <v/>
      </c>
      <c r="UCT30" t="str">
        <f t="shared" si="227"/>
        <v/>
      </c>
      <c r="UCU30" t="str">
        <f t="shared" si="227"/>
        <v/>
      </c>
      <c r="UCV30" t="str">
        <f t="shared" si="227"/>
        <v/>
      </c>
      <c r="UCW30" t="str">
        <f t="shared" si="227"/>
        <v/>
      </c>
      <c r="UCX30" t="str">
        <f t="shared" si="227"/>
        <v/>
      </c>
      <c r="UCY30" t="str">
        <f t="shared" si="227"/>
        <v/>
      </c>
      <c r="UCZ30" t="str">
        <f t="shared" si="227"/>
        <v/>
      </c>
      <c r="UDA30" t="str">
        <f t="shared" si="227"/>
        <v/>
      </c>
      <c r="UDB30" t="str">
        <f t="shared" si="227"/>
        <v/>
      </c>
      <c r="UDC30" t="str">
        <f t="shared" si="227"/>
        <v/>
      </c>
      <c r="UDD30" t="str">
        <f t="shared" si="227"/>
        <v/>
      </c>
      <c r="UDE30" t="str">
        <f t="shared" si="227"/>
        <v/>
      </c>
      <c r="UDF30" t="str">
        <f t="shared" si="227"/>
        <v/>
      </c>
      <c r="UDG30" t="str">
        <f t="shared" si="227"/>
        <v/>
      </c>
      <c r="UDH30" t="str">
        <f t="shared" si="227"/>
        <v/>
      </c>
      <c r="UDI30" t="str">
        <f t="shared" si="227"/>
        <v/>
      </c>
      <c r="UDJ30" t="str">
        <f t="shared" si="227"/>
        <v/>
      </c>
      <c r="UDK30" t="str">
        <f t="shared" si="227"/>
        <v/>
      </c>
      <c r="UDL30" t="str">
        <f t="shared" si="227"/>
        <v/>
      </c>
      <c r="UDM30" t="str">
        <f t="shared" si="227"/>
        <v/>
      </c>
      <c r="UDN30" t="str">
        <f t="shared" si="227"/>
        <v/>
      </c>
      <c r="UDO30" t="str">
        <f t="shared" si="227"/>
        <v/>
      </c>
      <c r="UDP30" t="str">
        <f t="shared" si="227"/>
        <v/>
      </c>
      <c r="UDQ30" t="str">
        <f t="shared" si="227"/>
        <v/>
      </c>
      <c r="UDR30" t="str">
        <f t="shared" si="227"/>
        <v/>
      </c>
      <c r="UDS30" t="str">
        <f t="shared" si="227"/>
        <v/>
      </c>
      <c r="UDT30" t="str">
        <f t="shared" si="227"/>
        <v/>
      </c>
      <c r="UDU30" t="str">
        <f t="shared" si="227"/>
        <v/>
      </c>
      <c r="UDV30" t="str">
        <f t="shared" si="227"/>
        <v/>
      </c>
      <c r="UDW30" t="str">
        <f t="shared" si="227"/>
        <v/>
      </c>
      <c r="UDX30" t="str">
        <f t="shared" si="227"/>
        <v/>
      </c>
      <c r="UDY30" t="str">
        <f t="shared" si="227"/>
        <v/>
      </c>
      <c r="UDZ30" t="str">
        <f t="shared" si="227"/>
        <v/>
      </c>
      <c r="UEA30" t="str">
        <f t="shared" si="227"/>
        <v/>
      </c>
      <c r="UEB30" t="str">
        <f t="shared" si="227"/>
        <v/>
      </c>
      <c r="UEC30" t="str">
        <f t="shared" si="227"/>
        <v/>
      </c>
      <c r="UED30" t="str">
        <f t="shared" si="227"/>
        <v/>
      </c>
      <c r="UEE30" t="str">
        <f t="shared" si="227"/>
        <v/>
      </c>
      <c r="UEF30" t="str">
        <f t="shared" si="227"/>
        <v/>
      </c>
      <c r="UEG30" t="str">
        <f t="shared" si="227"/>
        <v/>
      </c>
      <c r="UEH30" t="str">
        <f t="shared" si="227"/>
        <v/>
      </c>
      <c r="UEI30" t="str">
        <f t="shared" si="227"/>
        <v/>
      </c>
      <c r="UEJ30" t="str">
        <f t="shared" si="227"/>
        <v/>
      </c>
      <c r="UEK30" t="str">
        <f t="shared" si="227"/>
        <v/>
      </c>
      <c r="UEL30" t="str">
        <f t="shared" si="227"/>
        <v/>
      </c>
      <c r="UEM30" t="str">
        <f t="shared" si="227"/>
        <v/>
      </c>
      <c r="UEN30" t="str">
        <f t="shared" si="227"/>
        <v/>
      </c>
      <c r="UEO30" t="str">
        <f t="shared" si="227"/>
        <v/>
      </c>
      <c r="UEP30" t="str">
        <f t="shared" si="227"/>
        <v/>
      </c>
      <c r="UEQ30" t="str">
        <f t="shared" si="227"/>
        <v/>
      </c>
      <c r="UER30" t="str">
        <f t="shared" si="227"/>
        <v/>
      </c>
      <c r="UES30" t="str">
        <f t="shared" si="227"/>
        <v/>
      </c>
      <c r="UET30" t="str">
        <f t="shared" si="227"/>
        <v/>
      </c>
      <c r="UEU30" t="str">
        <f t="shared" si="227"/>
        <v/>
      </c>
      <c r="UEV30" t="str">
        <f t="shared" si="227"/>
        <v/>
      </c>
      <c r="UEW30" t="str">
        <f t="shared" si="227"/>
        <v/>
      </c>
      <c r="UEX30" t="str">
        <f t="shared" si="227"/>
        <v/>
      </c>
      <c r="UEY30" t="str">
        <f t="shared" si="227"/>
        <v/>
      </c>
      <c r="UEZ30" t="str">
        <f t="shared" ref="UEZ30:UHK30" si="228">TRIM(UFL11)</f>
        <v/>
      </c>
      <c r="UFA30" t="str">
        <f t="shared" si="228"/>
        <v/>
      </c>
      <c r="UFB30" t="str">
        <f t="shared" si="228"/>
        <v/>
      </c>
      <c r="UFC30" t="str">
        <f t="shared" si="228"/>
        <v/>
      </c>
      <c r="UFD30" t="str">
        <f t="shared" si="228"/>
        <v/>
      </c>
      <c r="UFE30" t="str">
        <f t="shared" si="228"/>
        <v/>
      </c>
      <c r="UFF30" t="str">
        <f t="shared" si="228"/>
        <v/>
      </c>
      <c r="UFG30" t="str">
        <f t="shared" si="228"/>
        <v/>
      </c>
      <c r="UFH30" t="str">
        <f t="shared" si="228"/>
        <v/>
      </c>
      <c r="UFI30" t="str">
        <f t="shared" si="228"/>
        <v/>
      </c>
      <c r="UFJ30" t="str">
        <f t="shared" si="228"/>
        <v/>
      </c>
      <c r="UFK30" t="str">
        <f t="shared" si="228"/>
        <v/>
      </c>
      <c r="UFL30" t="str">
        <f t="shared" si="228"/>
        <v/>
      </c>
      <c r="UFM30" t="str">
        <f t="shared" si="228"/>
        <v/>
      </c>
      <c r="UFN30" t="str">
        <f t="shared" si="228"/>
        <v/>
      </c>
      <c r="UFO30" t="str">
        <f t="shared" si="228"/>
        <v/>
      </c>
      <c r="UFP30" t="str">
        <f t="shared" si="228"/>
        <v/>
      </c>
      <c r="UFQ30" t="str">
        <f t="shared" si="228"/>
        <v/>
      </c>
      <c r="UFR30" t="str">
        <f t="shared" si="228"/>
        <v/>
      </c>
      <c r="UFS30" t="str">
        <f t="shared" si="228"/>
        <v/>
      </c>
      <c r="UFT30" t="str">
        <f t="shared" si="228"/>
        <v/>
      </c>
      <c r="UFU30" t="str">
        <f t="shared" si="228"/>
        <v/>
      </c>
      <c r="UFV30" t="str">
        <f t="shared" si="228"/>
        <v/>
      </c>
      <c r="UFW30" t="str">
        <f t="shared" si="228"/>
        <v/>
      </c>
      <c r="UFX30" t="str">
        <f t="shared" si="228"/>
        <v/>
      </c>
      <c r="UFY30" t="str">
        <f t="shared" si="228"/>
        <v/>
      </c>
      <c r="UFZ30" t="str">
        <f t="shared" si="228"/>
        <v/>
      </c>
      <c r="UGA30" t="str">
        <f t="shared" si="228"/>
        <v/>
      </c>
      <c r="UGB30" t="str">
        <f t="shared" si="228"/>
        <v/>
      </c>
      <c r="UGC30" t="str">
        <f t="shared" si="228"/>
        <v/>
      </c>
      <c r="UGD30" t="str">
        <f t="shared" si="228"/>
        <v/>
      </c>
      <c r="UGE30" t="str">
        <f t="shared" si="228"/>
        <v/>
      </c>
      <c r="UGF30" t="str">
        <f t="shared" si="228"/>
        <v/>
      </c>
      <c r="UGG30" t="str">
        <f t="shared" si="228"/>
        <v/>
      </c>
      <c r="UGH30" t="str">
        <f t="shared" si="228"/>
        <v/>
      </c>
      <c r="UGI30" t="str">
        <f t="shared" si="228"/>
        <v/>
      </c>
      <c r="UGJ30" t="str">
        <f t="shared" si="228"/>
        <v/>
      </c>
      <c r="UGK30" t="str">
        <f t="shared" si="228"/>
        <v/>
      </c>
      <c r="UGL30" t="str">
        <f t="shared" si="228"/>
        <v/>
      </c>
      <c r="UGM30" t="str">
        <f t="shared" si="228"/>
        <v/>
      </c>
      <c r="UGN30" t="str">
        <f t="shared" si="228"/>
        <v/>
      </c>
      <c r="UGO30" t="str">
        <f t="shared" si="228"/>
        <v/>
      </c>
      <c r="UGP30" t="str">
        <f t="shared" si="228"/>
        <v/>
      </c>
      <c r="UGQ30" t="str">
        <f t="shared" si="228"/>
        <v/>
      </c>
      <c r="UGR30" t="str">
        <f t="shared" si="228"/>
        <v/>
      </c>
      <c r="UGS30" t="str">
        <f t="shared" si="228"/>
        <v/>
      </c>
      <c r="UGT30" t="str">
        <f t="shared" si="228"/>
        <v/>
      </c>
      <c r="UGU30" t="str">
        <f t="shared" si="228"/>
        <v/>
      </c>
      <c r="UGV30" t="str">
        <f t="shared" si="228"/>
        <v/>
      </c>
      <c r="UGW30" t="str">
        <f t="shared" si="228"/>
        <v/>
      </c>
      <c r="UGX30" t="str">
        <f t="shared" si="228"/>
        <v/>
      </c>
      <c r="UGY30" t="str">
        <f t="shared" si="228"/>
        <v/>
      </c>
      <c r="UGZ30" t="str">
        <f t="shared" si="228"/>
        <v/>
      </c>
      <c r="UHA30" t="str">
        <f t="shared" si="228"/>
        <v/>
      </c>
      <c r="UHB30" t="str">
        <f t="shared" si="228"/>
        <v/>
      </c>
      <c r="UHC30" t="str">
        <f t="shared" si="228"/>
        <v/>
      </c>
      <c r="UHD30" t="str">
        <f t="shared" si="228"/>
        <v/>
      </c>
      <c r="UHE30" t="str">
        <f t="shared" si="228"/>
        <v/>
      </c>
      <c r="UHF30" t="str">
        <f t="shared" si="228"/>
        <v/>
      </c>
      <c r="UHG30" t="str">
        <f t="shared" si="228"/>
        <v/>
      </c>
      <c r="UHH30" t="str">
        <f t="shared" si="228"/>
        <v/>
      </c>
      <c r="UHI30" t="str">
        <f t="shared" si="228"/>
        <v/>
      </c>
      <c r="UHJ30" t="str">
        <f t="shared" si="228"/>
        <v/>
      </c>
      <c r="UHK30" t="str">
        <f t="shared" si="228"/>
        <v/>
      </c>
      <c r="UHL30" t="str">
        <f t="shared" ref="UHL30:UJW30" si="229">TRIM(UHX11)</f>
        <v/>
      </c>
      <c r="UHM30" t="str">
        <f t="shared" si="229"/>
        <v/>
      </c>
      <c r="UHN30" t="str">
        <f t="shared" si="229"/>
        <v/>
      </c>
      <c r="UHO30" t="str">
        <f t="shared" si="229"/>
        <v/>
      </c>
      <c r="UHP30" t="str">
        <f t="shared" si="229"/>
        <v/>
      </c>
      <c r="UHQ30" t="str">
        <f t="shared" si="229"/>
        <v/>
      </c>
      <c r="UHR30" t="str">
        <f t="shared" si="229"/>
        <v/>
      </c>
      <c r="UHS30" t="str">
        <f t="shared" si="229"/>
        <v/>
      </c>
      <c r="UHT30" t="str">
        <f t="shared" si="229"/>
        <v/>
      </c>
      <c r="UHU30" t="str">
        <f t="shared" si="229"/>
        <v/>
      </c>
      <c r="UHV30" t="str">
        <f t="shared" si="229"/>
        <v/>
      </c>
      <c r="UHW30" t="str">
        <f t="shared" si="229"/>
        <v/>
      </c>
      <c r="UHX30" t="str">
        <f t="shared" si="229"/>
        <v/>
      </c>
      <c r="UHY30" t="str">
        <f t="shared" si="229"/>
        <v/>
      </c>
      <c r="UHZ30" t="str">
        <f t="shared" si="229"/>
        <v/>
      </c>
      <c r="UIA30" t="str">
        <f t="shared" si="229"/>
        <v/>
      </c>
      <c r="UIB30" t="str">
        <f t="shared" si="229"/>
        <v/>
      </c>
      <c r="UIC30" t="str">
        <f t="shared" si="229"/>
        <v/>
      </c>
      <c r="UID30" t="str">
        <f t="shared" si="229"/>
        <v/>
      </c>
      <c r="UIE30" t="str">
        <f t="shared" si="229"/>
        <v/>
      </c>
      <c r="UIF30" t="str">
        <f t="shared" si="229"/>
        <v/>
      </c>
      <c r="UIG30" t="str">
        <f t="shared" si="229"/>
        <v/>
      </c>
      <c r="UIH30" t="str">
        <f t="shared" si="229"/>
        <v/>
      </c>
      <c r="UII30" t="str">
        <f t="shared" si="229"/>
        <v/>
      </c>
      <c r="UIJ30" t="str">
        <f t="shared" si="229"/>
        <v/>
      </c>
      <c r="UIK30" t="str">
        <f t="shared" si="229"/>
        <v/>
      </c>
      <c r="UIL30" t="str">
        <f t="shared" si="229"/>
        <v/>
      </c>
      <c r="UIM30" t="str">
        <f t="shared" si="229"/>
        <v/>
      </c>
      <c r="UIN30" t="str">
        <f t="shared" si="229"/>
        <v/>
      </c>
      <c r="UIO30" t="str">
        <f t="shared" si="229"/>
        <v/>
      </c>
      <c r="UIP30" t="str">
        <f t="shared" si="229"/>
        <v/>
      </c>
      <c r="UIQ30" t="str">
        <f t="shared" si="229"/>
        <v/>
      </c>
      <c r="UIR30" t="str">
        <f t="shared" si="229"/>
        <v/>
      </c>
      <c r="UIS30" t="str">
        <f t="shared" si="229"/>
        <v/>
      </c>
      <c r="UIT30" t="str">
        <f t="shared" si="229"/>
        <v/>
      </c>
      <c r="UIU30" t="str">
        <f t="shared" si="229"/>
        <v/>
      </c>
      <c r="UIV30" t="str">
        <f t="shared" si="229"/>
        <v/>
      </c>
      <c r="UIW30" t="str">
        <f t="shared" si="229"/>
        <v/>
      </c>
      <c r="UIX30" t="str">
        <f t="shared" si="229"/>
        <v/>
      </c>
      <c r="UIY30" t="str">
        <f t="shared" si="229"/>
        <v/>
      </c>
      <c r="UIZ30" t="str">
        <f t="shared" si="229"/>
        <v/>
      </c>
      <c r="UJA30" t="str">
        <f t="shared" si="229"/>
        <v/>
      </c>
      <c r="UJB30" t="str">
        <f t="shared" si="229"/>
        <v/>
      </c>
      <c r="UJC30" t="str">
        <f t="shared" si="229"/>
        <v/>
      </c>
      <c r="UJD30" t="str">
        <f t="shared" si="229"/>
        <v/>
      </c>
      <c r="UJE30" t="str">
        <f t="shared" si="229"/>
        <v/>
      </c>
      <c r="UJF30" t="str">
        <f t="shared" si="229"/>
        <v/>
      </c>
      <c r="UJG30" t="str">
        <f t="shared" si="229"/>
        <v/>
      </c>
      <c r="UJH30" t="str">
        <f t="shared" si="229"/>
        <v/>
      </c>
      <c r="UJI30" t="str">
        <f t="shared" si="229"/>
        <v/>
      </c>
      <c r="UJJ30" t="str">
        <f t="shared" si="229"/>
        <v/>
      </c>
      <c r="UJK30" t="str">
        <f t="shared" si="229"/>
        <v/>
      </c>
      <c r="UJL30" t="str">
        <f t="shared" si="229"/>
        <v/>
      </c>
      <c r="UJM30" t="str">
        <f t="shared" si="229"/>
        <v/>
      </c>
      <c r="UJN30" t="str">
        <f t="shared" si="229"/>
        <v/>
      </c>
      <c r="UJO30" t="str">
        <f t="shared" si="229"/>
        <v/>
      </c>
      <c r="UJP30" t="str">
        <f t="shared" si="229"/>
        <v/>
      </c>
      <c r="UJQ30" t="str">
        <f t="shared" si="229"/>
        <v/>
      </c>
      <c r="UJR30" t="str">
        <f t="shared" si="229"/>
        <v/>
      </c>
      <c r="UJS30" t="str">
        <f t="shared" si="229"/>
        <v/>
      </c>
      <c r="UJT30" t="str">
        <f t="shared" si="229"/>
        <v/>
      </c>
      <c r="UJU30" t="str">
        <f t="shared" si="229"/>
        <v/>
      </c>
      <c r="UJV30" t="str">
        <f t="shared" si="229"/>
        <v/>
      </c>
      <c r="UJW30" t="str">
        <f t="shared" si="229"/>
        <v/>
      </c>
      <c r="UJX30" t="str">
        <f t="shared" ref="UJX30:UMI30" si="230">TRIM(UKJ11)</f>
        <v/>
      </c>
      <c r="UJY30" t="str">
        <f t="shared" si="230"/>
        <v/>
      </c>
      <c r="UJZ30" t="str">
        <f t="shared" si="230"/>
        <v/>
      </c>
      <c r="UKA30" t="str">
        <f t="shared" si="230"/>
        <v/>
      </c>
      <c r="UKB30" t="str">
        <f t="shared" si="230"/>
        <v/>
      </c>
      <c r="UKC30" t="str">
        <f t="shared" si="230"/>
        <v/>
      </c>
      <c r="UKD30" t="str">
        <f t="shared" si="230"/>
        <v/>
      </c>
      <c r="UKE30" t="str">
        <f t="shared" si="230"/>
        <v/>
      </c>
      <c r="UKF30" t="str">
        <f t="shared" si="230"/>
        <v/>
      </c>
      <c r="UKG30" t="str">
        <f t="shared" si="230"/>
        <v/>
      </c>
      <c r="UKH30" t="str">
        <f t="shared" si="230"/>
        <v/>
      </c>
      <c r="UKI30" t="str">
        <f t="shared" si="230"/>
        <v/>
      </c>
      <c r="UKJ30" t="str">
        <f t="shared" si="230"/>
        <v/>
      </c>
      <c r="UKK30" t="str">
        <f t="shared" si="230"/>
        <v/>
      </c>
      <c r="UKL30" t="str">
        <f t="shared" si="230"/>
        <v/>
      </c>
      <c r="UKM30" t="str">
        <f t="shared" si="230"/>
        <v/>
      </c>
      <c r="UKN30" t="str">
        <f t="shared" si="230"/>
        <v/>
      </c>
      <c r="UKO30" t="str">
        <f t="shared" si="230"/>
        <v/>
      </c>
      <c r="UKP30" t="str">
        <f t="shared" si="230"/>
        <v/>
      </c>
      <c r="UKQ30" t="str">
        <f t="shared" si="230"/>
        <v/>
      </c>
      <c r="UKR30" t="str">
        <f t="shared" si="230"/>
        <v/>
      </c>
      <c r="UKS30" t="str">
        <f t="shared" si="230"/>
        <v/>
      </c>
      <c r="UKT30" t="str">
        <f t="shared" si="230"/>
        <v/>
      </c>
      <c r="UKU30" t="str">
        <f t="shared" si="230"/>
        <v/>
      </c>
      <c r="UKV30" t="str">
        <f t="shared" si="230"/>
        <v/>
      </c>
      <c r="UKW30" t="str">
        <f t="shared" si="230"/>
        <v/>
      </c>
      <c r="UKX30" t="str">
        <f t="shared" si="230"/>
        <v/>
      </c>
      <c r="UKY30" t="str">
        <f t="shared" si="230"/>
        <v/>
      </c>
      <c r="UKZ30" t="str">
        <f t="shared" si="230"/>
        <v/>
      </c>
      <c r="ULA30" t="str">
        <f t="shared" si="230"/>
        <v/>
      </c>
      <c r="ULB30" t="str">
        <f t="shared" si="230"/>
        <v/>
      </c>
      <c r="ULC30" t="str">
        <f t="shared" si="230"/>
        <v/>
      </c>
      <c r="ULD30" t="str">
        <f t="shared" si="230"/>
        <v/>
      </c>
      <c r="ULE30" t="str">
        <f t="shared" si="230"/>
        <v/>
      </c>
      <c r="ULF30" t="str">
        <f t="shared" si="230"/>
        <v/>
      </c>
      <c r="ULG30" t="str">
        <f t="shared" si="230"/>
        <v/>
      </c>
      <c r="ULH30" t="str">
        <f t="shared" si="230"/>
        <v/>
      </c>
      <c r="ULI30" t="str">
        <f t="shared" si="230"/>
        <v/>
      </c>
      <c r="ULJ30" t="str">
        <f t="shared" si="230"/>
        <v/>
      </c>
      <c r="ULK30" t="str">
        <f t="shared" si="230"/>
        <v/>
      </c>
      <c r="ULL30" t="str">
        <f t="shared" si="230"/>
        <v/>
      </c>
      <c r="ULM30" t="str">
        <f t="shared" si="230"/>
        <v/>
      </c>
      <c r="ULN30" t="str">
        <f t="shared" si="230"/>
        <v/>
      </c>
      <c r="ULO30" t="str">
        <f t="shared" si="230"/>
        <v/>
      </c>
      <c r="ULP30" t="str">
        <f t="shared" si="230"/>
        <v/>
      </c>
      <c r="ULQ30" t="str">
        <f t="shared" si="230"/>
        <v/>
      </c>
      <c r="ULR30" t="str">
        <f t="shared" si="230"/>
        <v/>
      </c>
      <c r="ULS30" t="str">
        <f t="shared" si="230"/>
        <v/>
      </c>
      <c r="ULT30" t="str">
        <f t="shared" si="230"/>
        <v/>
      </c>
      <c r="ULU30" t="str">
        <f t="shared" si="230"/>
        <v/>
      </c>
      <c r="ULV30" t="str">
        <f t="shared" si="230"/>
        <v/>
      </c>
      <c r="ULW30" t="str">
        <f t="shared" si="230"/>
        <v/>
      </c>
      <c r="ULX30" t="str">
        <f t="shared" si="230"/>
        <v/>
      </c>
      <c r="ULY30" t="str">
        <f t="shared" si="230"/>
        <v/>
      </c>
      <c r="ULZ30" t="str">
        <f t="shared" si="230"/>
        <v/>
      </c>
      <c r="UMA30" t="str">
        <f t="shared" si="230"/>
        <v/>
      </c>
      <c r="UMB30" t="str">
        <f t="shared" si="230"/>
        <v/>
      </c>
      <c r="UMC30" t="str">
        <f t="shared" si="230"/>
        <v/>
      </c>
      <c r="UMD30" t="str">
        <f t="shared" si="230"/>
        <v/>
      </c>
      <c r="UME30" t="str">
        <f t="shared" si="230"/>
        <v/>
      </c>
      <c r="UMF30" t="str">
        <f t="shared" si="230"/>
        <v/>
      </c>
      <c r="UMG30" t="str">
        <f t="shared" si="230"/>
        <v/>
      </c>
      <c r="UMH30" t="str">
        <f t="shared" si="230"/>
        <v/>
      </c>
      <c r="UMI30" t="str">
        <f t="shared" si="230"/>
        <v/>
      </c>
      <c r="UMJ30" t="str">
        <f t="shared" ref="UMJ30:UOU30" si="231">TRIM(UMV11)</f>
        <v/>
      </c>
      <c r="UMK30" t="str">
        <f t="shared" si="231"/>
        <v/>
      </c>
      <c r="UML30" t="str">
        <f t="shared" si="231"/>
        <v/>
      </c>
      <c r="UMM30" t="str">
        <f t="shared" si="231"/>
        <v/>
      </c>
      <c r="UMN30" t="str">
        <f t="shared" si="231"/>
        <v/>
      </c>
      <c r="UMO30" t="str">
        <f t="shared" si="231"/>
        <v/>
      </c>
      <c r="UMP30" t="str">
        <f t="shared" si="231"/>
        <v/>
      </c>
      <c r="UMQ30" t="str">
        <f t="shared" si="231"/>
        <v/>
      </c>
      <c r="UMR30" t="str">
        <f t="shared" si="231"/>
        <v/>
      </c>
      <c r="UMS30" t="str">
        <f t="shared" si="231"/>
        <v/>
      </c>
      <c r="UMT30" t="str">
        <f t="shared" si="231"/>
        <v/>
      </c>
      <c r="UMU30" t="str">
        <f t="shared" si="231"/>
        <v/>
      </c>
      <c r="UMV30" t="str">
        <f t="shared" si="231"/>
        <v/>
      </c>
      <c r="UMW30" t="str">
        <f t="shared" si="231"/>
        <v/>
      </c>
      <c r="UMX30" t="str">
        <f t="shared" si="231"/>
        <v/>
      </c>
      <c r="UMY30" t="str">
        <f t="shared" si="231"/>
        <v/>
      </c>
      <c r="UMZ30" t="str">
        <f t="shared" si="231"/>
        <v/>
      </c>
      <c r="UNA30" t="str">
        <f t="shared" si="231"/>
        <v/>
      </c>
      <c r="UNB30" t="str">
        <f t="shared" si="231"/>
        <v/>
      </c>
      <c r="UNC30" t="str">
        <f t="shared" si="231"/>
        <v/>
      </c>
      <c r="UND30" t="str">
        <f t="shared" si="231"/>
        <v/>
      </c>
      <c r="UNE30" t="str">
        <f t="shared" si="231"/>
        <v/>
      </c>
      <c r="UNF30" t="str">
        <f t="shared" si="231"/>
        <v/>
      </c>
      <c r="UNG30" t="str">
        <f t="shared" si="231"/>
        <v/>
      </c>
      <c r="UNH30" t="str">
        <f t="shared" si="231"/>
        <v/>
      </c>
      <c r="UNI30" t="str">
        <f t="shared" si="231"/>
        <v/>
      </c>
      <c r="UNJ30" t="str">
        <f t="shared" si="231"/>
        <v/>
      </c>
      <c r="UNK30" t="str">
        <f t="shared" si="231"/>
        <v/>
      </c>
      <c r="UNL30" t="str">
        <f t="shared" si="231"/>
        <v/>
      </c>
      <c r="UNM30" t="str">
        <f t="shared" si="231"/>
        <v/>
      </c>
      <c r="UNN30" t="str">
        <f t="shared" si="231"/>
        <v/>
      </c>
      <c r="UNO30" t="str">
        <f t="shared" si="231"/>
        <v/>
      </c>
      <c r="UNP30" t="str">
        <f t="shared" si="231"/>
        <v/>
      </c>
      <c r="UNQ30" t="str">
        <f t="shared" si="231"/>
        <v/>
      </c>
      <c r="UNR30" t="str">
        <f t="shared" si="231"/>
        <v/>
      </c>
      <c r="UNS30" t="str">
        <f t="shared" si="231"/>
        <v/>
      </c>
      <c r="UNT30" t="str">
        <f t="shared" si="231"/>
        <v/>
      </c>
      <c r="UNU30" t="str">
        <f t="shared" si="231"/>
        <v/>
      </c>
      <c r="UNV30" t="str">
        <f t="shared" si="231"/>
        <v/>
      </c>
      <c r="UNW30" t="str">
        <f t="shared" si="231"/>
        <v/>
      </c>
      <c r="UNX30" t="str">
        <f t="shared" si="231"/>
        <v/>
      </c>
      <c r="UNY30" t="str">
        <f t="shared" si="231"/>
        <v/>
      </c>
      <c r="UNZ30" t="str">
        <f t="shared" si="231"/>
        <v/>
      </c>
      <c r="UOA30" t="str">
        <f t="shared" si="231"/>
        <v/>
      </c>
      <c r="UOB30" t="str">
        <f t="shared" si="231"/>
        <v/>
      </c>
      <c r="UOC30" t="str">
        <f t="shared" si="231"/>
        <v/>
      </c>
      <c r="UOD30" t="str">
        <f t="shared" si="231"/>
        <v/>
      </c>
      <c r="UOE30" t="str">
        <f t="shared" si="231"/>
        <v/>
      </c>
      <c r="UOF30" t="str">
        <f t="shared" si="231"/>
        <v/>
      </c>
      <c r="UOG30" t="str">
        <f t="shared" si="231"/>
        <v/>
      </c>
      <c r="UOH30" t="str">
        <f t="shared" si="231"/>
        <v/>
      </c>
      <c r="UOI30" t="str">
        <f t="shared" si="231"/>
        <v/>
      </c>
      <c r="UOJ30" t="str">
        <f t="shared" si="231"/>
        <v/>
      </c>
      <c r="UOK30" t="str">
        <f t="shared" si="231"/>
        <v/>
      </c>
      <c r="UOL30" t="str">
        <f t="shared" si="231"/>
        <v/>
      </c>
      <c r="UOM30" t="str">
        <f t="shared" si="231"/>
        <v/>
      </c>
      <c r="UON30" t="str">
        <f t="shared" si="231"/>
        <v/>
      </c>
      <c r="UOO30" t="str">
        <f t="shared" si="231"/>
        <v/>
      </c>
      <c r="UOP30" t="str">
        <f t="shared" si="231"/>
        <v/>
      </c>
      <c r="UOQ30" t="str">
        <f t="shared" si="231"/>
        <v/>
      </c>
      <c r="UOR30" t="str">
        <f t="shared" si="231"/>
        <v/>
      </c>
      <c r="UOS30" t="str">
        <f t="shared" si="231"/>
        <v/>
      </c>
      <c r="UOT30" t="str">
        <f t="shared" si="231"/>
        <v/>
      </c>
      <c r="UOU30" t="str">
        <f t="shared" si="231"/>
        <v/>
      </c>
      <c r="UOV30" t="str">
        <f t="shared" ref="UOV30:URG30" si="232">TRIM(UPH11)</f>
        <v/>
      </c>
      <c r="UOW30" t="str">
        <f t="shared" si="232"/>
        <v/>
      </c>
      <c r="UOX30" t="str">
        <f t="shared" si="232"/>
        <v/>
      </c>
      <c r="UOY30" t="str">
        <f t="shared" si="232"/>
        <v/>
      </c>
      <c r="UOZ30" t="str">
        <f t="shared" si="232"/>
        <v/>
      </c>
      <c r="UPA30" t="str">
        <f t="shared" si="232"/>
        <v/>
      </c>
      <c r="UPB30" t="str">
        <f t="shared" si="232"/>
        <v/>
      </c>
      <c r="UPC30" t="str">
        <f t="shared" si="232"/>
        <v/>
      </c>
      <c r="UPD30" t="str">
        <f t="shared" si="232"/>
        <v/>
      </c>
      <c r="UPE30" t="str">
        <f t="shared" si="232"/>
        <v/>
      </c>
      <c r="UPF30" t="str">
        <f t="shared" si="232"/>
        <v/>
      </c>
      <c r="UPG30" t="str">
        <f t="shared" si="232"/>
        <v/>
      </c>
      <c r="UPH30" t="str">
        <f t="shared" si="232"/>
        <v/>
      </c>
      <c r="UPI30" t="str">
        <f t="shared" si="232"/>
        <v/>
      </c>
      <c r="UPJ30" t="str">
        <f t="shared" si="232"/>
        <v/>
      </c>
      <c r="UPK30" t="str">
        <f t="shared" si="232"/>
        <v/>
      </c>
      <c r="UPL30" t="str">
        <f t="shared" si="232"/>
        <v/>
      </c>
      <c r="UPM30" t="str">
        <f t="shared" si="232"/>
        <v/>
      </c>
      <c r="UPN30" t="str">
        <f t="shared" si="232"/>
        <v/>
      </c>
      <c r="UPO30" t="str">
        <f t="shared" si="232"/>
        <v/>
      </c>
      <c r="UPP30" t="str">
        <f t="shared" si="232"/>
        <v/>
      </c>
      <c r="UPQ30" t="str">
        <f t="shared" si="232"/>
        <v/>
      </c>
      <c r="UPR30" t="str">
        <f t="shared" si="232"/>
        <v/>
      </c>
      <c r="UPS30" t="str">
        <f t="shared" si="232"/>
        <v/>
      </c>
      <c r="UPT30" t="str">
        <f t="shared" si="232"/>
        <v/>
      </c>
      <c r="UPU30" t="str">
        <f t="shared" si="232"/>
        <v/>
      </c>
      <c r="UPV30" t="str">
        <f t="shared" si="232"/>
        <v/>
      </c>
      <c r="UPW30" t="str">
        <f t="shared" si="232"/>
        <v/>
      </c>
      <c r="UPX30" t="str">
        <f t="shared" si="232"/>
        <v/>
      </c>
      <c r="UPY30" t="str">
        <f t="shared" si="232"/>
        <v/>
      </c>
      <c r="UPZ30" t="str">
        <f t="shared" si="232"/>
        <v/>
      </c>
      <c r="UQA30" t="str">
        <f t="shared" si="232"/>
        <v/>
      </c>
      <c r="UQB30" t="str">
        <f t="shared" si="232"/>
        <v/>
      </c>
      <c r="UQC30" t="str">
        <f t="shared" si="232"/>
        <v/>
      </c>
      <c r="UQD30" t="str">
        <f t="shared" si="232"/>
        <v/>
      </c>
      <c r="UQE30" t="str">
        <f t="shared" si="232"/>
        <v/>
      </c>
      <c r="UQF30" t="str">
        <f t="shared" si="232"/>
        <v/>
      </c>
      <c r="UQG30" t="str">
        <f t="shared" si="232"/>
        <v/>
      </c>
      <c r="UQH30" t="str">
        <f t="shared" si="232"/>
        <v/>
      </c>
      <c r="UQI30" t="str">
        <f t="shared" si="232"/>
        <v/>
      </c>
      <c r="UQJ30" t="str">
        <f t="shared" si="232"/>
        <v/>
      </c>
      <c r="UQK30" t="str">
        <f t="shared" si="232"/>
        <v/>
      </c>
      <c r="UQL30" t="str">
        <f t="shared" si="232"/>
        <v/>
      </c>
      <c r="UQM30" t="str">
        <f t="shared" si="232"/>
        <v/>
      </c>
      <c r="UQN30" t="str">
        <f t="shared" si="232"/>
        <v/>
      </c>
      <c r="UQO30" t="str">
        <f t="shared" si="232"/>
        <v/>
      </c>
      <c r="UQP30" t="str">
        <f t="shared" si="232"/>
        <v/>
      </c>
      <c r="UQQ30" t="str">
        <f t="shared" si="232"/>
        <v/>
      </c>
      <c r="UQR30" t="str">
        <f t="shared" si="232"/>
        <v/>
      </c>
      <c r="UQS30" t="str">
        <f t="shared" si="232"/>
        <v/>
      </c>
      <c r="UQT30" t="str">
        <f t="shared" si="232"/>
        <v/>
      </c>
      <c r="UQU30" t="str">
        <f t="shared" si="232"/>
        <v/>
      </c>
      <c r="UQV30" t="str">
        <f t="shared" si="232"/>
        <v/>
      </c>
      <c r="UQW30" t="str">
        <f t="shared" si="232"/>
        <v/>
      </c>
      <c r="UQX30" t="str">
        <f t="shared" si="232"/>
        <v/>
      </c>
      <c r="UQY30" t="str">
        <f t="shared" si="232"/>
        <v/>
      </c>
      <c r="UQZ30" t="str">
        <f t="shared" si="232"/>
        <v/>
      </c>
      <c r="URA30" t="str">
        <f t="shared" si="232"/>
        <v/>
      </c>
      <c r="URB30" t="str">
        <f t="shared" si="232"/>
        <v/>
      </c>
      <c r="URC30" t="str">
        <f t="shared" si="232"/>
        <v/>
      </c>
      <c r="URD30" t="str">
        <f t="shared" si="232"/>
        <v/>
      </c>
      <c r="URE30" t="str">
        <f t="shared" si="232"/>
        <v/>
      </c>
      <c r="URF30" t="str">
        <f t="shared" si="232"/>
        <v/>
      </c>
      <c r="URG30" t="str">
        <f t="shared" si="232"/>
        <v/>
      </c>
      <c r="URH30" t="str">
        <f t="shared" ref="URH30:UTS30" si="233">TRIM(URT11)</f>
        <v/>
      </c>
      <c r="URI30" t="str">
        <f t="shared" si="233"/>
        <v/>
      </c>
      <c r="URJ30" t="str">
        <f t="shared" si="233"/>
        <v/>
      </c>
      <c r="URK30" t="str">
        <f t="shared" si="233"/>
        <v/>
      </c>
      <c r="URL30" t="str">
        <f t="shared" si="233"/>
        <v/>
      </c>
      <c r="URM30" t="str">
        <f t="shared" si="233"/>
        <v/>
      </c>
      <c r="URN30" t="str">
        <f t="shared" si="233"/>
        <v/>
      </c>
      <c r="URO30" t="str">
        <f t="shared" si="233"/>
        <v/>
      </c>
      <c r="URP30" t="str">
        <f t="shared" si="233"/>
        <v/>
      </c>
      <c r="URQ30" t="str">
        <f t="shared" si="233"/>
        <v/>
      </c>
      <c r="URR30" t="str">
        <f t="shared" si="233"/>
        <v/>
      </c>
      <c r="URS30" t="str">
        <f t="shared" si="233"/>
        <v/>
      </c>
      <c r="URT30" t="str">
        <f t="shared" si="233"/>
        <v/>
      </c>
      <c r="URU30" t="str">
        <f t="shared" si="233"/>
        <v/>
      </c>
      <c r="URV30" t="str">
        <f t="shared" si="233"/>
        <v/>
      </c>
      <c r="URW30" t="str">
        <f t="shared" si="233"/>
        <v/>
      </c>
      <c r="URX30" t="str">
        <f t="shared" si="233"/>
        <v/>
      </c>
      <c r="URY30" t="str">
        <f t="shared" si="233"/>
        <v/>
      </c>
      <c r="URZ30" t="str">
        <f t="shared" si="233"/>
        <v/>
      </c>
      <c r="USA30" t="str">
        <f t="shared" si="233"/>
        <v/>
      </c>
      <c r="USB30" t="str">
        <f t="shared" si="233"/>
        <v/>
      </c>
      <c r="USC30" t="str">
        <f t="shared" si="233"/>
        <v/>
      </c>
      <c r="USD30" t="str">
        <f t="shared" si="233"/>
        <v/>
      </c>
      <c r="USE30" t="str">
        <f t="shared" si="233"/>
        <v/>
      </c>
      <c r="USF30" t="str">
        <f t="shared" si="233"/>
        <v/>
      </c>
      <c r="USG30" t="str">
        <f t="shared" si="233"/>
        <v/>
      </c>
      <c r="USH30" t="str">
        <f t="shared" si="233"/>
        <v/>
      </c>
      <c r="USI30" t="str">
        <f t="shared" si="233"/>
        <v/>
      </c>
      <c r="USJ30" t="str">
        <f t="shared" si="233"/>
        <v/>
      </c>
      <c r="USK30" t="str">
        <f t="shared" si="233"/>
        <v/>
      </c>
      <c r="USL30" t="str">
        <f t="shared" si="233"/>
        <v/>
      </c>
      <c r="USM30" t="str">
        <f t="shared" si="233"/>
        <v/>
      </c>
      <c r="USN30" t="str">
        <f t="shared" si="233"/>
        <v/>
      </c>
      <c r="USO30" t="str">
        <f t="shared" si="233"/>
        <v/>
      </c>
      <c r="USP30" t="str">
        <f t="shared" si="233"/>
        <v/>
      </c>
      <c r="USQ30" t="str">
        <f t="shared" si="233"/>
        <v/>
      </c>
      <c r="USR30" t="str">
        <f t="shared" si="233"/>
        <v/>
      </c>
      <c r="USS30" t="str">
        <f t="shared" si="233"/>
        <v/>
      </c>
      <c r="UST30" t="str">
        <f t="shared" si="233"/>
        <v/>
      </c>
      <c r="USU30" t="str">
        <f t="shared" si="233"/>
        <v/>
      </c>
      <c r="USV30" t="str">
        <f t="shared" si="233"/>
        <v/>
      </c>
      <c r="USW30" t="str">
        <f t="shared" si="233"/>
        <v/>
      </c>
      <c r="USX30" t="str">
        <f t="shared" si="233"/>
        <v/>
      </c>
      <c r="USY30" t="str">
        <f t="shared" si="233"/>
        <v/>
      </c>
      <c r="USZ30" t="str">
        <f t="shared" si="233"/>
        <v/>
      </c>
      <c r="UTA30" t="str">
        <f t="shared" si="233"/>
        <v/>
      </c>
      <c r="UTB30" t="str">
        <f t="shared" si="233"/>
        <v/>
      </c>
      <c r="UTC30" t="str">
        <f t="shared" si="233"/>
        <v/>
      </c>
      <c r="UTD30" t="str">
        <f t="shared" si="233"/>
        <v/>
      </c>
      <c r="UTE30" t="str">
        <f t="shared" si="233"/>
        <v/>
      </c>
      <c r="UTF30" t="str">
        <f t="shared" si="233"/>
        <v/>
      </c>
      <c r="UTG30" t="str">
        <f t="shared" si="233"/>
        <v/>
      </c>
      <c r="UTH30" t="str">
        <f t="shared" si="233"/>
        <v/>
      </c>
      <c r="UTI30" t="str">
        <f t="shared" si="233"/>
        <v/>
      </c>
      <c r="UTJ30" t="str">
        <f t="shared" si="233"/>
        <v/>
      </c>
      <c r="UTK30" t="str">
        <f t="shared" si="233"/>
        <v/>
      </c>
      <c r="UTL30" t="str">
        <f t="shared" si="233"/>
        <v/>
      </c>
      <c r="UTM30" t="str">
        <f t="shared" si="233"/>
        <v/>
      </c>
      <c r="UTN30" t="str">
        <f t="shared" si="233"/>
        <v/>
      </c>
      <c r="UTO30" t="str">
        <f t="shared" si="233"/>
        <v/>
      </c>
      <c r="UTP30" t="str">
        <f t="shared" si="233"/>
        <v/>
      </c>
      <c r="UTQ30" t="str">
        <f t="shared" si="233"/>
        <v/>
      </c>
      <c r="UTR30" t="str">
        <f t="shared" si="233"/>
        <v/>
      </c>
      <c r="UTS30" t="str">
        <f t="shared" si="233"/>
        <v/>
      </c>
      <c r="UTT30" t="str">
        <f t="shared" ref="UTT30:UWE30" si="234">TRIM(UUF11)</f>
        <v/>
      </c>
      <c r="UTU30" t="str">
        <f t="shared" si="234"/>
        <v/>
      </c>
      <c r="UTV30" t="str">
        <f t="shared" si="234"/>
        <v/>
      </c>
      <c r="UTW30" t="str">
        <f t="shared" si="234"/>
        <v/>
      </c>
      <c r="UTX30" t="str">
        <f t="shared" si="234"/>
        <v/>
      </c>
      <c r="UTY30" t="str">
        <f t="shared" si="234"/>
        <v/>
      </c>
      <c r="UTZ30" t="str">
        <f t="shared" si="234"/>
        <v/>
      </c>
      <c r="UUA30" t="str">
        <f t="shared" si="234"/>
        <v/>
      </c>
      <c r="UUB30" t="str">
        <f t="shared" si="234"/>
        <v/>
      </c>
      <c r="UUC30" t="str">
        <f t="shared" si="234"/>
        <v/>
      </c>
      <c r="UUD30" t="str">
        <f t="shared" si="234"/>
        <v/>
      </c>
      <c r="UUE30" t="str">
        <f t="shared" si="234"/>
        <v/>
      </c>
      <c r="UUF30" t="str">
        <f t="shared" si="234"/>
        <v/>
      </c>
      <c r="UUG30" t="str">
        <f t="shared" si="234"/>
        <v/>
      </c>
      <c r="UUH30" t="str">
        <f t="shared" si="234"/>
        <v/>
      </c>
      <c r="UUI30" t="str">
        <f t="shared" si="234"/>
        <v/>
      </c>
      <c r="UUJ30" t="str">
        <f t="shared" si="234"/>
        <v/>
      </c>
      <c r="UUK30" t="str">
        <f t="shared" si="234"/>
        <v/>
      </c>
      <c r="UUL30" t="str">
        <f t="shared" si="234"/>
        <v/>
      </c>
      <c r="UUM30" t="str">
        <f t="shared" si="234"/>
        <v/>
      </c>
      <c r="UUN30" t="str">
        <f t="shared" si="234"/>
        <v/>
      </c>
      <c r="UUO30" t="str">
        <f t="shared" si="234"/>
        <v/>
      </c>
      <c r="UUP30" t="str">
        <f t="shared" si="234"/>
        <v/>
      </c>
      <c r="UUQ30" t="str">
        <f t="shared" si="234"/>
        <v/>
      </c>
      <c r="UUR30" t="str">
        <f t="shared" si="234"/>
        <v/>
      </c>
      <c r="UUS30" t="str">
        <f t="shared" si="234"/>
        <v/>
      </c>
      <c r="UUT30" t="str">
        <f t="shared" si="234"/>
        <v/>
      </c>
      <c r="UUU30" t="str">
        <f t="shared" si="234"/>
        <v/>
      </c>
      <c r="UUV30" t="str">
        <f t="shared" si="234"/>
        <v/>
      </c>
      <c r="UUW30" t="str">
        <f t="shared" si="234"/>
        <v/>
      </c>
      <c r="UUX30" t="str">
        <f t="shared" si="234"/>
        <v/>
      </c>
      <c r="UUY30" t="str">
        <f t="shared" si="234"/>
        <v/>
      </c>
      <c r="UUZ30" t="str">
        <f t="shared" si="234"/>
        <v/>
      </c>
      <c r="UVA30" t="str">
        <f t="shared" si="234"/>
        <v/>
      </c>
      <c r="UVB30" t="str">
        <f t="shared" si="234"/>
        <v/>
      </c>
      <c r="UVC30" t="str">
        <f t="shared" si="234"/>
        <v/>
      </c>
      <c r="UVD30" t="str">
        <f t="shared" si="234"/>
        <v/>
      </c>
      <c r="UVE30" t="str">
        <f t="shared" si="234"/>
        <v/>
      </c>
      <c r="UVF30" t="str">
        <f t="shared" si="234"/>
        <v/>
      </c>
      <c r="UVG30" t="str">
        <f t="shared" si="234"/>
        <v/>
      </c>
      <c r="UVH30" t="str">
        <f t="shared" si="234"/>
        <v/>
      </c>
      <c r="UVI30" t="str">
        <f t="shared" si="234"/>
        <v/>
      </c>
      <c r="UVJ30" t="str">
        <f t="shared" si="234"/>
        <v/>
      </c>
      <c r="UVK30" t="str">
        <f t="shared" si="234"/>
        <v/>
      </c>
      <c r="UVL30" t="str">
        <f t="shared" si="234"/>
        <v/>
      </c>
      <c r="UVM30" t="str">
        <f t="shared" si="234"/>
        <v/>
      </c>
      <c r="UVN30" t="str">
        <f t="shared" si="234"/>
        <v/>
      </c>
      <c r="UVO30" t="str">
        <f t="shared" si="234"/>
        <v/>
      </c>
      <c r="UVP30" t="str">
        <f t="shared" si="234"/>
        <v/>
      </c>
      <c r="UVQ30" t="str">
        <f t="shared" si="234"/>
        <v/>
      </c>
      <c r="UVR30" t="str">
        <f t="shared" si="234"/>
        <v/>
      </c>
      <c r="UVS30" t="str">
        <f t="shared" si="234"/>
        <v/>
      </c>
      <c r="UVT30" t="str">
        <f t="shared" si="234"/>
        <v/>
      </c>
      <c r="UVU30" t="str">
        <f t="shared" si="234"/>
        <v/>
      </c>
      <c r="UVV30" t="str">
        <f t="shared" si="234"/>
        <v/>
      </c>
      <c r="UVW30" t="str">
        <f t="shared" si="234"/>
        <v/>
      </c>
      <c r="UVX30" t="str">
        <f t="shared" si="234"/>
        <v/>
      </c>
      <c r="UVY30" t="str">
        <f t="shared" si="234"/>
        <v/>
      </c>
      <c r="UVZ30" t="str">
        <f t="shared" si="234"/>
        <v/>
      </c>
      <c r="UWA30" t="str">
        <f t="shared" si="234"/>
        <v/>
      </c>
      <c r="UWB30" t="str">
        <f t="shared" si="234"/>
        <v/>
      </c>
      <c r="UWC30" t="str">
        <f t="shared" si="234"/>
        <v/>
      </c>
      <c r="UWD30" t="str">
        <f t="shared" si="234"/>
        <v/>
      </c>
      <c r="UWE30" t="str">
        <f t="shared" si="234"/>
        <v/>
      </c>
      <c r="UWF30" t="str">
        <f t="shared" ref="UWF30:UYQ30" si="235">TRIM(UWR11)</f>
        <v/>
      </c>
      <c r="UWG30" t="str">
        <f t="shared" si="235"/>
        <v/>
      </c>
      <c r="UWH30" t="str">
        <f t="shared" si="235"/>
        <v/>
      </c>
      <c r="UWI30" t="str">
        <f t="shared" si="235"/>
        <v/>
      </c>
      <c r="UWJ30" t="str">
        <f t="shared" si="235"/>
        <v/>
      </c>
      <c r="UWK30" t="str">
        <f t="shared" si="235"/>
        <v/>
      </c>
      <c r="UWL30" t="str">
        <f t="shared" si="235"/>
        <v/>
      </c>
      <c r="UWM30" t="str">
        <f t="shared" si="235"/>
        <v/>
      </c>
      <c r="UWN30" t="str">
        <f t="shared" si="235"/>
        <v/>
      </c>
      <c r="UWO30" t="str">
        <f t="shared" si="235"/>
        <v/>
      </c>
      <c r="UWP30" t="str">
        <f t="shared" si="235"/>
        <v/>
      </c>
      <c r="UWQ30" t="str">
        <f t="shared" si="235"/>
        <v/>
      </c>
      <c r="UWR30" t="str">
        <f t="shared" si="235"/>
        <v/>
      </c>
      <c r="UWS30" t="str">
        <f t="shared" si="235"/>
        <v/>
      </c>
      <c r="UWT30" t="str">
        <f t="shared" si="235"/>
        <v/>
      </c>
      <c r="UWU30" t="str">
        <f t="shared" si="235"/>
        <v/>
      </c>
      <c r="UWV30" t="str">
        <f t="shared" si="235"/>
        <v/>
      </c>
      <c r="UWW30" t="str">
        <f t="shared" si="235"/>
        <v/>
      </c>
      <c r="UWX30" t="str">
        <f t="shared" si="235"/>
        <v/>
      </c>
      <c r="UWY30" t="str">
        <f t="shared" si="235"/>
        <v/>
      </c>
      <c r="UWZ30" t="str">
        <f t="shared" si="235"/>
        <v/>
      </c>
      <c r="UXA30" t="str">
        <f t="shared" si="235"/>
        <v/>
      </c>
      <c r="UXB30" t="str">
        <f t="shared" si="235"/>
        <v/>
      </c>
      <c r="UXC30" t="str">
        <f t="shared" si="235"/>
        <v/>
      </c>
      <c r="UXD30" t="str">
        <f t="shared" si="235"/>
        <v/>
      </c>
      <c r="UXE30" t="str">
        <f t="shared" si="235"/>
        <v/>
      </c>
      <c r="UXF30" t="str">
        <f t="shared" si="235"/>
        <v/>
      </c>
      <c r="UXG30" t="str">
        <f t="shared" si="235"/>
        <v/>
      </c>
      <c r="UXH30" t="str">
        <f t="shared" si="235"/>
        <v/>
      </c>
      <c r="UXI30" t="str">
        <f t="shared" si="235"/>
        <v/>
      </c>
      <c r="UXJ30" t="str">
        <f t="shared" si="235"/>
        <v/>
      </c>
      <c r="UXK30" t="str">
        <f t="shared" si="235"/>
        <v/>
      </c>
      <c r="UXL30" t="str">
        <f t="shared" si="235"/>
        <v/>
      </c>
      <c r="UXM30" t="str">
        <f t="shared" si="235"/>
        <v/>
      </c>
      <c r="UXN30" t="str">
        <f t="shared" si="235"/>
        <v/>
      </c>
      <c r="UXO30" t="str">
        <f t="shared" si="235"/>
        <v/>
      </c>
      <c r="UXP30" t="str">
        <f t="shared" si="235"/>
        <v/>
      </c>
      <c r="UXQ30" t="str">
        <f t="shared" si="235"/>
        <v/>
      </c>
      <c r="UXR30" t="str">
        <f t="shared" si="235"/>
        <v/>
      </c>
      <c r="UXS30" t="str">
        <f t="shared" si="235"/>
        <v/>
      </c>
      <c r="UXT30" t="str">
        <f t="shared" si="235"/>
        <v/>
      </c>
      <c r="UXU30" t="str">
        <f t="shared" si="235"/>
        <v/>
      </c>
      <c r="UXV30" t="str">
        <f t="shared" si="235"/>
        <v/>
      </c>
      <c r="UXW30" t="str">
        <f t="shared" si="235"/>
        <v/>
      </c>
      <c r="UXX30" t="str">
        <f t="shared" si="235"/>
        <v/>
      </c>
      <c r="UXY30" t="str">
        <f t="shared" si="235"/>
        <v/>
      </c>
      <c r="UXZ30" t="str">
        <f t="shared" si="235"/>
        <v/>
      </c>
      <c r="UYA30" t="str">
        <f t="shared" si="235"/>
        <v/>
      </c>
      <c r="UYB30" t="str">
        <f t="shared" si="235"/>
        <v/>
      </c>
      <c r="UYC30" t="str">
        <f t="shared" si="235"/>
        <v/>
      </c>
      <c r="UYD30" t="str">
        <f t="shared" si="235"/>
        <v/>
      </c>
      <c r="UYE30" t="str">
        <f t="shared" si="235"/>
        <v/>
      </c>
      <c r="UYF30" t="str">
        <f t="shared" si="235"/>
        <v/>
      </c>
      <c r="UYG30" t="str">
        <f t="shared" si="235"/>
        <v/>
      </c>
      <c r="UYH30" t="str">
        <f t="shared" si="235"/>
        <v/>
      </c>
      <c r="UYI30" t="str">
        <f t="shared" si="235"/>
        <v/>
      </c>
      <c r="UYJ30" t="str">
        <f t="shared" si="235"/>
        <v/>
      </c>
      <c r="UYK30" t="str">
        <f t="shared" si="235"/>
        <v/>
      </c>
      <c r="UYL30" t="str">
        <f t="shared" si="235"/>
        <v/>
      </c>
      <c r="UYM30" t="str">
        <f t="shared" si="235"/>
        <v/>
      </c>
      <c r="UYN30" t="str">
        <f t="shared" si="235"/>
        <v/>
      </c>
      <c r="UYO30" t="str">
        <f t="shared" si="235"/>
        <v/>
      </c>
      <c r="UYP30" t="str">
        <f t="shared" si="235"/>
        <v/>
      </c>
      <c r="UYQ30" t="str">
        <f t="shared" si="235"/>
        <v/>
      </c>
      <c r="UYR30" t="str">
        <f t="shared" ref="UYR30:VBC30" si="236">TRIM(UZD11)</f>
        <v/>
      </c>
      <c r="UYS30" t="str">
        <f t="shared" si="236"/>
        <v/>
      </c>
      <c r="UYT30" t="str">
        <f t="shared" si="236"/>
        <v/>
      </c>
      <c r="UYU30" t="str">
        <f t="shared" si="236"/>
        <v/>
      </c>
      <c r="UYV30" t="str">
        <f t="shared" si="236"/>
        <v/>
      </c>
      <c r="UYW30" t="str">
        <f t="shared" si="236"/>
        <v/>
      </c>
      <c r="UYX30" t="str">
        <f t="shared" si="236"/>
        <v/>
      </c>
      <c r="UYY30" t="str">
        <f t="shared" si="236"/>
        <v/>
      </c>
      <c r="UYZ30" t="str">
        <f t="shared" si="236"/>
        <v/>
      </c>
      <c r="UZA30" t="str">
        <f t="shared" si="236"/>
        <v/>
      </c>
      <c r="UZB30" t="str">
        <f t="shared" si="236"/>
        <v/>
      </c>
      <c r="UZC30" t="str">
        <f t="shared" si="236"/>
        <v/>
      </c>
      <c r="UZD30" t="str">
        <f t="shared" si="236"/>
        <v/>
      </c>
      <c r="UZE30" t="str">
        <f t="shared" si="236"/>
        <v/>
      </c>
      <c r="UZF30" t="str">
        <f t="shared" si="236"/>
        <v/>
      </c>
      <c r="UZG30" t="str">
        <f t="shared" si="236"/>
        <v/>
      </c>
      <c r="UZH30" t="str">
        <f t="shared" si="236"/>
        <v/>
      </c>
      <c r="UZI30" t="str">
        <f t="shared" si="236"/>
        <v/>
      </c>
      <c r="UZJ30" t="str">
        <f t="shared" si="236"/>
        <v/>
      </c>
      <c r="UZK30" t="str">
        <f t="shared" si="236"/>
        <v/>
      </c>
      <c r="UZL30" t="str">
        <f t="shared" si="236"/>
        <v/>
      </c>
      <c r="UZM30" t="str">
        <f t="shared" si="236"/>
        <v/>
      </c>
      <c r="UZN30" t="str">
        <f t="shared" si="236"/>
        <v/>
      </c>
      <c r="UZO30" t="str">
        <f t="shared" si="236"/>
        <v/>
      </c>
      <c r="UZP30" t="str">
        <f t="shared" si="236"/>
        <v/>
      </c>
      <c r="UZQ30" t="str">
        <f t="shared" si="236"/>
        <v/>
      </c>
      <c r="UZR30" t="str">
        <f t="shared" si="236"/>
        <v/>
      </c>
      <c r="UZS30" t="str">
        <f t="shared" si="236"/>
        <v/>
      </c>
      <c r="UZT30" t="str">
        <f t="shared" si="236"/>
        <v/>
      </c>
      <c r="UZU30" t="str">
        <f t="shared" si="236"/>
        <v/>
      </c>
      <c r="UZV30" t="str">
        <f t="shared" si="236"/>
        <v/>
      </c>
      <c r="UZW30" t="str">
        <f t="shared" si="236"/>
        <v/>
      </c>
      <c r="UZX30" t="str">
        <f t="shared" si="236"/>
        <v/>
      </c>
      <c r="UZY30" t="str">
        <f t="shared" si="236"/>
        <v/>
      </c>
      <c r="UZZ30" t="str">
        <f t="shared" si="236"/>
        <v/>
      </c>
      <c r="VAA30" t="str">
        <f t="shared" si="236"/>
        <v/>
      </c>
      <c r="VAB30" t="str">
        <f t="shared" si="236"/>
        <v/>
      </c>
      <c r="VAC30" t="str">
        <f t="shared" si="236"/>
        <v/>
      </c>
      <c r="VAD30" t="str">
        <f t="shared" si="236"/>
        <v/>
      </c>
      <c r="VAE30" t="str">
        <f t="shared" si="236"/>
        <v/>
      </c>
      <c r="VAF30" t="str">
        <f t="shared" si="236"/>
        <v/>
      </c>
      <c r="VAG30" t="str">
        <f t="shared" si="236"/>
        <v/>
      </c>
      <c r="VAH30" t="str">
        <f t="shared" si="236"/>
        <v/>
      </c>
      <c r="VAI30" t="str">
        <f t="shared" si="236"/>
        <v/>
      </c>
      <c r="VAJ30" t="str">
        <f t="shared" si="236"/>
        <v/>
      </c>
      <c r="VAK30" t="str">
        <f t="shared" si="236"/>
        <v/>
      </c>
      <c r="VAL30" t="str">
        <f t="shared" si="236"/>
        <v/>
      </c>
      <c r="VAM30" t="str">
        <f t="shared" si="236"/>
        <v/>
      </c>
      <c r="VAN30" t="str">
        <f t="shared" si="236"/>
        <v/>
      </c>
      <c r="VAO30" t="str">
        <f t="shared" si="236"/>
        <v/>
      </c>
      <c r="VAP30" t="str">
        <f t="shared" si="236"/>
        <v/>
      </c>
      <c r="VAQ30" t="str">
        <f t="shared" si="236"/>
        <v/>
      </c>
      <c r="VAR30" t="str">
        <f t="shared" si="236"/>
        <v/>
      </c>
      <c r="VAS30" t="str">
        <f t="shared" si="236"/>
        <v/>
      </c>
      <c r="VAT30" t="str">
        <f t="shared" si="236"/>
        <v/>
      </c>
      <c r="VAU30" t="str">
        <f t="shared" si="236"/>
        <v/>
      </c>
      <c r="VAV30" t="str">
        <f t="shared" si="236"/>
        <v/>
      </c>
      <c r="VAW30" t="str">
        <f t="shared" si="236"/>
        <v/>
      </c>
      <c r="VAX30" t="str">
        <f t="shared" si="236"/>
        <v/>
      </c>
      <c r="VAY30" t="str">
        <f t="shared" si="236"/>
        <v/>
      </c>
      <c r="VAZ30" t="str">
        <f t="shared" si="236"/>
        <v/>
      </c>
      <c r="VBA30" t="str">
        <f t="shared" si="236"/>
        <v/>
      </c>
      <c r="VBB30" t="str">
        <f t="shared" si="236"/>
        <v/>
      </c>
      <c r="VBC30" t="str">
        <f t="shared" si="236"/>
        <v/>
      </c>
      <c r="VBD30" t="str">
        <f t="shared" ref="VBD30:VDO30" si="237">TRIM(VBP11)</f>
        <v/>
      </c>
      <c r="VBE30" t="str">
        <f t="shared" si="237"/>
        <v/>
      </c>
      <c r="VBF30" t="str">
        <f t="shared" si="237"/>
        <v/>
      </c>
      <c r="VBG30" t="str">
        <f t="shared" si="237"/>
        <v/>
      </c>
      <c r="VBH30" t="str">
        <f t="shared" si="237"/>
        <v/>
      </c>
      <c r="VBI30" t="str">
        <f t="shared" si="237"/>
        <v/>
      </c>
      <c r="VBJ30" t="str">
        <f t="shared" si="237"/>
        <v/>
      </c>
      <c r="VBK30" t="str">
        <f t="shared" si="237"/>
        <v/>
      </c>
      <c r="VBL30" t="str">
        <f t="shared" si="237"/>
        <v/>
      </c>
      <c r="VBM30" t="str">
        <f t="shared" si="237"/>
        <v/>
      </c>
      <c r="VBN30" t="str">
        <f t="shared" si="237"/>
        <v/>
      </c>
      <c r="VBO30" t="str">
        <f t="shared" si="237"/>
        <v/>
      </c>
      <c r="VBP30" t="str">
        <f t="shared" si="237"/>
        <v/>
      </c>
      <c r="VBQ30" t="str">
        <f t="shared" si="237"/>
        <v/>
      </c>
      <c r="VBR30" t="str">
        <f t="shared" si="237"/>
        <v/>
      </c>
      <c r="VBS30" t="str">
        <f t="shared" si="237"/>
        <v/>
      </c>
      <c r="VBT30" t="str">
        <f t="shared" si="237"/>
        <v/>
      </c>
      <c r="VBU30" t="str">
        <f t="shared" si="237"/>
        <v/>
      </c>
      <c r="VBV30" t="str">
        <f t="shared" si="237"/>
        <v/>
      </c>
      <c r="VBW30" t="str">
        <f t="shared" si="237"/>
        <v/>
      </c>
      <c r="VBX30" t="str">
        <f t="shared" si="237"/>
        <v/>
      </c>
      <c r="VBY30" t="str">
        <f t="shared" si="237"/>
        <v/>
      </c>
      <c r="VBZ30" t="str">
        <f t="shared" si="237"/>
        <v/>
      </c>
      <c r="VCA30" t="str">
        <f t="shared" si="237"/>
        <v/>
      </c>
      <c r="VCB30" t="str">
        <f t="shared" si="237"/>
        <v/>
      </c>
      <c r="VCC30" t="str">
        <f t="shared" si="237"/>
        <v/>
      </c>
      <c r="VCD30" t="str">
        <f t="shared" si="237"/>
        <v/>
      </c>
      <c r="VCE30" t="str">
        <f t="shared" si="237"/>
        <v/>
      </c>
      <c r="VCF30" t="str">
        <f t="shared" si="237"/>
        <v/>
      </c>
      <c r="VCG30" t="str">
        <f t="shared" si="237"/>
        <v/>
      </c>
      <c r="VCH30" t="str">
        <f t="shared" si="237"/>
        <v/>
      </c>
      <c r="VCI30" t="str">
        <f t="shared" si="237"/>
        <v/>
      </c>
      <c r="VCJ30" t="str">
        <f t="shared" si="237"/>
        <v/>
      </c>
      <c r="VCK30" t="str">
        <f t="shared" si="237"/>
        <v/>
      </c>
      <c r="VCL30" t="str">
        <f t="shared" si="237"/>
        <v/>
      </c>
      <c r="VCM30" t="str">
        <f t="shared" si="237"/>
        <v/>
      </c>
      <c r="VCN30" t="str">
        <f t="shared" si="237"/>
        <v/>
      </c>
      <c r="VCO30" t="str">
        <f t="shared" si="237"/>
        <v/>
      </c>
      <c r="VCP30" t="str">
        <f t="shared" si="237"/>
        <v/>
      </c>
      <c r="VCQ30" t="str">
        <f t="shared" si="237"/>
        <v/>
      </c>
      <c r="VCR30" t="str">
        <f t="shared" si="237"/>
        <v/>
      </c>
      <c r="VCS30" t="str">
        <f t="shared" si="237"/>
        <v/>
      </c>
      <c r="VCT30" t="str">
        <f t="shared" si="237"/>
        <v/>
      </c>
      <c r="VCU30" t="str">
        <f t="shared" si="237"/>
        <v/>
      </c>
      <c r="VCV30" t="str">
        <f t="shared" si="237"/>
        <v/>
      </c>
      <c r="VCW30" t="str">
        <f t="shared" si="237"/>
        <v/>
      </c>
      <c r="VCX30" t="str">
        <f t="shared" si="237"/>
        <v/>
      </c>
      <c r="VCY30" t="str">
        <f t="shared" si="237"/>
        <v/>
      </c>
      <c r="VCZ30" t="str">
        <f t="shared" si="237"/>
        <v/>
      </c>
      <c r="VDA30" t="str">
        <f t="shared" si="237"/>
        <v/>
      </c>
      <c r="VDB30" t="str">
        <f t="shared" si="237"/>
        <v/>
      </c>
      <c r="VDC30" t="str">
        <f t="shared" si="237"/>
        <v/>
      </c>
      <c r="VDD30" t="str">
        <f t="shared" si="237"/>
        <v/>
      </c>
      <c r="VDE30" t="str">
        <f t="shared" si="237"/>
        <v/>
      </c>
      <c r="VDF30" t="str">
        <f t="shared" si="237"/>
        <v/>
      </c>
      <c r="VDG30" t="str">
        <f t="shared" si="237"/>
        <v/>
      </c>
      <c r="VDH30" t="str">
        <f t="shared" si="237"/>
        <v/>
      </c>
      <c r="VDI30" t="str">
        <f t="shared" si="237"/>
        <v/>
      </c>
      <c r="VDJ30" t="str">
        <f t="shared" si="237"/>
        <v/>
      </c>
      <c r="VDK30" t="str">
        <f t="shared" si="237"/>
        <v/>
      </c>
      <c r="VDL30" t="str">
        <f t="shared" si="237"/>
        <v/>
      </c>
      <c r="VDM30" t="str">
        <f t="shared" si="237"/>
        <v/>
      </c>
      <c r="VDN30" t="str">
        <f t="shared" si="237"/>
        <v/>
      </c>
      <c r="VDO30" t="str">
        <f t="shared" si="237"/>
        <v/>
      </c>
      <c r="VDP30" t="str">
        <f t="shared" ref="VDP30:VGA30" si="238">TRIM(VEB11)</f>
        <v/>
      </c>
      <c r="VDQ30" t="str">
        <f t="shared" si="238"/>
        <v/>
      </c>
      <c r="VDR30" t="str">
        <f t="shared" si="238"/>
        <v/>
      </c>
      <c r="VDS30" t="str">
        <f t="shared" si="238"/>
        <v/>
      </c>
      <c r="VDT30" t="str">
        <f t="shared" si="238"/>
        <v/>
      </c>
      <c r="VDU30" t="str">
        <f t="shared" si="238"/>
        <v/>
      </c>
      <c r="VDV30" t="str">
        <f t="shared" si="238"/>
        <v/>
      </c>
      <c r="VDW30" t="str">
        <f t="shared" si="238"/>
        <v/>
      </c>
      <c r="VDX30" t="str">
        <f t="shared" si="238"/>
        <v/>
      </c>
      <c r="VDY30" t="str">
        <f t="shared" si="238"/>
        <v/>
      </c>
      <c r="VDZ30" t="str">
        <f t="shared" si="238"/>
        <v/>
      </c>
      <c r="VEA30" t="str">
        <f t="shared" si="238"/>
        <v/>
      </c>
      <c r="VEB30" t="str">
        <f t="shared" si="238"/>
        <v/>
      </c>
      <c r="VEC30" t="str">
        <f t="shared" si="238"/>
        <v/>
      </c>
      <c r="VED30" t="str">
        <f t="shared" si="238"/>
        <v/>
      </c>
      <c r="VEE30" t="str">
        <f t="shared" si="238"/>
        <v/>
      </c>
      <c r="VEF30" t="str">
        <f t="shared" si="238"/>
        <v/>
      </c>
      <c r="VEG30" t="str">
        <f t="shared" si="238"/>
        <v/>
      </c>
      <c r="VEH30" t="str">
        <f t="shared" si="238"/>
        <v/>
      </c>
      <c r="VEI30" t="str">
        <f t="shared" si="238"/>
        <v/>
      </c>
      <c r="VEJ30" t="str">
        <f t="shared" si="238"/>
        <v/>
      </c>
      <c r="VEK30" t="str">
        <f t="shared" si="238"/>
        <v/>
      </c>
      <c r="VEL30" t="str">
        <f t="shared" si="238"/>
        <v/>
      </c>
      <c r="VEM30" t="str">
        <f t="shared" si="238"/>
        <v/>
      </c>
      <c r="VEN30" t="str">
        <f t="shared" si="238"/>
        <v/>
      </c>
      <c r="VEO30" t="str">
        <f t="shared" si="238"/>
        <v/>
      </c>
      <c r="VEP30" t="str">
        <f t="shared" si="238"/>
        <v/>
      </c>
      <c r="VEQ30" t="str">
        <f t="shared" si="238"/>
        <v/>
      </c>
      <c r="VER30" t="str">
        <f t="shared" si="238"/>
        <v/>
      </c>
      <c r="VES30" t="str">
        <f t="shared" si="238"/>
        <v/>
      </c>
      <c r="VET30" t="str">
        <f t="shared" si="238"/>
        <v/>
      </c>
      <c r="VEU30" t="str">
        <f t="shared" si="238"/>
        <v/>
      </c>
      <c r="VEV30" t="str">
        <f t="shared" si="238"/>
        <v/>
      </c>
      <c r="VEW30" t="str">
        <f t="shared" si="238"/>
        <v/>
      </c>
      <c r="VEX30" t="str">
        <f t="shared" si="238"/>
        <v/>
      </c>
      <c r="VEY30" t="str">
        <f t="shared" si="238"/>
        <v/>
      </c>
      <c r="VEZ30" t="str">
        <f t="shared" si="238"/>
        <v/>
      </c>
      <c r="VFA30" t="str">
        <f t="shared" si="238"/>
        <v/>
      </c>
      <c r="VFB30" t="str">
        <f t="shared" si="238"/>
        <v/>
      </c>
      <c r="VFC30" t="str">
        <f t="shared" si="238"/>
        <v/>
      </c>
      <c r="VFD30" t="str">
        <f t="shared" si="238"/>
        <v/>
      </c>
      <c r="VFE30" t="str">
        <f t="shared" si="238"/>
        <v/>
      </c>
      <c r="VFF30" t="str">
        <f t="shared" si="238"/>
        <v/>
      </c>
      <c r="VFG30" t="str">
        <f t="shared" si="238"/>
        <v/>
      </c>
      <c r="VFH30" t="str">
        <f t="shared" si="238"/>
        <v/>
      </c>
      <c r="VFI30" t="str">
        <f t="shared" si="238"/>
        <v/>
      </c>
      <c r="VFJ30" t="str">
        <f t="shared" si="238"/>
        <v/>
      </c>
      <c r="VFK30" t="str">
        <f t="shared" si="238"/>
        <v/>
      </c>
      <c r="VFL30" t="str">
        <f t="shared" si="238"/>
        <v/>
      </c>
      <c r="VFM30" t="str">
        <f t="shared" si="238"/>
        <v/>
      </c>
      <c r="VFN30" t="str">
        <f t="shared" si="238"/>
        <v/>
      </c>
      <c r="VFO30" t="str">
        <f t="shared" si="238"/>
        <v/>
      </c>
      <c r="VFP30" t="str">
        <f t="shared" si="238"/>
        <v/>
      </c>
      <c r="VFQ30" t="str">
        <f t="shared" si="238"/>
        <v/>
      </c>
      <c r="VFR30" t="str">
        <f t="shared" si="238"/>
        <v/>
      </c>
      <c r="VFS30" t="str">
        <f t="shared" si="238"/>
        <v/>
      </c>
      <c r="VFT30" t="str">
        <f t="shared" si="238"/>
        <v/>
      </c>
      <c r="VFU30" t="str">
        <f t="shared" si="238"/>
        <v/>
      </c>
      <c r="VFV30" t="str">
        <f t="shared" si="238"/>
        <v/>
      </c>
      <c r="VFW30" t="str">
        <f t="shared" si="238"/>
        <v/>
      </c>
      <c r="VFX30" t="str">
        <f t="shared" si="238"/>
        <v/>
      </c>
      <c r="VFY30" t="str">
        <f t="shared" si="238"/>
        <v/>
      </c>
      <c r="VFZ30" t="str">
        <f t="shared" si="238"/>
        <v/>
      </c>
      <c r="VGA30" t="str">
        <f t="shared" si="238"/>
        <v/>
      </c>
      <c r="VGB30" t="str">
        <f t="shared" ref="VGB30:VIM30" si="239">TRIM(VGN11)</f>
        <v/>
      </c>
      <c r="VGC30" t="str">
        <f t="shared" si="239"/>
        <v/>
      </c>
      <c r="VGD30" t="str">
        <f t="shared" si="239"/>
        <v/>
      </c>
      <c r="VGE30" t="str">
        <f t="shared" si="239"/>
        <v/>
      </c>
      <c r="VGF30" t="str">
        <f t="shared" si="239"/>
        <v/>
      </c>
      <c r="VGG30" t="str">
        <f t="shared" si="239"/>
        <v/>
      </c>
      <c r="VGH30" t="str">
        <f t="shared" si="239"/>
        <v/>
      </c>
      <c r="VGI30" t="str">
        <f t="shared" si="239"/>
        <v/>
      </c>
      <c r="VGJ30" t="str">
        <f t="shared" si="239"/>
        <v/>
      </c>
      <c r="VGK30" t="str">
        <f t="shared" si="239"/>
        <v/>
      </c>
      <c r="VGL30" t="str">
        <f t="shared" si="239"/>
        <v/>
      </c>
      <c r="VGM30" t="str">
        <f t="shared" si="239"/>
        <v/>
      </c>
      <c r="VGN30" t="str">
        <f t="shared" si="239"/>
        <v/>
      </c>
      <c r="VGO30" t="str">
        <f t="shared" si="239"/>
        <v/>
      </c>
      <c r="VGP30" t="str">
        <f t="shared" si="239"/>
        <v/>
      </c>
      <c r="VGQ30" t="str">
        <f t="shared" si="239"/>
        <v/>
      </c>
      <c r="VGR30" t="str">
        <f t="shared" si="239"/>
        <v/>
      </c>
      <c r="VGS30" t="str">
        <f t="shared" si="239"/>
        <v/>
      </c>
      <c r="VGT30" t="str">
        <f t="shared" si="239"/>
        <v/>
      </c>
      <c r="VGU30" t="str">
        <f t="shared" si="239"/>
        <v/>
      </c>
      <c r="VGV30" t="str">
        <f t="shared" si="239"/>
        <v/>
      </c>
      <c r="VGW30" t="str">
        <f t="shared" si="239"/>
        <v/>
      </c>
      <c r="VGX30" t="str">
        <f t="shared" si="239"/>
        <v/>
      </c>
      <c r="VGY30" t="str">
        <f t="shared" si="239"/>
        <v/>
      </c>
      <c r="VGZ30" t="str">
        <f t="shared" si="239"/>
        <v/>
      </c>
      <c r="VHA30" t="str">
        <f t="shared" si="239"/>
        <v/>
      </c>
      <c r="VHB30" t="str">
        <f t="shared" si="239"/>
        <v/>
      </c>
      <c r="VHC30" t="str">
        <f t="shared" si="239"/>
        <v/>
      </c>
      <c r="VHD30" t="str">
        <f t="shared" si="239"/>
        <v/>
      </c>
      <c r="VHE30" t="str">
        <f t="shared" si="239"/>
        <v/>
      </c>
      <c r="VHF30" t="str">
        <f t="shared" si="239"/>
        <v/>
      </c>
      <c r="VHG30" t="str">
        <f t="shared" si="239"/>
        <v/>
      </c>
      <c r="VHH30" t="str">
        <f t="shared" si="239"/>
        <v/>
      </c>
      <c r="VHI30" t="str">
        <f t="shared" si="239"/>
        <v/>
      </c>
      <c r="VHJ30" t="str">
        <f t="shared" si="239"/>
        <v/>
      </c>
      <c r="VHK30" t="str">
        <f t="shared" si="239"/>
        <v/>
      </c>
      <c r="VHL30" t="str">
        <f t="shared" si="239"/>
        <v/>
      </c>
      <c r="VHM30" t="str">
        <f t="shared" si="239"/>
        <v/>
      </c>
      <c r="VHN30" t="str">
        <f t="shared" si="239"/>
        <v/>
      </c>
      <c r="VHO30" t="str">
        <f t="shared" si="239"/>
        <v/>
      </c>
      <c r="VHP30" t="str">
        <f t="shared" si="239"/>
        <v/>
      </c>
      <c r="VHQ30" t="str">
        <f t="shared" si="239"/>
        <v/>
      </c>
      <c r="VHR30" t="str">
        <f t="shared" si="239"/>
        <v/>
      </c>
      <c r="VHS30" t="str">
        <f t="shared" si="239"/>
        <v/>
      </c>
      <c r="VHT30" t="str">
        <f t="shared" si="239"/>
        <v/>
      </c>
      <c r="VHU30" t="str">
        <f t="shared" si="239"/>
        <v/>
      </c>
      <c r="VHV30" t="str">
        <f t="shared" si="239"/>
        <v/>
      </c>
      <c r="VHW30" t="str">
        <f t="shared" si="239"/>
        <v/>
      </c>
      <c r="VHX30" t="str">
        <f t="shared" si="239"/>
        <v/>
      </c>
      <c r="VHY30" t="str">
        <f t="shared" si="239"/>
        <v/>
      </c>
      <c r="VHZ30" t="str">
        <f t="shared" si="239"/>
        <v/>
      </c>
      <c r="VIA30" t="str">
        <f t="shared" si="239"/>
        <v/>
      </c>
      <c r="VIB30" t="str">
        <f t="shared" si="239"/>
        <v/>
      </c>
      <c r="VIC30" t="str">
        <f t="shared" si="239"/>
        <v/>
      </c>
      <c r="VID30" t="str">
        <f t="shared" si="239"/>
        <v/>
      </c>
      <c r="VIE30" t="str">
        <f t="shared" si="239"/>
        <v/>
      </c>
      <c r="VIF30" t="str">
        <f t="shared" si="239"/>
        <v/>
      </c>
      <c r="VIG30" t="str">
        <f t="shared" si="239"/>
        <v/>
      </c>
      <c r="VIH30" t="str">
        <f t="shared" si="239"/>
        <v/>
      </c>
      <c r="VII30" t="str">
        <f t="shared" si="239"/>
        <v/>
      </c>
      <c r="VIJ30" t="str">
        <f t="shared" si="239"/>
        <v/>
      </c>
      <c r="VIK30" t="str">
        <f t="shared" si="239"/>
        <v/>
      </c>
      <c r="VIL30" t="str">
        <f t="shared" si="239"/>
        <v/>
      </c>
      <c r="VIM30" t="str">
        <f t="shared" si="239"/>
        <v/>
      </c>
      <c r="VIN30" t="str">
        <f t="shared" ref="VIN30:VKY30" si="240">TRIM(VIZ11)</f>
        <v/>
      </c>
      <c r="VIO30" t="str">
        <f t="shared" si="240"/>
        <v/>
      </c>
      <c r="VIP30" t="str">
        <f t="shared" si="240"/>
        <v/>
      </c>
      <c r="VIQ30" t="str">
        <f t="shared" si="240"/>
        <v/>
      </c>
      <c r="VIR30" t="str">
        <f t="shared" si="240"/>
        <v/>
      </c>
      <c r="VIS30" t="str">
        <f t="shared" si="240"/>
        <v/>
      </c>
      <c r="VIT30" t="str">
        <f t="shared" si="240"/>
        <v/>
      </c>
      <c r="VIU30" t="str">
        <f t="shared" si="240"/>
        <v/>
      </c>
      <c r="VIV30" t="str">
        <f t="shared" si="240"/>
        <v/>
      </c>
      <c r="VIW30" t="str">
        <f t="shared" si="240"/>
        <v/>
      </c>
      <c r="VIX30" t="str">
        <f t="shared" si="240"/>
        <v/>
      </c>
      <c r="VIY30" t="str">
        <f t="shared" si="240"/>
        <v/>
      </c>
      <c r="VIZ30" t="str">
        <f t="shared" si="240"/>
        <v/>
      </c>
      <c r="VJA30" t="str">
        <f t="shared" si="240"/>
        <v/>
      </c>
      <c r="VJB30" t="str">
        <f t="shared" si="240"/>
        <v/>
      </c>
      <c r="VJC30" t="str">
        <f t="shared" si="240"/>
        <v/>
      </c>
      <c r="VJD30" t="str">
        <f t="shared" si="240"/>
        <v/>
      </c>
      <c r="VJE30" t="str">
        <f t="shared" si="240"/>
        <v/>
      </c>
      <c r="VJF30" t="str">
        <f t="shared" si="240"/>
        <v/>
      </c>
      <c r="VJG30" t="str">
        <f t="shared" si="240"/>
        <v/>
      </c>
      <c r="VJH30" t="str">
        <f t="shared" si="240"/>
        <v/>
      </c>
      <c r="VJI30" t="str">
        <f t="shared" si="240"/>
        <v/>
      </c>
      <c r="VJJ30" t="str">
        <f t="shared" si="240"/>
        <v/>
      </c>
      <c r="VJK30" t="str">
        <f t="shared" si="240"/>
        <v/>
      </c>
      <c r="VJL30" t="str">
        <f t="shared" si="240"/>
        <v/>
      </c>
      <c r="VJM30" t="str">
        <f t="shared" si="240"/>
        <v/>
      </c>
      <c r="VJN30" t="str">
        <f t="shared" si="240"/>
        <v/>
      </c>
      <c r="VJO30" t="str">
        <f t="shared" si="240"/>
        <v/>
      </c>
      <c r="VJP30" t="str">
        <f t="shared" si="240"/>
        <v/>
      </c>
      <c r="VJQ30" t="str">
        <f t="shared" si="240"/>
        <v/>
      </c>
      <c r="VJR30" t="str">
        <f t="shared" si="240"/>
        <v/>
      </c>
      <c r="VJS30" t="str">
        <f t="shared" si="240"/>
        <v/>
      </c>
      <c r="VJT30" t="str">
        <f t="shared" si="240"/>
        <v/>
      </c>
      <c r="VJU30" t="str">
        <f t="shared" si="240"/>
        <v/>
      </c>
      <c r="VJV30" t="str">
        <f t="shared" si="240"/>
        <v/>
      </c>
      <c r="VJW30" t="str">
        <f t="shared" si="240"/>
        <v/>
      </c>
      <c r="VJX30" t="str">
        <f t="shared" si="240"/>
        <v/>
      </c>
      <c r="VJY30" t="str">
        <f t="shared" si="240"/>
        <v/>
      </c>
      <c r="VJZ30" t="str">
        <f t="shared" si="240"/>
        <v/>
      </c>
      <c r="VKA30" t="str">
        <f t="shared" si="240"/>
        <v/>
      </c>
      <c r="VKB30" t="str">
        <f t="shared" si="240"/>
        <v/>
      </c>
      <c r="VKC30" t="str">
        <f t="shared" si="240"/>
        <v/>
      </c>
      <c r="VKD30" t="str">
        <f t="shared" si="240"/>
        <v/>
      </c>
      <c r="VKE30" t="str">
        <f t="shared" si="240"/>
        <v/>
      </c>
      <c r="VKF30" t="str">
        <f t="shared" si="240"/>
        <v/>
      </c>
      <c r="VKG30" t="str">
        <f t="shared" si="240"/>
        <v/>
      </c>
      <c r="VKH30" t="str">
        <f t="shared" si="240"/>
        <v/>
      </c>
      <c r="VKI30" t="str">
        <f t="shared" si="240"/>
        <v/>
      </c>
      <c r="VKJ30" t="str">
        <f t="shared" si="240"/>
        <v/>
      </c>
      <c r="VKK30" t="str">
        <f t="shared" si="240"/>
        <v/>
      </c>
      <c r="VKL30" t="str">
        <f t="shared" si="240"/>
        <v/>
      </c>
      <c r="VKM30" t="str">
        <f t="shared" si="240"/>
        <v/>
      </c>
      <c r="VKN30" t="str">
        <f t="shared" si="240"/>
        <v/>
      </c>
      <c r="VKO30" t="str">
        <f t="shared" si="240"/>
        <v/>
      </c>
      <c r="VKP30" t="str">
        <f t="shared" si="240"/>
        <v/>
      </c>
      <c r="VKQ30" t="str">
        <f t="shared" si="240"/>
        <v/>
      </c>
      <c r="VKR30" t="str">
        <f t="shared" si="240"/>
        <v/>
      </c>
      <c r="VKS30" t="str">
        <f t="shared" si="240"/>
        <v/>
      </c>
      <c r="VKT30" t="str">
        <f t="shared" si="240"/>
        <v/>
      </c>
      <c r="VKU30" t="str">
        <f t="shared" si="240"/>
        <v/>
      </c>
      <c r="VKV30" t="str">
        <f t="shared" si="240"/>
        <v/>
      </c>
      <c r="VKW30" t="str">
        <f t="shared" si="240"/>
        <v/>
      </c>
      <c r="VKX30" t="str">
        <f t="shared" si="240"/>
        <v/>
      </c>
      <c r="VKY30" t="str">
        <f t="shared" si="240"/>
        <v/>
      </c>
      <c r="VKZ30" t="str">
        <f t="shared" ref="VKZ30:VNK30" si="241">TRIM(VLL11)</f>
        <v/>
      </c>
      <c r="VLA30" t="str">
        <f t="shared" si="241"/>
        <v/>
      </c>
      <c r="VLB30" t="str">
        <f t="shared" si="241"/>
        <v/>
      </c>
      <c r="VLC30" t="str">
        <f t="shared" si="241"/>
        <v/>
      </c>
      <c r="VLD30" t="str">
        <f t="shared" si="241"/>
        <v/>
      </c>
      <c r="VLE30" t="str">
        <f t="shared" si="241"/>
        <v/>
      </c>
      <c r="VLF30" t="str">
        <f t="shared" si="241"/>
        <v/>
      </c>
      <c r="VLG30" t="str">
        <f t="shared" si="241"/>
        <v/>
      </c>
      <c r="VLH30" t="str">
        <f t="shared" si="241"/>
        <v/>
      </c>
      <c r="VLI30" t="str">
        <f t="shared" si="241"/>
        <v/>
      </c>
      <c r="VLJ30" t="str">
        <f t="shared" si="241"/>
        <v/>
      </c>
      <c r="VLK30" t="str">
        <f t="shared" si="241"/>
        <v/>
      </c>
      <c r="VLL30" t="str">
        <f t="shared" si="241"/>
        <v/>
      </c>
      <c r="VLM30" t="str">
        <f t="shared" si="241"/>
        <v/>
      </c>
      <c r="VLN30" t="str">
        <f t="shared" si="241"/>
        <v/>
      </c>
      <c r="VLO30" t="str">
        <f t="shared" si="241"/>
        <v/>
      </c>
      <c r="VLP30" t="str">
        <f t="shared" si="241"/>
        <v/>
      </c>
      <c r="VLQ30" t="str">
        <f t="shared" si="241"/>
        <v/>
      </c>
      <c r="VLR30" t="str">
        <f t="shared" si="241"/>
        <v/>
      </c>
      <c r="VLS30" t="str">
        <f t="shared" si="241"/>
        <v/>
      </c>
      <c r="VLT30" t="str">
        <f t="shared" si="241"/>
        <v/>
      </c>
      <c r="VLU30" t="str">
        <f t="shared" si="241"/>
        <v/>
      </c>
      <c r="VLV30" t="str">
        <f t="shared" si="241"/>
        <v/>
      </c>
      <c r="VLW30" t="str">
        <f t="shared" si="241"/>
        <v/>
      </c>
      <c r="VLX30" t="str">
        <f t="shared" si="241"/>
        <v/>
      </c>
      <c r="VLY30" t="str">
        <f t="shared" si="241"/>
        <v/>
      </c>
      <c r="VLZ30" t="str">
        <f t="shared" si="241"/>
        <v/>
      </c>
      <c r="VMA30" t="str">
        <f t="shared" si="241"/>
        <v/>
      </c>
      <c r="VMB30" t="str">
        <f t="shared" si="241"/>
        <v/>
      </c>
      <c r="VMC30" t="str">
        <f t="shared" si="241"/>
        <v/>
      </c>
      <c r="VMD30" t="str">
        <f t="shared" si="241"/>
        <v/>
      </c>
      <c r="VME30" t="str">
        <f t="shared" si="241"/>
        <v/>
      </c>
      <c r="VMF30" t="str">
        <f t="shared" si="241"/>
        <v/>
      </c>
      <c r="VMG30" t="str">
        <f t="shared" si="241"/>
        <v/>
      </c>
      <c r="VMH30" t="str">
        <f t="shared" si="241"/>
        <v/>
      </c>
      <c r="VMI30" t="str">
        <f t="shared" si="241"/>
        <v/>
      </c>
      <c r="VMJ30" t="str">
        <f t="shared" si="241"/>
        <v/>
      </c>
      <c r="VMK30" t="str">
        <f t="shared" si="241"/>
        <v/>
      </c>
      <c r="VML30" t="str">
        <f t="shared" si="241"/>
        <v/>
      </c>
      <c r="VMM30" t="str">
        <f t="shared" si="241"/>
        <v/>
      </c>
      <c r="VMN30" t="str">
        <f t="shared" si="241"/>
        <v/>
      </c>
      <c r="VMO30" t="str">
        <f t="shared" si="241"/>
        <v/>
      </c>
      <c r="VMP30" t="str">
        <f t="shared" si="241"/>
        <v/>
      </c>
      <c r="VMQ30" t="str">
        <f t="shared" si="241"/>
        <v/>
      </c>
      <c r="VMR30" t="str">
        <f t="shared" si="241"/>
        <v/>
      </c>
      <c r="VMS30" t="str">
        <f t="shared" si="241"/>
        <v/>
      </c>
      <c r="VMT30" t="str">
        <f t="shared" si="241"/>
        <v/>
      </c>
      <c r="VMU30" t="str">
        <f t="shared" si="241"/>
        <v/>
      </c>
      <c r="VMV30" t="str">
        <f t="shared" si="241"/>
        <v/>
      </c>
      <c r="VMW30" t="str">
        <f t="shared" si="241"/>
        <v/>
      </c>
      <c r="VMX30" t="str">
        <f t="shared" si="241"/>
        <v/>
      </c>
      <c r="VMY30" t="str">
        <f t="shared" si="241"/>
        <v/>
      </c>
      <c r="VMZ30" t="str">
        <f t="shared" si="241"/>
        <v/>
      </c>
      <c r="VNA30" t="str">
        <f t="shared" si="241"/>
        <v/>
      </c>
      <c r="VNB30" t="str">
        <f t="shared" si="241"/>
        <v/>
      </c>
      <c r="VNC30" t="str">
        <f t="shared" si="241"/>
        <v/>
      </c>
      <c r="VND30" t="str">
        <f t="shared" si="241"/>
        <v/>
      </c>
      <c r="VNE30" t="str">
        <f t="shared" si="241"/>
        <v/>
      </c>
      <c r="VNF30" t="str">
        <f t="shared" si="241"/>
        <v/>
      </c>
      <c r="VNG30" t="str">
        <f t="shared" si="241"/>
        <v/>
      </c>
      <c r="VNH30" t="str">
        <f t="shared" si="241"/>
        <v/>
      </c>
      <c r="VNI30" t="str">
        <f t="shared" si="241"/>
        <v/>
      </c>
      <c r="VNJ30" t="str">
        <f t="shared" si="241"/>
        <v/>
      </c>
      <c r="VNK30" t="str">
        <f t="shared" si="241"/>
        <v/>
      </c>
      <c r="VNL30" t="str">
        <f t="shared" ref="VNL30:VPW30" si="242">TRIM(VNX11)</f>
        <v/>
      </c>
      <c r="VNM30" t="str">
        <f t="shared" si="242"/>
        <v/>
      </c>
      <c r="VNN30" t="str">
        <f t="shared" si="242"/>
        <v/>
      </c>
      <c r="VNO30" t="str">
        <f t="shared" si="242"/>
        <v/>
      </c>
      <c r="VNP30" t="str">
        <f t="shared" si="242"/>
        <v/>
      </c>
      <c r="VNQ30" t="str">
        <f t="shared" si="242"/>
        <v/>
      </c>
      <c r="VNR30" t="str">
        <f t="shared" si="242"/>
        <v/>
      </c>
      <c r="VNS30" t="str">
        <f t="shared" si="242"/>
        <v/>
      </c>
      <c r="VNT30" t="str">
        <f t="shared" si="242"/>
        <v/>
      </c>
      <c r="VNU30" t="str">
        <f t="shared" si="242"/>
        <v/>
      </c>
      <c r="VNV30" t="str">
        <f t="shared" si="242"/>
        <v/>
      </c>
      <c r="VNW30" t="str">
        <f t="shared" si="242"/>
        <v/>
      </c>
      <c r="VNX30" t="str">
        <f t="shared" si="242"/>
        <v/>
      </c>
      <c r="VNY30" t="str">
        <f t="shared" si="242"/>
        <v/>
      </c>
      <c r="VNZ30" t="str">
        <f t="shared" si="242"/>
        <v/>
      </c>
      <c r="VOA30" t="str">
        <f t="shared" si="242"/>
        <v/>
      </c>
      <c r="VOB30" t="str">
        <f t="shared" si="242"/>
        <v/>
      </c>
      <c r="VOC30" t="str">
        <f t="shared" si="242"/>
        <v/>
      </c>
      <c r="VOD30" t="str">
        <f t="shared" si="242"/>
        <v/>
      </c>
      <c r="VOE30" t="str">
        <f t="shared" si="242"/>
        <v/>
      </c>
      <c r="VOF30" t="str">
        <f t="shared" si="242"/>
        <v/>
      </c>
      <c r="VOG30" t="str">
        <f t="shared" si="242"/>
        <v/>
      </c>
      <c r="VOH30" t="str">
        <f t="shared" si="242"/>
        <v/>
      </c>
      <c r="VOI30" t="str">
        <f t="shared" si="242"/>
        <v/>
      </c>
      <c r="VOJ30" t="str">
        <f t="shared" si="242"/>
        <v/>
      </c>
      <c r="VOK30" t="str">
        <f t="shared" si="242"/>
        <v/>
      </c>
      <c r="VOL30" t="str">
        <f t="shared" si="242"/>
        <v/>
      </c>
      <c r="VOM30" t="str">
        <f t="shared" si="242"/>
        <v/>
      </c>
      <c r="VON30" t="str">
        <f t="shared" si="242"/>
        <v/>
      </c>
      <c r="VOO30" t="str">
        <f t="shared" si="242"/>
        <v/>
      </c>
      <c r="VOP30" t="str">
        <f t="shared" si="242"/>
        <v/>
      </c>
      <c r="VOQ30" t="str">
        <f t="shared" si="242"/>
        <v/>
      </c>
      <c r="VOR30" t="str">
        <f t="shared" si="242"/>
        <v/>
      </c>
      <c r="VOS30" t="str">
        <f t="shared" si="242"/>
        <v/>
      </c>
      <c r="VOT30" t="str">
        <f t="shared" si="242"/>
        <v/>
      </c>
      <c r="VOU30" t="str">
        <f t="shared" si="242"/>
        <v/>
      </c>
      <c r="VOV30" t="str">
        <f t="shared" si="242"/>
        <v/>
      </c>
      <c r="VOW30" t="str">
        <f t="shared" si="242"/>
        <v/>
      </c>
      <c r="VOX30" t="str">
        <f t="shared" si="242"/>
        <v/>
      </c>
      <c r="VOY30" t="str">
        <f t="shared" si="242"/>
        <v/>
      </c>
      <c r="VOZ30" t="str">
        <f t="shared" si="242"/>
        <v/>
      </c>
      <c r="VPA30" t="str">
        <f t="shared" si="242"/>
        <v/>
      </c>
      <c r="VPB30" t="str">
        <f t="shared" si="242"/>
        <v/>
      </c>
      <c r="VPC30" t="str">
        <f t="shared" si="242"/>
        <v/>
      </c>
      <c r="VPD30" t="str">
        <f t="shared" si="242"/>
        <v/>
      </c>
      <c r="VPE30" t="str">
        <f t="shared" si="242"/>
        <v/>
      </c>
      <c r="VPF30" t="str">
        <f t="shared" si="242"/>
        <v/>
      </c>
      <c r="VPG30" t="str">
        <f t="shared" si="242"/>
        <v/>
      </c>
      <c r="VPH30" t="str">
        <f t="shared" si="242"/>
        <v/>
      </c>
      <c r="VPI30" t="str">
        <f t="shared" si="242"/>
        <v/>
      </c>
      <c r="VPJ30" t="str">
        <f t="shared" si="242"/>
        <v/>
      </c>
      <c r="VPK30" t="str">
        <f t="shared" si="242"/>
        <v/>
      </c>
      <c r="VPL30" t="str">
        <f t="shared" si="242"/>
        <v/>
      </c>
      <c r="VPM30" t="str">
        <f t="shared" si="242"/>
        <v/>
      </c>
      <c r="VPN30" t="str">
        <f t="shared" si="242"/>
        <v/>
      </c>
      <c r="VPO30" t="str">
        <f t="shared" si="242"/>
        <v/>
      </c>
      <c r="VPP30" t="str">
        <f t="shared" si="242"/>
        <v/>
      </c>
      <c r="VPQ30" t="str">
        <f t="shared" si="242"/>
        <v/>
      </c>
      <c r="VPR30" t="str">
        <f t="shared" si="242"/>
        <v/>
      </c>
      <c r="VPS30" t="str">
        <f t="shared" si="242"/>
        <v/>
      </c>
      <c r="VPT30" t="str">
        <f t="shared" si="242"/>
        <v/>
      </c>
      <c r="VPU30" t="str">
        <f t="shared" si="242"/>
        <v/>
      </c>
      <c r="VPV30" t="str">
        <f t="shared" si="242"/>
        <v/>
      </c>
      <c r="VPW30" t="str">
        <f t="shared" si="242"/>
        <v/>
      </c>
      <c r="VPX30" t="str">
        <f t="shared" ref="VPX30:VSI30" si="243">TRIM(VQJ11)</f>
        <v/>
      </c>
      <c r="VPY30" t="str">
        <f t="shared" si="243"/>
        <v/>
      </c>
      <c r="VPZ30" t="str">
        <f t="shared" si="243"/>
        <v/>
      </c>
      <c r="VQA30" t="str">
        <f t="shared" si="243"/>
        <v/>
      </c>
      <c r="VQB30" t="str">
        <f t="shared" si="243"/>
        <v/>
      </c>
      <c r="VQC30" t="str">
        <f t="shared" si="243"/>
        <v/>
      </c>
      <c r="VQD30" t="str">
        <f t="shared" si="243"/>
        <v/>
      </c>
      <c r="VQE30" t="str">
        <f t="shared" si="243"/>
        <v/>
      </c>
      <c r="VQF30" t="str">
        <f t="shared" si="243"/>
        <v/>
      </c>
      <c r="VQG30" t="str">
        <f t="shared" si="243"/>
        <v/>
      </c>
      <c r="VQH30" t="str">
        <f t="shared" si="243"/>
        <v/>
      </c>
      <c r="VQI30" t="str">
        <f t="shared" si="243"/>
        <v/>
      </c>
      <c r="VQJ30" t="str">
        <f t="shared" si="243"/>
        <v/>
      </c>
      <c r="VQK30" t="str">
        <f t="shared" si="243"/>
        <v/>
      </c>
      <c r="VQL30" t="str">
        <f t="shared" si="243"/>
        <v/>
      </c>
      <c r="VQM30" t="str">
        <f t="shared" si="243"/>
        <v/>
      </c>
      <c r="VQN30" t="str">
        <f t="shared" si="243"/>
        <v/>
      </c>
      <c r="VQO30" t="str">
        <f t="shared" si="243"/>
        <v/>
      </c>
      <c r="VQP30" t="str">
        <f t="shared" si="243"/>
        <v/>
      </c>
      <c r="VQQ30" t="str">
        <f t="shared" si="243"/>
        <v/>
      </c>
      <c r="VQR30" t="str">
        <f t="shared" si="243"/>
        <v/>
      </c>
      <c r="VQS30" t="str">
        <f t="shared" si="243"/>
        <v/>
      </c>
      <c r="VQT30" t="str">
        <f t="shared" si="243"/>
        <v/>
      </c>
      <c r="VQU30" t="str">
        <f t="shared" si="243"/>
        <v/>
      </c>
      <c r="VQV30" t="str">
        <f t="shared" si="243"/>
        <v/>
      </c>
      <c r="VQW30" t="str">
        <f t="shared" si="243"/>
        <v/>
      </c>
      <c r="VQX30" t="str">
        <f t="shared" si="243"/>
        <v/>
      </c>
      <c r="VQY30" t="str">
        <f t="shared" si="243"/>
        <v/>
      </c>
      <c r="VQZ30" t="str">
        <f t="shared" si="243"/>
        <v/>
      </c>
      <c r="VRA30" t="str">
        <f t="shared" si="243"/>
        <v/>
      </c>
      <c r="VRB30" t="str">
        <f t="shared" si="243"/>
        <v/>
      </c>
      <c r="VRC30" t="str">
        <f t="shared" si="243"/>
        <v/>
      </c>
      <c r="VRD30" t="str">
        <f t="shared" si="243"/>
        <v/>
      </c>
      <c r="VRE30" t="str">
        <f t="shared" si="243"/>
        <v/>
      </c>
      <c r="VRF30" t="str">
        <f t="shared" si="243"/>
        <v/>
      </c>
      <c r="VRG30" t="str">
        <f t="shared" si="243"/>
        <v/>
      </c>
      <c r="VRH30" t="str">
        <f t="shared" si="243"/>
        <v/>
      </c>
      <c r="VRI30" t="str">
        <f t="shared" si="243"/>
        <v/>
      </c>
      <c r="VRJ30" t="str">
        <f t="shared" si="243"/>
        <v/>
      </c>
      <c r="VRK30" t="str">
        <f t="shared" si="243"/>
        <v/>
      </c>
      <c r="VRL30" t="str">
        <f t="shared" si="243"/>
        <v/>
      </c>
      <c r="VRM30" t="str">
        <f t="shared" si="243"/>
        <v/>
      </c>
      <c r="VRN30" t="str">
        <f t="shared" si="243"/>
        <v/>
      </c>
      <c r="VRO30" t="str">
        <f t="shared" si="243"/>
        <v/>
      </c>
      <c r="VRP30" t="str">
        <f t="shared" si="243"/>
        <v/>
      </c>
      <c r="VRQ30" t="str">
        <f t="shared" si="243"/>
        <v/>
      </c>
      <c r="VRR30" t="str">
        <f t="shared" si="243"/>
        <v/>
      </c>
      <c r="VRS30" t="str">
        <f t="shared" si="243"/>
        <v/>
      </c>
      <c r="VRT30" t="str">
        <f t="shared" si="243"/>
        <v/>
      </c>
      <c r="VRU30" t="str">
        <f t="shared" si="243"/>
        <v/>
      </c>
      <c r="VRV30" t="str">
        <f t="shared" si="243"/>
        <v/>
      </c>
      <c r="VRW30" t="str">
        <f t="shared" si="243"/>
        <v/>
      </c>
      <c r="VRX30" t="str">
        <f t="shared" si="243"/>
        <v/>
      </c>
      <c r="VRY30" t="str">
        <f t="shared" si="243"/>
        <v/>
      </c>
      <c r="VRZ30" t="str">
        <f t="shared" si="243"/>
        <v/>
      </c>
      <c r="VSA30" t="str">
        <f t="shared" si="243"/>
        <v/>
      </c>
      <c r="VSB30" t="str">
        <f t="shared" si="243"/>
        <v/>
      </c>
      <c r="VSC30" t="str">
        <f t="shared" si="243"/>
        <v/>
      </c>
      <c r="VSD30" t="str">
        <f t="shared" si="243"/>
        <v/>
      </c>
      <c r="VSE30" t="str">
        <f t="shared" si="243"/>
        <v/>
      </c>
      <c r="VSF30" t="str">
        <f t="shared" si="243"/>
        <v/>
      </c>
      <c r="VSG30" t="str">
        <f t="shared" si="243"/>
        <v/>
      </c>
      <c r="VSH30" t="str">
        <f t="shared" si="243"/>
        <v/>
      </c>
      <c r="VSI30" t="str">
        <f t="shared" si="243"/>
        <v/>
      </c>
      <c r="VSJ30" t="str">
        <f t="shared" ref="VSJ30:VUU30" si="244">TRIM(VSV11)</f>
        <v/>
      </c>
      <c r="VSK30" t="str">
        <f t="shared" si="244"/>
        <v/>
      </c>
      <c r="VSL30" t="str">
        <f t="shared" si="244"/>
        <v/>
      </c>
      <c r="VSM30" t="str">
        <f t="shared" si="244"/>
        <v/>
      </c>
      <c r="VSN30" t="str">
        <f t="shared" si="244"/>
        <v/>
      </c>
      <c r="VSO30" t="str">
        <f t="shared" si="244"/>
        <v/>
      </c>
      <c r="VSP30" t="str">
        <f t="shared" si="244"/>
        <v/>
      </c>
      <c r="VSQ30" t="str">
        <f t="shared" si="244"/>
        <v/>
      </c>
      <c r="VSR30" t="str">
        <f t="shared" si="244"/>
        <v/>
      </c>
      <c r="VSS30" t="str">
        <f t="shared" si="244"/>
        <v/>
      </c>
      <c r="VST30" t="str">
        <f t="shared" si="244"/>
        <v/>
      </c>
      <c r="VSU30" t="str">
        <f t="shared" si="244"/>
        <v/>
      </c>
      <c r="VSV30" t="str">
        <f t="shared" si="244"/>
        <v/>
      </c>
      <c r="VSW30" t="str">
        <f t="shared" si="244"/>
        <v/>
      </c>
      <c r="VSX30" t="str">
        <f t="shared" si="244"/>
        <v/>
      </c>
      <c r="VSY30" t="str">
        <f t="shared" si="244"/>
        <v/>
      </c>
      <c r="VSZ30" t="str">
        <f t="shared" si="244"/>
        <v/>
      </c>
      <c r="VTA30" t="str">
        <f t="shared" si="244"/>
        <v/>
      </c>
      <c r="VTB30" t="str">
        <f t="shared" si="244"/>
        <v/>
      </c>
      <c r="VTC30" t="str">
        <f t="shared" si="244"/>
        <v/>
      </c>
      <c r="VTD30" t="str">
        <f t="shared" si="244"/>
        <v/>
      </c>
      <c r="VTE30" t="str">
        <f t="shared" si="244"/>
        <v/>
      </c>
      <c r="VTF30" t="str">
        <f t="shared" si="244"/>
        <v/>
      </c>
      <c r="VTG30" t="str">
        <f t="shared" si="244"/>
        <v/>
      </c>
      <c r="VTH30" t="str">
        <f t="shared" si="244"/>
        <v/>
      </c>
      <c r="VTI30" t="str">
        <f t="shared" si="244"/>
        <v/>
      </c>
      <c r="VTJ30" t="str">
        <f t="shared" si="244"/>
        <v/>
      </c>
      <c r="VTK30" t="str">
        <f t="shared" si="244"/>
        <v/>
      </c>
      <c r="VTL30" t="str">
        <f t="shared" si="244"/>
        <v/>
      </c>
      <c r="VTM30" t="str">
        <f t="shared" si="244"/>
        <v/>
      </c>
      <c r="VTN30" t="str">
        <f t="shared" si="244"/>
        <v/>
      </c>
      <c r="VTO30" t="str">
        <f t="shared" si="244"/>
        <v/>
      </c>
      <c r="VTP30" t="str">
        <f t="shared" si="244"/>
        <v/>
      </c>
      <c r="VTQ30" t="str">
        <f t="shared" si="244"/>
        <v/>
      </c>
      <c r="VTR30" t="str">
        <f t="shared" si="244"/>
        <v/>
      </c>
      <c r="VTS30" t="str">
        <f t="shared" si="244"/>
        <v/>
      </c>
      <c r="VTT30" t="str">
        <f t="shared" si="244"/>
        <v/>
      </c>
      <c r="VTU30" t="str">
        <f t="shared" si="244"/>
        <v/>
      </c>
      <c r="VTV30" t="str">
        <f t="shared" si="244"/>
        <v/>
      </c>
      <c r="VTW30" t="str">
        <f t="shared" si="244"/>
        <v/>
      </c>
      <c r="VTX30" t="str">
        <f t="shared" si="244"/>
        <v/>
      </c>
      <c r="VTY30" t="str">
        <f t="shared" si="244"/>
        <v/>
      </c>
      <c r="VTZ30" t="str">
        <f t="shared" si="244"/>
        <v/>
      </c>
      <c r="VUA30" t="str">
        <f t="shared" si="244"/>
        <v/>
      </c>
      <c r="VUB30" t="str">
        <f t="shared" si="244"/>
        <v/>
      </c>
      <c r="VUC30" t="str">
        <f t="shared" si="244"/>
        <v/>
      </c>
      <c r="VUD30" t="str">
        <f t="shared" si="244"/>
        <v/>
      </c>
      <c r="VUE30" t="str">
        <f t="shared" si="244"/>
        <v/>
      </c>
      <c r="VUF30" t="str">
        <f t="shared" si="244"/>
        <v/>
      </c>
      <c r="VUG30" t="str">
        <f t="shared" si="244"/>
        <v/>
      </c>
      <c r="VUH30" t="str">
        <f t="shared" si="244"/>
        <v/>
      </c>
      <c r="VUI30" t="str">
        <f t="shared" si="244"/>
        <v/>
      </c>
      <c r="VUJ30" t="str">
        <f t="shared" si="244"/>
        <v/>
      </c>
      <c r="VUK30" t="str">
        <f t="shared" si="244"/>
        <v/>
      </c>
      <c r="VUL30" t="str">
        <f t="shared" si="244"/>
        <v/>
      </c>
      <c r="VUM30" t="str">
        <f t="shared" si="244"/>
        <v/>
      </c>
      <c r="VUN30" t="str">
        <f t="shared" si="244"/>
        <v/>
      </c>
      <c r="VUO30" t="str">
        <f t="shared" si="244"/>
        <v/>
      </c>
      <c r="VUP30" t="str">
        <f t="shared" si="244"/>
        <v/>
      </c>
      <c r="VUQ30" t="str">
        <f t="shared" si="244"/>
        <v/>
      </c>
      <c r="VUR30" t="str">
        <f t="shared" si="244"/>
        <v/>
      </c>
      <c r="VUS30" t="str">
        <f t="shared" si="244"/>
        <v/>
      </c>
      <c r="VUT30" t="str">
        <f t="shared" si="244"/>
        <v/>
      </c>
      <c r="VUU30" t="str">
        <f t="shared" si="244"/>
        <v/>
      </c>
      <c r="VUV30" t="str">
        <f t="shared" ref="VUV30:VXG30" si="245">TRIM(VVH11)</f>
        <v/>
      </c>
      <c r="VUW30" t="str">
        <f t="shared" si="245"/>
        <v/>
      </c>
      <c r="VUX30" t="str">
        <f t="shared" si="245"/>
        <v/>
      </c>
      <c r="VUY30" t="str">
        <f t="shared" si="245"/>
        <v/>
      </c>
      <c r="VUZ30" t="str">
        <f t="shared" si="245"/>
        <v/>
      </c>
      <c r="VVA30" t="str">
        <f t="shared" si="245"/>
        <v/>
      </c>
      <c r="VVB30" t="str">
        <f t="shared" si="245"/>
        <v/>
      </c>
      <c r="VVC30" t="str">
        <f t="shared" si="245"/>
        <v/>
      </c>
      <c r="VVD30" t="str">
        <f t="shared" si="245"/>
        <v/>
      </c>
      <c r="VVE30" t="str">
        <f t="shared" si="245"/>
        <v/>
      </c>
      <c r="VVF30" t="str">
        <f t="shared" si="245"/>
        <v/>
      </c>
      <c r="VVG30" t="str">
        <f t="shared" si="245"/>
        <v/>
      </c>
      <c r="VVH30" t="str">
        <f t="shared" si="245"/>
        <v/>
      </c>
      <c r="VVI30" t="str">
        <f t="shared" si="245"/>
        <v/>
      </c>
      <c r="VVJ30" t="str">
        <f t="shared" si="245"/>
        <v/>
      </c>
      <c r="VVK30" t="str">
        <f t="shared" si="245"/>
        <v/>
      </c>
      <c r="VVL30" t="str">
        <f t="shared" si="245"/>
        <v/>
      </c>
      <c r="VVM30" t="str">
        <f t="shared" si="245"/>
        <v/>
      </c>
      <c r="VVN30" t="str">
        <f t="shared" si="245"/>
        <v/>
      </c>
      <c r="VVO30" t="str">
        <f t="shared" si="245"/>
        <v/>
      </c>
      <c r="VVP30" t="str">
        <f t="shared" si="245"/>
        <v/>
      </c>
      <c r="VVQ30" t="str">
        <f t="shared" si="245"/>
        <v/>
      </c>
      <c r="VVR30" t="str">
        <f t="shared" si="245"/>
        <v/>
      </c>
      <c r="VVS30" t="str">
        <f t="shared" si="245"/>
        <v/>
      </c>
      <c r="VVT30" t="str">
        <f t="shared" si="245"/>
        <v/>
      </c>
      <c r="VVU30" t="str">
        <f t="shared" si="245"/>
        <v/>
      </c>
      <c r="VVV30" t="str">
        <f t="shared" si="245"/>
        <v/>
      </c>
      <c r="VVW30" t="str">
        <f t="shared" si="245"/>
        <v/>
      </c>
      <c r="VVX30" t="str">
        <f t="shared" si="245"/>
        <v/>
      </c>
      <c r="VVY30" t="str">
        <f t="shared" si="245"/>
        <v/>
      </c>
      <c r="VVZ30" t="str">
        <f t="shared" si="245"/>
        <v/>
      </c>
      <c r="VWA30" t="str">
        <f t="shared" si="245"/>
        <v/>
      </c>
      <c r="VWB30" t="str">
        <f t="shared" si="245"/>
        <v/>
      </c>
      <c r="VWC30" t="str">
        <f t="shared" si="245"/>
        <v/>
      </c>
      <c r="VWD30" t="str">
        <f t="shared" si="245"/>
        <v/>
      </c>
      <c r="VWE30" t="str">
        <f t="shared" si="245"/>
        <v/>
      </c>
      <c r="VWF30" t="str">
        <f t="shared" si="245"/>
        <v/>
      </c>
      <c r="VWG30" t="str">
        <f t="shared" si="245"/>
        <v/>
      </c>
      <c r="VWH30" t="str">
        <f t="shared" si="245"/>
        <v/>
      </c>
      <c r="VWI30" t="str">
        <f t="shared" si="245"/>
        <v/>
      </c>
      <c r="VWJ30" t="str">
        <f t="shared" si="245"/>
        <v/>
      </c>
      <c r="VWK30" t="str">
        <f t="shared" si="245"/>
        <v/>
      </c>
      <c r="VWL30" t="str">
        <f t="shared" si="245"/>
        <v/>
      </c>
      <c r="VWM30" t="str">
        <f t="shared" si="245"/>
        <v/>
      </c>
      <c r="VWN30" t="str">
        <f t="shared" si="245"/>
        <v/>
      </c>
      <c r="VWO30" t="str">
        <f t="shared" si="245"/>
        <v/>
      </c>
      <c r="VWP30" t="str">
        <f t="shared" si="245"/>
        <v/>
      </c>
      <c r="VWQ30" t="str">
        <f t="shared" si="245"/>
        <v/>
      </c>
      <c r="VWR30" t="str">
        <f t="shared" si="245"/>
        <v/>
      </c>
      <c r="VWS30" t="str">
        <f t="shared" si="245"/>
        <v/>
      </c>
      <c r="VWT30" t="str">
        <f t="shared" si="245"/>
        <v/>
      </c>
      <c r="VWU30" t="str">
        <f t="shared" si="245"/>
        <v/>
      </c>
      <c r="VWV30" t="str">
        <f t="shared" si="245"/>
        <v/>
      </c>
      <c r="VWW30" t="str">
        <f t="shared" si="245"/>
        <v/>
      </c>
      <c r="VWX30" t="str">
        <f t="shared" si="245"/>
        <v/>
      </c>
      <c r="VWY30" t="str">
        <f t="shared" si="245"/>
        <v/>
      </c>
      <c r="VWZ30" t="str">
        <f t="shared" si="245"/>
        <v/>
      </c>
      <c r="VXA30" t="str">
        <f t="shared" si="245"/>
        <v/>
      </c>
      <c r="VXB30" t="str">
        <f t="shared" si="245"/>
        <v/>
      </c>
      <c r="VXC30" t="str">
        <f t="shared" si="245"/>
        <v/>
      </c>
      <c r="VXD30" t="str">
        <f t="shared" si="245"/>
        <v/>
      </c>
      <c r="VXE30" t="str">
        <f t="shared" si="245"/>
        <v/>
      </c>
      <c r="VXF30" t="str">
        <f t="shared" si="245"/>
        <v/>
      </c>
      <c r="VXG30" t="str">
        <f t="shared" si="245"/>
        <v/>
      </c>
      <c r="VXH30" t="str">
        <f t="shared" ref="VXH30:VZS30" si="246">TRIM(VXT11)</f>
        <v/>
      </c>
      <c r="VXI30" t="str">
        <f t="shared" si="246"/>
        <v/>
      </c>
      <c r="VXJ30" t="str">
        <f t="shared" si="246"/>
        <v/>
      </c>
      <c r="VXK30" t="str">
        <f t="shared" si="246"/>
        <v/>
      </c>
      <c r="VXL30" t="str">
        <f t="shared" si="246"/>
        <v/>
      </c>
      <c r="VXM30" t="str">
        <f t="shared" si="246"/>
        <v/>
      </c>
      <c r="VXN30" t="str">
        <f t="shared" si="246"/>
        <v/>
      </c>
      <c r="VXO30" t="str">
        <f t="shared" si="246"/>
        <v/>
      </c>
      <c r="VXP30" t="str">
        <f t="shared" si="246"/>
        <v/>
      </c>
      <c r="VXQ30" t="str">
        <f t="shared" si="246"/>
        <v/>
      </c>
      <c r="VXR30" t="str">
        <f t="shared" si="246"/>
        <v/>
      </c>
      <c r="VXS30" t="str">
        <f t="shared" si="246"/>
        <v/>
      </c>
      <c r="VXT30" t="str">
        <f t="shared" si="246"/>
        <v/>
      </c>
      <c r="VXU30" t="str">
        <f t="shared" si="246"/>
        <v/>
      </c>
      <c r="VXV30" t="str">
        <f t="shared" si="246"/>
        <v/>
      </c>
      <c r="VXW30" t="str">
        <f t="shared" si="246"/>
        <v/>
      </c>
      <c r="VXX30" t="str">
        <f t="shared" si="246"/>
        <v/>
      </c>
      <c r="VXY30" t="str">
        <f t="shared" si="246"/>
        <v/>
      </c>
      <c r="VXZ30" t="str">
        <f t="shared" si="246"/>
        <v/>
      </c>
      <c r="VYA30" t="str">
        <f t="shared" si="246"/>
        <v/>
      </c>
      <c r="VYB30" t="str">
        <f t="shared" si="246"/>
        <v/>
      </c>
      <c r="VYC30" t="str">
        <f t="shared" si="246"/>
        <v/>
      </c>
      <c r="VYD30" t="str">
        <f t="shared" si="246"/>
        <v/>
      </c>
      <c r="VYE30" t="str">
        <f t="shared" si="246"/>
        <v/>
      </c>
      <c r="VYF30" t="str">
        <f t="shared" si="246"/>
        <v/>
      </c>
      <c r="VYG30" t="str">
        <f t="shared" si="246"/>
        <v/>
      </c>
      <c r="VYH30" t="str">
        <f t="shared" si="246"/>
        <v/>
      </c>
      <c r="VYI30" t="str">
        <f t="shared" si="246"/>
        <v/>
      </c>
      <c r="VYJ30" t="str">
        <f t="shared" si="246"/>
        <v/>
      </c>
      <c r="VYK30" t="str">
        <f t="shared" si="246"/>
        <v/>
      </c>
      <c r="VYL30" t="str">
        <f t="shared" si="246"/>
        <v/>
      </c>
      <c r="VYM30" t="str">
        <f t="shared" si="246"/>
        <v/>
      </c>
      <c r="VYN30" t="str">
        <f t="shared" si="246"/>
        <v/>
      </c>
      <c r="VYO30" t="str">
        <f t="shared" si="246"/>
        <v/>
      </c>
      <c r="VYP30" t="str">
        <f t="shared" si="246"/>
        <v/>
      </c>
      <c r="VYQ30" t="str">
        <f t="shared" si="246"/>
        <v/>
      </c>
      <c r="VYR30" t="str">
        <f t="shared" si="246"/>
        <v/>
      </c>
      <c r="VYS30" t="str">
        <f t="shared" si="246"/>
        <v/>
      </c>
      <c r="VYT30" t="str">
        <f t="shared" si="246"/>
        <v/>
      </c>
      <c r="VYU30" t="str">
        <f t="shared" si="246"/>
        <v/>
      </c>
      <c r="VYV30" t="str">
        <f t="shared" si="246"/>
        <v/>
      </c>
      <c r="VYW30" t="str">
        <f t="shared" si="246"/>
        <v/>
      </c>
      <c r="VYX30" t="str">
        <f t="shared" si="246"/>
        <v/>
      </c>
      <c r="VYY30" t="str">
        <f t="shared" si="246"/>
        <v/>
      </c>
      <c r="VYZ30" t="str">
        <f t="shared" si="246"/>
        <v/>
      </c>
      <c r="VZA30" t="str">
        <f t="shared" si="246"/>
        <v/>
      </c>
      <c r="VZB30" t="str">
        <f t="shared" si="246"/>
        <v/>
      </c>
      <c r="VZC30" t="str">
        <f t="shared" si="246"/>
        <v/>
      </c>
      <c r="VZD30" t="str">
        <f t="shared" si="246"/>
        <v/>
      </c>
      <c r="VZE30" t="str">
        <f t="shared" si="246"/>
        <v/>
      </c>
      <c r="VZF30" t="str">
        <f t="shared" si="246"/>
        <v/>
      </c>
      <c r="VZG30" t="str">
        <f t="shared" si="246"/>
        <v/>
      </c>
      <c r="VZH30" t="str">
        <f t="shared" si="246"/>
        <v/>
      </c>
      <c r="VZI30" t="str">
        <f t="shared" si="246"/>
        <v/>
      </c>
      <c r="VZJ30" t="str">
        <f t="shared" si="246"/>
        <v/>
      </c>
      <c r="VZK30" t="str">
        <f t="shared" si="246"/>
        <v/>
      </c>
      <c r="VZL30" t="str">
        <f t="shared" si="246"/>
        <v/>
      </c>
      <c r="VZM30" t="str">
        <f t="shared" si="246"/>
        <v/>
      </c>
      <c r="VZN30" t="str">
        <f t="shared" si="246"/>
        <v/>
      </c>
      <c r="VZO30" t="str">
        <f t="shared" si="246"/>
        <v/>
      </c>
      <c r="VZP30" t="str">
        <f t="shared" si="246"/>
        <v/>
      </c>
      <c r="VZQ30" t="str">
        <f t="shared" si="246"/>
        <v/>
      </c>
      <c r="VZR30" t="str">
        <f t="shared" si="246"/>
        <v/>
      </c>
      <c r="VZS30" t="str">
        <f t="shared" si="246"/>
        <v/>
      </c>
      <c r="VZT30" t="str">
        <f t="shared" ref="VZT30:WCE30" si="247">TRIM(WAF11)</f>
        <v/>
      </c>
      <c r="VZU30" t="str">
        <f t="shared" si="247"/>
        <v/>
      </c>
      <c r="VZV30" t="str">
        <f t="shared" si="247"/>
        <v/>
      </c>
      <c r="VZW30" t="str">
        <f t="shared" si="247"/>
        <v/>
      </c>
      <c r="VZX30" t="str">
        <f t="shared" si="247"/>
        <v/>
      </c>
      <c r="VZY30" t="str">
        <f t="shared" si="247"/>
        <v/>
      </c>
      <c r="VZZ30" t="str">
        <f t="shared" si="247"/>
        <v/>
      </c>
      <c r="WAA30" t="str">
        <f t="shared" si="247"/>
        <v/>
      </c>
      <c r="WAB30" t="str">
        <f t="shared" si="247"/>
        <v/>
      </c>
      <c r="WAC30" t="str">
        <f t="shared" si="247"/>
        <v/>
      </c>
      <c r="WAD30" t="str">
        <f t="shared" si="247"/>
        <v/>
      </c>
      <c r="WAE30" t="str">
        <f t="shared" si="247"/>
        <v/>
      </c>
      <c r="WAF30" t="str">
        <f t="shared" si="247"/>
        <v/>
      </c>
      <c r="WAG30" t="str">
        <f t="shared" si="247"/>
        <v/>
      </c>
      <c r="WAH30" t="str">
        <f t="shared" si="247"/>
        <v/>
      </c>
      <c r="WAI30" t="str">
        <f t="shared" si="247"/>
        <v/>
      </c>
      <c r="WAJ30" t="str">
        <f t="shared" si="247"/>
        <v/>
      </c>
      <c r="WAK30" t="str">
        <f t="shared" si="247"/>
        <v/>
      </c>
      <c r="WAL30" t="str">
        <f t="shared" si="247"/>
        <v/>
      </c>
      <c r="WAM30" t="str">
        <f t="shared" si="247"/>
        <v/>
      </c>
      <c r="WAN30" t="str">
        <f t="shared" si="247"/>
        <v/>
      </c>
      <c r="WAO30" t="str">
        <f t="shared" si="247"/>
        <v/>
      </c>
      <c r="WAP30" t="str">
        <f t="shared" si="247"/>
        <v/>
      </c>
      <c r="WAQ30" t="str">
        <f t="shared" si="247"/>
        <v/>
      </c>
      <c r="WAR30" t="str">
        <f t="shared" si="247"/>
        <v/>
      </c>
      <c r="WAS30" t="str">
        <f t="shared" si="247"/>
        <v/>
      </c>
      <c r="WAT30" t="str">
        <f t="shared" si="247"/>
        <v/>
      </c>
      <c r="WAU30" t="str">
        <f t="shared" si="247"/>
        <v/>
      </c>
      <c r="WAV30" t="str">
        <f t="shared" si="247"/>
        <v/>
      </c>
      <c r="WAW30" t="str">
        <f t="shared" si="247"/>
        <v/>
      </c>
      <c r="WAX30" t="str">
        <f t="shared" si="247"/>
        <v/>
      </c>
      <c r="WAY30" t="str">
        <f t="shared" si="247"/>
        <v/>
      </c>
      <c r="WAZ30" t="str">
        <f t="shared" si="247"/>
        <v/>
      </c>
      <c r="WBA30" t="str">
        <f t="shared" si="247"/>
        <v/>
      </c>
      <c r="WBB30" t="str">
        <f t="shared" si="247"/>
        <v/>
      </c>
      <c r="WBC30" t="str">
        <f t="shared" si="247"/>
        <v/>
      </c>
      <c r="WBD30" t="str">
        <f t="shared" si="247"/>
        <v/>
      </c>
      <c r="WBE30" t="str">
        <f t="shared" si="247"/>
        <v/>
      </c>
      <c r="WBF30" t="str">
        <f t="shared" si="247"/>
        <v/>
      </c>
      <c r="WBG30" t="str">
        <f t="shared" si="247"/>
        <v/>
      </c>
      <c r="WBH30" t="str">
        <f t="shared" si="247"/>
        <v/>
      </c>
      <c r="WBI30" t="str">
        <f t="shared" si="247"/>
        <v/>
      </c>
      <c r="WBJ30" t="str">
        <f t="shared" si="247"/>
        <v/>
      </c>
      <c r="WBK30" t="str">
        <f t="shared" si="247"/>
        <v/>
      </c>
      <c r="WBL30" t="str">
        <f t="shared" si="247"/>
        <v/>
      </c>
      <c r="WBM30" t="str">
        <f t="shared" si="247"/>
        <v/>
      </c>
      <c r="WBN30" t="str">
        <f t="shared" si="247"/>
        <v/>
      </c>
      <c r="WBO30" t="str">
        <f t="shared" si="247"/>
        <v/>
      </c>
      <c r="WBP30" t="str">
        <f t="shared" si="247"/>
        <v/>
      </c>
      <c r="WBQ30" t="str">
        <f t="shared" si="247"/>
        <v/>
      </c>
      <c r="WBR30" t="str">
        <f t="shared" si="247"/>
        <v/>
      </c>
      <c r="WBS30" t="str">
        <f t="shared" si="247"/>
        <v/>
      </c>
      <c r="WBT30" t="str">
        <f t="shared" si="247"/>
        <v/>
      </c>
      <c r="WBU30" t="str">
        <f t="shared" si="247"/>
        <v/>
      </c>
      <c r="WBV30" t="str">
        <f t="shared" si="247"/>
        <v/>
      </c>
      <c r="WBW30" t="str">
        <f t="shared" si="247"/>
        <v/>
      </c>
      <c r="WBX30" t="str">
        <f t="shared" si="247"/>
        <v/>
      </c>
      <c r="WBY30" t="str">
        <f t="shared" si="247"/>
        <v/>
      </c>
      <c r="WBZ30" t="str">
        <f t="shared" si="247"/>
        <v/>
      </c>
      <c r="WCA30" t="str">
        <f t="shared" si="247"/>
        <v/>
      </c>
      <c r="WCB30" t="str">
        <f t="shared" si="247"/>
        <v/>
      </c>
      <c r="WCC30" t="str">
        <f t="shared" si="247"/>
        <v/>
      </c>
      <c r="WCD30" t="str">
        <f t="shared" si="247"/>
        <v/>
      </c>
      <c r="WCE30" t="str">
        <f t="shared" si="247"/>
        <v/>
      </c>
      <c r="WCF30" t="str">
        <f t="shared" ref="WCF30:WEQ30" si="248">TRIM(WCR11)</f>
        <v/>
      </c>
      <c r="WCG30" t="str">
        <f t="shared" si="248"/>
        <v/>
      </c>
      <c r="WCH30" t="str">
        <f t="shared" si="248"/>
        <v/>
      </c>
      <c r="WCI30" t="str">
        <f t="shared" si="248"/>
        <v/>
      </c>
      <c r="WCJ30" t="str">
        <f t="shared" si="248"/>
        <v/>
      </c>
      <c r="WCK30" t="str">
        <f t="shared" si="248"/>
        <v/>
      </c>
      <c r="WCL30" t="str">
        <f t="shared" si="248"/>
        <v/>
      </c>
      <c r="WCM30" t="str">
        <f t="shared" si="248"/>
        <v/>
      </c>
      <c r="WCN30" t="str">
        <f t="shared" si="248"/>
        <v/>
      </c>
      <c r="WCO30" t="str">
        <f t="shared" si="248"/>
        <v/>
      </c>
      <c r="WCP30" t="str">
        <f t="shared" si="248"/>
        <v/>
      </c>
      <c r="WCQ30" t="str">
        <f t="shared" si="248"/>
        <v/>
      </c>
      <c r="WCR30" t="str">
        <f t="shared" si="248"/>
        <v/>
      </c>
      <c r="WCS30" t="str">
        <f t="shared" si="248"/>
        <v/>
      </c>
      <c r="WCT30" t="str">
        <f t="shared" si="248"/>
        <v/>
      </c>
      <c r="WCU30" t="str">
        <f t="shared" si="248"/>
        <v/>
      </c>
      <c r="WCV30" t="str">
        <f t="shared" si="248"/>
        <v/>
      </c>
      <c r="WCW30" t="str">
        <f t="shared" si="248"/>
        <v/>
      </c>
      <c r="WCX30" t="str">
        <f t="shared" si="248"/>
        <v/>
      </c>
      <c r="WCY30" t="str">
        <f t="shared" si="248"/>
        <v/>
      </c>
      <c r="WCZ30" t="str">
        <f t="shared" si="248"/>
        <v/>
      </c>
      <c r="WDA30" t="str">
        <f t="shared" si="248"/>
        <v/>
      </c>
      <c r="WDB30" t="str">
        <f t="shared" si="248"/>
        <v/>
      </c>
      <c r="WDC30" t="str">
        <f t="shared" si="248"/>
        <v/>
      </c>
      <c r="WDD30" t="str">
        <f t="shared" si="248"/>
        <v/>
      </c>
      <c r="WDE30" t="str">
        <f t="shared" si="248"/>
        <v/>
      </c>
      <c r="WDF30" t="str">
        <f t="shared" si="248"/>
        <v/>
      </c>
      <c r="WDG30" t="str">
        <f t="shared" si="248"/>
        <v/>
      </c>
      <c r="WDH30" t="str">
        <f t="shared" si="248"/>
        <v/>
      </c>
      <c r="WDI30" t="str">
        <f t="shared" si="248"/>
        <v/>
      </c>
      <c r="WDJ30" t="str">
        <f t="shared" si="248"/>
        <v/>
      </c>
      <c r="WDK30" t="str">
        <f t="shared" si="248"/>
        <v/>
      </c>
      <c r="WDL30" t="str">
        <f t="shared" si="248"/>
        <v/>
      </c>
      <c r="WDM30" t="str">
        <f t="shared" si="248"/>
        <v/>
      </c>
      <c r="WDN30" t="str">
        <f t="shared" si="248"/>
        <v/>
      </c>
      <c r="WDO30" t="str">
        <f t="shared" si="248"/>
        <v/>
      </c>
      <c r="WDP30" t="str">
        <f t="shared" si="248"/>
        <v/>
      </c>
      <c r="WDQ30" t="str">
        <f t="shared" si="248"/>
        <v/>
      </c>
      <c r="WDR30" t="str">
        <f t="shared" si="248"/>
        <v/>
      </c>
      <c r="WDS30" t="str">
        <f t="shared" si="248"/>
        <v/>
      </c>
      <c r="WDT30" t="str">
        <f t="shared" si="248"/>
        <v/>
      </c>
      <c r="WDU30" t="str">
        <f t="shared" si="248"/>
        <v/>
      </c>
      <c r="WDV30" t="str">
        <f t="shared" si="248"/>
        <v/>
      </c>
      <c r="WDW30" t="str">
        <f t="shared" si="248"/>
        <v/>
      </c>
      <c r="WDX30" t="str">
        <f t="shared" si="248"/>
        <v/>
      </c>
      <c r="WDY30" t="str">
        <f t="shared" si="248"/>
        <v/>
      </c>
      <c r="WDZ30" t="str">
        <f t="shared" si="248"/>
        <v/>
      </c>
      <c r="WEA30" t="str">
        <f t="shared" si="248"/>
        <v/>
      </c>
      <c r="WEB30" t="str">
        <f t="shared" si="248"/>
        <v/>
      </c>
      <c r="WEC30" t="str">
        <f t="shared" si="248"/>
        <v/>
      </c>
      <c r="WED30" t="str">
        <f t="shared" si="248"/>
        <v/>
      </c>
      <c r="WEE30" t="str">
        <f t="shared" si="248"/>
        <v/>
      </c>
      <c r="WEF30" t="str">
        <f t="shared" si="248"/>
        <v/>
      </c>
      <c r="WEG30" t="str">
        <f t="shared" si="248"/>
        <v/>
      </c>
      <c r="WEH30" t="str">
        <f t="shared" si="248"/>
        <v/>
      </c>
      <c r="WEI30" t="str">
        <f t="shared" si="248"/>
        <v/>
      </c>
      <c r="WEJ30" t="str">
        <f t="shared" si="248"/>
        <v/>
      </c>
      <c r="WEK30" t="str">
        <f t="shared" si="248"/>
        <v/>
      </c>
      <c r="WEL30" t="str">
        <f t="shared" si="248"/>
        <v/>
      </c>
      <c r="WEM30" t="str">
        <f t="shared" si="248"/>
        <v/>
      </c>
      <c r="WEN30" t="str">
        <f t="shared" si="248"/>
        <v/>
      </c>
      <c r="WEO30" t="str">
        <f t="shared" si="248"/>
        <v/>
      </c>
      <c r="WEP30" t="str">
        <f t="shared" si="248"/>
        <v/>
      </c>
      <c r="WEQ30" t="str">
        <f t="shared" si="248"/>
        <v/>
      </c>
      <c r="WER30" t="str">
        <f t="shared" ref="WER30:WHC30" si="249">TRIM(WFD11)</f>
        <v/>
      </c>
      <c r="WES30" t="str">
        <f t="shared" si="249"/>
        <v/>
      </c>
      <c r="WET30" t="str">
        <f t="shared" si="249"/>
        <v/>
      </c>
      <c r="WEU30" t="str">
        <f t="shared" si="249"/>
        <v/>
      </c>
      <c r="WEV30" t="str">
        <f t="shared" si="249"/>
        <v/>
      </c>
      <c r="WEW30" t="str">
        <f t="shared" si="249"/>
        <v/>
      </c>
      <c r="WEX30" t="str">
        <f t="shared" si="249"/>
        <v/>
      </c>
      <c r="WEY30" t="str">
        <f t="shared" si="249"/>
        <v/>
      </c>
      <c r="WEZ30" t="str">
        <f t="shared" si="249"/>
        <v/>
      </c>
      <c r="WFA30" t="str">
        <f t="shared" si="249"/>
        <v/>
      </c>
      <c r="WFB30" t="str">
        <f t="shared" si="249"/>
        <v/>
      </c>
      <c r="WFC30" t="str">
        <f t="shared" si="249"/>
        <v/>
      </c>
      <c r="WFD30" t="str">
        <f t="shared" si="249"/>
        <v/>
      </c>
      <c r="WFE30" t="str">
        <f t="shared" si="249"/>
        <v/>
      </c>
      <c r="WFF30" t="str">
        <f t="shared" si="249"/>
        <v/>
      </c>
      <c r="WFG30" t="str">
        <f t="shared" si="249"/>
        <v/>
      </c>
      <c r="WFH30" t="str">
        <f t="shared" si="249"/>
        <v/>
      </c>
      <c r="WFI30" t="str">
        <f t="shared" si="249"/>
        <v/>
      </c>
      <c r="WFJ30" t="str">
        <f t="shared" si="249"/>
        <v/>
      </c>
      <c r="WFK30" t="str">
        <f t="shared" si="249"/>
        <v/>
      </c>
      <c r="WFL30" t="str">
        <f t="shared" si="249"/>
        <v/>
      </c>
      <c r="WFM30" t="str">
        <f t="shared" si="249"/>
        <v/>
      </c>
      <c r="WFN30" t="str">
        <f t="shared" si="249"/>
        <v/>
      </c>
      <c r="WFO30" t="str">
        <f t="shared" si="249"/>
        <v/>
      </c>
      <c r="WFP30" t="str">
        <f t="shared" si="249"/>
        <v/>
      </c>
      <c r="WFQ30" t="str">
        <f t="shared" si="249"/>
        <v/>
      </c>
      <c r="WFR30" t="str">
        <f t="shared" si="249"/>
        <v/>
      </c>
      <c r="WFS30" t="str">
        <f t="shared" si="249"/>
        <v/>
      </c>
      <c r="WFT30" t="str">
        <f t="shared" si="249"/>
        <v/>
      </c>
      <c r="WFU30" t="str">
        <f t="shared" si="249"/>
        <v/>
      </c>
      <c r="WFV30" t="str">
        <f t="shared" si="249"/>
        <v/>
      </c>
      <c r="WFW30" t="str">
        <f t="shared" si="249"/>
        <v/>
      </c>
      <c r="WFX30" t="str">
        <f t="shared" si="249"/>
        <v/>
      </c>
      <c r="WFY30" t="str">
        <f t="shared" si="249"/>
        <v/>
      </c>
      <c r="WFZ30" t="str">
        <f t="shared" si="249"/>
        <v/>
      </c>
      <c r="WGA30" t="str">
        <f t="shared" si="249"/>
        <v/>
      </c>
      <c r="WGB30" t="str">
        <f t="shared" si="249"/>
        <v/>
      </c>
      <c r="WGC30" t="str">
        <f t="shared" si="249"/>
        <v/>
      </c>
      <c r="WGD30" t="str">
        <f t="shared" si="249"/>
        <v/>
      </c>
      <c r="WGE30" t="str">
        <f t="shared" si="249"/>
        <v/>
      </c>
      <c r="WGF30" t="str">
        <f t="shared" si="249"/>
        <v/>
      </c>
      <c r="WGG30" t="str">
        <f t="shared" si="249"/>
        <v/>
      </c>
      <c r="WGH30" t="str">
        <f t="shared" si="249"/>
        <v/>
      </c>
      <c r="WGI30" t="str">
        <f t="shared" si="249"/>
        <v/>
      </c>
      <c r="WGJ30" t="str">
        <f t="shared" si="249"/>
        <v/>
      </c>
      <c r="WGK30" t="str">
        <f t="shared" si="249"/>
        <v/>
      </c>
      <c r="WGL30" t="str">
        <f t="shared" si="249"/>
        <v/>
      </c>
      <c r="WGM30" t="str">
        <f t="shared" si="249"/>
        <v/>
      </c>
      <c r="WGN30" t="str">
        <f t="shared" si="249"/>
        <v/>
      </c>
      <c r="WGO30" t="str">
        <f t="shared" si="249"/>
        <v/>
      </c>
      <c r="WGP30" t="str">
        <f t="shared" si="249"/>
        <v/>
      </c>
      <c r="WGQ30" t="str">
        <f t="shared" si="249"/>
        <v/>
      </c>
      <c r="WGR30" t="str">
        <f t="shared" si="249"/>
        <v/>
      </c>
      <c r="WGS30" t="str">
        <f t="shared" si="249"/>
        <v/>
      </c>
      <c r="WGT30" t="str">
        <f t="shared" si="249"/>
        <v/>
      </c>
      <c r="WGU30" t="str">
        <f t="shared" si="249"/>
        <v/>
      </c>
      <c r="WGV30" t="str">
        <f t="shared" si="249"/>
        <v/>
      </c>
      <c r="WGW30" t="str">
        <f t="shared" si="249"/>
        <v/>
      </c>
      <c r="WGX30" t="str">
        <f t="shared" si="249"/>
        <v/>
      </c>
      <c r="WGY30" t="str">
        <f t="shared" si="249"/>
        <v/>
      </c>
      <c r="WGZ30" t="str">
        <f t="shared" si="249"/>
        <v/>
      </c>
      <c r="WHA30" t="str">
        <f t="shared" si="249"/>
        <v/>
      </c>
      <c r="WHB30" t="str">
        <f t="shared" si="249"/>
        <v/>
      </c>
      <c r="WHC30" t="str">
        <f t="shared" si="249"/>
        <v/>
      </c>
      <c r="WHD30" t="str">
        <f t="shared" ref="WHD30:WJO30" si="250">TRIM(WHP11)</f>
        <v/>
      </c>
      <c r="WHE30" t="str">
        <f t="shared" si="250"/>
        <v/>
      </c>
      <c r="WHF30" t="str">
        <f t="shared" si="250"/>
        <v/>
      </c>
      <c r="WHG30" t="str">
        <f t="shared" si="250"/>
        <v/>
      </c>
      <c r="WHH30" t="str">
        <f t="shared" si="250"/>
        <v/>
      </c>
      <c r="WHI30" t="str">
        <f t="shared" si="250"/>
        <v/>
      </c>
      <c r="WHJ30" t="str">
        <f t="shared" si="250"/>
        <v/>
      </c>
      <c r="WHK30" t="str">
        <f t="shared" si="250"/>
        <v/>
      </c>
      <c r="WHL30" t="str">
        <f t="shared" si="250"/>
        <v/>
      </c>
      <c r="WHM30" t="str">
        <f t="shared" si="250"/>
        <v/>
      </c>
      <c r="WHN30" t="str">
        <f t="shared" si="250"/>
        <v/>
      </c>
      <c r="WHO30" t="str">
        <f t="shared" si="250"/>
        <v/>
      </c>
      <c r="WHP30" t="str">
        <f t="shared" si="250"/>
        <v/>
      </c>
      <c r="WHQ30" t="str">
        <f t="shared" si="250"/>
        <v/>
      </c>
      <c r="WHR30" t="str">
        <f t="shared" si="250"/>
        <v/>
      </c>
      <c r="WHS30" t="str">
        <f t="shared" si="250"/>
        <v/>
      </c>
      <c r="WHT30" t="str">
        <f t="shared" si="250"/>
        <v/>
      </c>
      <c r="WHU30" t="str">
        <f t="shared" si="250"/>
        <v/>
      </c>
      <c r="WHV30" t="str">
        <f t="shared" si="250"/>
        <v/>
      </c>
      <c r="WHW30" t="str">
        <f t="shared" si="250"/>
        <v/>
      </c>
      <c r="WHX30" t="str">
        <f t="shared" si="250"/>
        <v/>
      </c>
      <c r="WHY30" t="str">
        <f t="shared" si="250"/>
        <v/>
      </c>
      <c r="WHZ30" t="str">
        <f t="shared" si="250"/>
        <v/>
      </c>
      <c r="WIA30" t="str">
        <f t="shared" si="250"/>
        <v/>
      </c>
      <c r="WIB30" t="str">
        <f t="shared" si="250"/>
        <v/>
      </c>
      <c r="WIC30" t="str">
        <f t="shared" si="250"/>
        <v/>
      </c>
      <c r="WID30" t="str">
        <f t="shared" si="250"/>
        <v/>
      </c>
      <c r="WIE30" t="str">
        <f t="shared" si="250"/>
        <v/>
      </c>
      <c r="WIF30" t="str">
        <f t="shared" si="250"/>
        <v/>
      </c>
      <c r="WIG30" t="str">
        <f t="shared" si="250"/>
        <v/>
      </c>
      <c r="WIH30" t="str">
        <f t="shared" si="250"/>
        <v/>
      </c>
      <c r="WII30" t="str">
        <f t="shared" si="250"/>
        <v/>
      </c>
      <c r="WIJ30" t="str">
        <f t="shared" si="250"/>
        <v/>
      </c>
      <c r="WIK30" t="str">
        <f t="shared" si="250"/>
        <v/>
      </c>
      <c r="WIL30" t="str">
        <f t="shared" si="250"/>
        <v/>
      </c>
      <c r="WIM30" t="str">
        <f t="shared" si="250"/>
        <v/>
      </c>
      <c r="WIN30" t="str">
        <f t="shared" si="250"/>
        <v/>
      </c>
      <c r="WIO30" t="str">
        <f t="shared" si="250"/>
        <v/>
      </c>
      <c r="WIP30" t="str">
        <f t="shared" si="250"/>
        <v/>
      </c>
      <c r="WIQ30" t="str">
        <f t="shared" si="250"/>
        <v/>
      </c>
      <c r="WIR30" t="str">
        <f t="shared" si="250"/>
        <v/>
      </c>
      <c r="WIS30" t="str">
        <f t="shared" si="250"/>
        <v/>
      </c>
      <c r="WIT30" t="str">
        <f t="shared" si="250"/>
        <v/>
      </c>
      <c r="WIU30" t="str">
        <f t="shared" si="250"/>
        <v/>
      </c>
      <c r="WIV30" t="str">
        <f t="shared" si="250"/>
        <v/>
      </c>
      <c r="WIW30" t="str">
        <f t="shared" si="250"/>
        <v/>
      </c>
      <c r="WIX30" t="str">
        <f t="shared" si="250"/>
        <v/>
      </c>
      <c r="WIY30" t="str">
        <f t="shared" si="250"/>
        <v/>
      </c>
      <c r="WIZ30" t="str">
        <f t="shared" si="250"/>
        <v/>
      </c>
      <c r="WJA30" t="str">
        <f t="shared" si="250"/>
        <v/>
      </c>
      <c r="WJB30" t="str">
        <f t="shared" si="250"/>
        <v/>
      </c>
      <c r="WJC30" t="str">
        <f t="shared" si="250"/>
        <v/>
      </c>
      <c r="WJD30" t="str">
        <f t="shared" si="250"/>
        <v/>
      </c>
      <c r="WJE30" t="str">
        <f t="shared" si="250"/>
        <v/>
      </c>
      <c r="WJF30" t="str">
        <f t="shared" si="250"/>
        <v/>
      </c>
      <c r="WJG30" t="str">
        <f t="shared" si="250"/>
        <v/>
      </c>
      <c r="WJH30" t="str">
        <f t="shared" si="250"/>
        <v/>
      </c>
      <c r="WJI30" t="str">
        <f t="shared" si="250"/>
        <v/>
      </c>
      <c r="WJJ30" t="str">
        <f t="shared" si="250"/>
        <v/>
      </c>
      <c r="WJK30" t="str">
        <f t="shared" si="250"/>
        <v/>
      </c>
      <c r="WJL30" t="str">
        <f t="shared" si="250"/>
        <v/>
      </c>
      <c r="WJM30" t="str">
        <f t="shared" si="250"/>
        <v/>
      </c>
      <c r="WJN30" t="str">
        <f t="shared" si="250"/>
        <v/>
      </c>
      <c r="WJO30" t="str">
        <f t="shared" si="250"/>
        <v/>
      </c>
      <c r="WJP30" t="str">
        <f t="shared" ref="WJP30:WMA30" si="251">TRIM(WKB11)</f>
        <v/>
      </c>
      <c r="WJQ30" t="str">
        <f t="shared" si="251"/>
        <v/>
      </c>
      <c r="WJR30" t="str">
        <f t="shared" si="251"/>
        <v/>
      </c>
      <c r="WJS30" t="str">
        <f t="shared" si="251"/>
        <v/>
      </c>
      <c r="WJT30" t="str">
        <f t="shared" si="251"/>
        <v/>
      </c>
      <c r="WJU30" t="str">
        <f t="shared" si="251"/>
        <v/>
      </c>
      <c r="WJV30" t="str">
        <f t="shared" si="251"/>
        <v/>
      </c>
      <c r="WJW30" t="str">
        <f t="shared" si="251"/>
        <v/>
      </c>
      <c r="WJX30" t="str">
        <f t="shared" si="251"/>
        <v/>
      </c>
      <c r="WJY30" t="str">
        <f t="shared" si="251"/>
        <v/>
      </c>
      <c r="WJZ30" t="str">
        <f t="shared" si="251"/>
        <v/>
      </c>
      <c r="WKA30" t="str">
        <f t="shared" si="251"/>
        <v/>
      </c>
      <c r="WKB30" t="str">
        <f t="shared" si="251"/>
        <v/>
      </c>
      <c r="WKC30" t="str">
        <f t="shared" si="251"/>
        <v/>
      </c>
      <c r="WKD30" t="str">
        <f t="shared" si="251"/>
        <v/>
      </c>
      <c r="WKE30" t="str">
        <f t="shared" si="251"/>
        <v/>
      </c>
      <c r="WKF30" t="str">
        <f t="shared" si="251"/>
        <v/>
      </c>
      <c r="WKG30" t="str">
        <f t="shared" si="251"/>
        <v/>
      </c>
      <c r="WKH30" t="str">
        <f t="shared" si="251"/>
        <v/>
      </c>
      <c r="WKI30" t="str">
        <f t="shared" si="251"/>
        <v/>
      </c>
      <c r="WKJ30" t="str">
        <f t="shared" si="251"/>
        <v/>
      </c>
      <c r="WKK30" t="str">
        <f t="shared" si="251"/>
        <v/>
      </c>
      <c r="WKL30" t="str">
        <f t="shared" si="251"/>
        <v/>
      </c>
      <c r="WKM30" t="str">
        <f t="shared" si="251"/>
        <v/>
      </c>
      <c r="WKN30" t="str">
        <f t="shared" si="251"/>
        <v/>
      </c>
      <c r="WKO30" t="str">
        <f t="shared" si="251"/>
        <v/>
      </c>
      <c r="WKP30" t="str">
        <f t="shared" si="251"/>
        <v/>
      </c>
      <c r="WKQ30" t="str">
        <f t="shared" si="251"/>
        <v/>
      </c>
      <c r="WKR30" t="str">
        <f t="shared" si="251"/>
        <v/>
      </c>
      <c r="WKS30" t="str">
        <f t="shared" si="251"/>
        <v/>
      </c>
      <c r="WKT30" t="str">
        <f t="shared" si="251"/>
        <v/>
      </c>
      <c r="WKU30" t="str">
        <f t="shared" si="251"/>
        <v/>
      </c>
      <c r="WKV30" t="str">
        <f t="shared" si="251"/>
        <v/>
      </c>
      <c r="WKW30" t="str">
        <f t="shared" si="251"/>
        <v/>
      </c>
      <c r="WKX30" t="str">
        <f t="shared" si="251"/>
        <v/>
      </c>
      <c r="WKY30" t="str">
        <f t="shared" si="251"/>
        <v/>
      </c>
      <c r="WKZ30" t="str">
        <f t="shared" si="251"/>
        <v/>
      </c>
      <c r="WLA30" t="str">
        <f t="shared" si="251"/>
        <v/>
      </c>
      <c r="WLB30" t="str">
        <f t="shared" si="251"/>
        <v/>
      </c>
      <c r="WLC30" t="str">
        <f t="shared" si="251"/>
        <v/>
      </c>
      <c r="WLD30" t="str">
        <f t="shared" si="251"/>
        <v/>
      </c>
      <c r="WLE30" t="str">
        <f t="shared" si="251"/>
        <v/>
      </c>
      <c r="WLF30" t="str">
        <f t="shared" si="251"/>
        <v/>
      </c>
      <c r="WLG30" t="str">
        <f t="shared" si="251"/>
        <v/>
      </c>
      <c r="WLH30" t="str">
        <f t="shared" si="251"/>
        <v/>
      </c>
      <c r="WLI30" t="str">
        <f t="shared" si="251"/>
        <v/>
      </c>
      <c r="WLJ30" t="str">
        <f t="shared" si="251"/>
        <v/>
      </c>
      <c r="WLK30" t="str">
        <f t="shared" si="251"/>
        <v/>
      </c>
      <c r="WLL30" t="str">
        <f t="shared" si="251"/>
        <v/>
      </c>
      <c r="WLM30" t="str">
        <f t="shared" si="251"/>
        <v/>
      </c>
      <c r="WLN30" t="str">
        <f t="shared" si="251"/>
        <v/>
      </c>
      <c r="WLO30" t="str">
        <f t="shared" si="251"/>
        <v/>
      </c>
      <c r="WLP30" t="str">
        <f t="shared" si="251"/>
        <v/>
      </c>
      <c r="WLQ30" t="str">
        <f t="shared" si="251"/>
        <v/>
      </c>
      <c r="WLR30" t="str">
        <f t="shared" si="251"/>
        <v/>
      </c>
      <c r="WLS30" t="str">
        <f t="shared" si="251"/>
        <v/>
      </c>
      <c r="WLT30" t="str">
        <f t="shared" si="251"/>
        <v/>
      </c>
      <c r="WLU30" t="str">
        <f t="shared" si="251"/>
        <v/>
      </c>
      <c r="WLV30" t="str">
        <f t="shared" si="251"/>
        <v/>
      </c>
      <c r="WLW30" t="str">
        <f t="shared" si="251"/>
        <v/>
      </c>
      <c r="WLX30" t="str">
        <f t="shared" si="251"/>
        <v/>
      </c>
      <c r="WLY30" t="str">
        <f t="shared" si="251"/>
        <v/>
      </c>
      <c r="WLZ30" t="str">
        <f t="shared" si="251"/>
        <v/>
      </c>
      <c r="WMA30" t="str">
        <f t="shared" si="251"/>
        <v/>
      </c>
      <c r="WMB30" t="str">
        <f t="shared" ref="WMB30:WOM30" si="252">TRIM(WMN11)</f>
        <v/>
      </c>
      <c r="WMC30" t="str">
        <f t="shared" si="252"/>
        <v/>
      </c>
      <c r="WMD30" t="str">
        <f t="shared" si="252"/>
        <v/>
      </c>
      <c r="WME30" t="str">
        <f t="shared" si="252"/>
        <v/>
      </c>
      <c r="WMF30" t="str">
        <f t="shared" si="252"/>
        <v/>
      </c>
      <c r="WMG30" t="str">
        <f t="shared" si="252"/>
        <v/>
      </c>
      <c r="WMH30" t="str">
        <f t="shared" si="252"/>
        <v/>
      </c>
      <c r="WMI30" t="str">
        <f t="shared" si="252"/>
        <v/>
      </c>
      <c r="WMJ30" t="str">
        <f t="shared" si="252"/>
        <v/>
      </c>
      <c r="WMK30" t="str">
        <f t="shared" si="252"/>
        <v/>
      </c>
      <c r="WML30" t="str">
        <f t="shared" si="252"/>
        <v/>
      </c>
      <c r="WMM30" t="str">
        <f t="shared" si="252"/>
        <v/>
      </c>
      <c r="WMN30" t="str">
        <f t="shared" si="252"/>
        <v/>
      </c>
      <c r="WMO30" t="str">
        <f t="shared" si="252"/>
        <v/>
      </c>
      <c r="WMP30" t="str">
        <f t="shared" si="252"/>
        <v/>
      </c>
      <c r="WMQ30" t="str">
        <f t="shared" si="252"/>
        <v/>
      </c>
      <c r="WMR30" t="str">
        <f t="shared" si="252"/>
        <v/>
      </c>
      <c r="WMS30" t="str">
        <f t="shared" si="252"/>
        <v/>
      </c>
      <c r="WMT30" t="str">
        <f t="shared" si="252"/>
        <v/>
      </c>
      <c r="WMU30" t="str">
        <f t="shared" si="252"/>
        <v/>
      </c>
      <c r="WMV30" t="str">
        <f t="shared" si="252"/>
        <v/>
      </c>
      <c r="WMW30" t="str">
        <f t="shared" si="252"/>
        <v/>
      </c>
      <c r="WMX30" t="str">
        <f t="shared" si="252"/>
        <v/>
      </c>
      <c r="WMY30" t="str">
        <f t="shared" si="252"/>
        <v/>
      </c>
      <c r="WMZ30" t="str">
        <f t="shared" si="252"/>
        <v/>
      </c>
      <c r="WNA30" t="str">
        <f t="shared" si="252"/>
        <v/>
      </c>
      <c r="WNB30" t="str">
        <f t="shared" si="252"/>
        <v/>
      </c>
      <c r="WNC30" t="str">
        <f t="shared" si="252"/>
        <v/>
      </c>
      <c r="WND30" t="str">
        <f t="shared" si="252"/>
        <v/>
      </c>
      <c r="WNE30" t="str">
        <f t="shared" si="252"/>
        <v/>
      </c>
      <c r="WNF30" t="str">
        <f t="shared" si="252"/>
        <v/>
      </c>
      <c r="WNG30" t="str">
        <f t="shared" si="252"/>
        <v/>
      </c>
      <c r="WNH30" t="str">
        <f t="shared" si="252"/>
        <v/>
      </c>
      <c r="WNI30" t="str">
        <f t="shared" si="252"/>
        <v/>
      </c>
      <c r="WNJ30" t="str">
        <f t="shared" si="252"/>
        <v/>
      </c>
      <c r="WNK30" t="str">
        <f t="shared" si="252"/>
        <v/>
      </c>
      <c r="WNL30" t="str">
        <f t="shared" si="252"/>
        <v/>
      </c>
      <c r="WNM30" t="str">
        <f t="shared" si="252"/>
        <v/>
      </c>
      <c r="WNN30" t="str">
        <f t="shared" si="252"/>
        <v/>
      </c>
      <c r="WNO30" t="str">
        <f t="shared" si="252"/>
        <v/>
      </c>
      <c r="WNP30" t="str">
        <f t="shared" si="252"/>
        <v/>
      </c>
      <c r="WNQ30" t="str">
        <f t="shared" si="252"/>
        <v/>
      </c>
      <c r="WNR30" t="str">
        <f t="shared" si="252"/>
        <v/>
      </c>
      <c r="WNS30" t="str">
        <f t="shared" si="252"/>
        <v/>
      </c>
      <c r="WNT30" t="str">
        <f t="shared" si="252"/>
        <v/>
      </c>
      <c r="WNU30" t="str">
        <f t="shared" si="252"/>
        <v/>
      </c>
      <c r="WNV30" t="str">
        <f t="shared" si="252"/>
        <v/>
      </c>
      <c r="WNW30" t="str">
        <f t="shared" si="252"/>
        <v/>
      </c>
      <c r="WNX30" t="str">
        <f t="shared" si="252"/>
        <v/>
      </c>
      <c r="WNY30" t="str">
        <f t="shared" si="252"/>
        <v/>
      </c>
      <c r="WNZ30" t="str">
        <f t="shared" si="252"/>
        <v/>
      </c>
      <c r="WOA30" t="str">
        <f t="shared" si="252"/>
        <v/>
      </c>
      <c r="WOB30" t="str">
        <f t="shared" si="252"/>
        <v/>
      </c>
      <c r="WOC30" t="str">
        <f t="shared" si="252"/>
        <v/>
      </c>
      <c r="WOD30" t="str">
        <f t="shared" si="252"/>
        <v/>
      </c>
      <c r="WOE30" t="str">
        <f t="shared" si="252"/>
        <v/>
      </c>
      <c r="WOF30" t="str">
        <f t="shared" si="252"/>
        <v/>
      </c>
      <c r="WOG30" t="str">
        <f t="shared" si="252"/>
        <v/>
      </c>
      <c r="WOH30" t="str">
        <f t="shared" si="252"/>
        <v/>
      </c>
      <c r="WOI30" t="str">
        <f t="shared" si="252"/>
        <v/>
      </c>
      <c r="WOJ30" t="str">
        <f t="shared" si="252"/>
        <v/>
      </c>
      <c r="WOK30" t="str">
        <f t="shared" si="252"/>
        <v/>
      </c>
      <c r="WOL30" t="str">
        <f t="shared" si="252"/>
        <v/>
      </c>
      <c r="WOM30" t="str">
        <f t="shared" si="252"/>
        <v/>
      </c>
      <c r="WON30" t="str">
        <f t="shared" ref="WON30:WQY30" si="253">TRIM(WOZ11)</f>
        <v/>
      </c>
      <c r="WOO30" t="str">
        <f t="shared" si="253"/>
        <v/>
      </c>
      <c r="WOP30" t="str">
        <f t="shared" si="253"/>
        <v/>
      </c>
      <c r="WOQ30" t="str">
        <f t="shared" si="253"/>
        <v/>
      </c>
      <c r="WOR30" t="str">
        <f t="shared" si="253"/>
        <v/>
      </c>
      <c r="WOS30" t="str">
        <f t="shared" si="253"/>
        <v/>
      </c>
      <c r="WOT30" t="str">
        <f t="shared" si="253"/>
        <v/>
      </c>
      <c r="WOU30" t="str">
        <f t="shared" si="253"/>
        <v/>
      </c>
      <c r="WOV30" t="str">
        <f t="shared" si="253"/>
        <v/>
      </c>
      <c r="WOW30" t="str">
        <f t="shared" si="253"/>
        <v/>
      </c>
      <c r="WOX30" t="str">
        <f t="shared" si="253"/>
        <v/>
      </c>
      <c r="WOY30" t="str">
        <f t="shared" si="253"/>
        <v/>
      </c>
      <c r="WOZ30" t="str">
        <f t="shared" si="253"/>
        <v/>
      </c>
      <c r="WPA30" t="str">
        <f t="shared" si="253"/>
        <v/>
      </c>
      <c r="WPB30" t="str">
        <f t="shared" si="253"/>
        <v/>
      </c>
      <c r="WPC30" t="str">
        <f t="shared" si="253"/>
        <v/>
      </c>
      <c r="WPD30" t="str">
        <f t="shared" si="253"/>
        <v/>
      </c>
      <c r="WPE30" t="str">
        <f t="shared" si="253"/>
        <v/>
      </c>
      <c r="WPF30" t="str">
        <f t="shared" si="253"/>
        <v/>
      </c>
      <c r="WPG30" t="str">
        <f t="shared" si="253"/>
        <v/>
      </c>
      <c r="WPH30" t="str">
        <f t="shared" si="253"/>
        <v/>
      </c>
      <c r="WPI30" t="str">
        <f t="shared" si="253"/>
        <v/>
      </c>
      <c r="WPJ30" t="str">
        <f t="shared" si="253"/>
        <v/>
      </c>
      <c r="WPK30" t="str">
        <f t="shared" si="253"/>
        <v/>
      </c>
      <c r="WPL30" t="str">
        <f t="shared" si="253"/>
        <v/>
      </c>
      <c r="WPM30" t="str">
        <f t="shared" si="253"/>
        <v/>
      </c>
      <c r="WPN30" t="str">
        <f t="shared" si="253"/>
        <v/>
      </c>
      <c r="WPO30" t="str">
        <f t="shared" si="253"/>
        <v/>
      </c>
      <c r="WPP30" t="str">
        <f t="shared" si="253"/>
        <v/>
      </c>
      <c r="WPQ30" t="str">
        <f t="shared" si="253"/>
        <v/>
      </c>
      <c r="WPR30" t="str">
        <f t="shared" si="253"/>
        <v/>
      </c>
      <c r="WPS30" t="str">
        <f t="shared" si="253"/>
        <v/>
      </c>
      <c r="WPT30" t="str">
        <f t="shared" si="253"/>
        <v/>
      </c>
      <c r="WPU30" t="str">
        <f t="shared" si="253"/>
        <v/>
      </c>
      <c r="WPV30" t="str">
        <f t="shared" si="253"/>
        <v/>
      </c>
      <c r="WPW30" t="str">
        <f t="shared" si="253"/>
        <v/>
      </c>
      <c r="WPX30" t="str">
        <f t="shared" si="253"/>
        <v/>
      </c>
      <c r="WPY30" t="str">
        <f t="shared" si="253"/>
        <v/>
      </c>
      <c r="WPZ30" t="str">
        <f t="shared" si="253"/>
        <v/>
      </c>
      <c r="WQA30" t="str">
        <f t="shared" si="253"/>
        <v/>
      </c>
      <c r="WQB30" t="str">
        <f t="shared" si="253"/>
        <v/>
      </c>
      <c r="WQC30" t="str">
        <f t="shared" si="253"/>
        <v/>
      </c>
      <c r="WQD30" t="str">
        <f t="shared" si="253"/>
        <v/>
      </c>
      <c r="WQE30" t="str">
        <f t="shared" si="253"/>
        <v/>
      </c>
      <c r="WQF30" t="str">
        <f t="shared" si="253"/>
        <v/>
      </c>
      <c r="WQG30" t="str">
        <f t="shared" si="253"/>
        <v/>
      </c>
      <c r="WQH30" t="str">
        <f t="shared" si="253"/>
        <v/>
      </c>
      <c r="WQI30" t="str">
        <f t="shared" si="253"/>
        <v/>
      </c>
      <c r="WQJ30" t="str">
        <f t="shared" si="253"/>
        <v/>
      </c>
      <c r="WQK30" t="str">
        <f t="shared" si="253"/>
        <v/>
      </c>
      <c r="WQL30" t="str">
        <f t="shared" si="253"/>
        <v/>
      </c>
      <c r="WQM30" t="str">
        <f t="shared" si="253"/>
        <v/>
      </c>
      <c r="WQN30" t="str">
        <f t="shared" si="253"/>
        <v/>
      </c>
      <c r="WQO30" t="str">
        <f t="shared" si="253"/>
        <v/>
      </c>
      <c r="WQP30" t="str">
        <f t="shared" si="253"/>
        <v/>
      </c>
      <c r="WQQ30" t="str">
        <f t="shared" si="253"/>
        <v/>
      </c>
      <c r="WQR30" t="str">
        <f t="shared" si="253"/>
        <v/>
      </c>
      <c r="WQS30" t="str">
        <f t="shared" si="253"/>
        <v/>
      </c>
      <c r="WQT30" t="str">
        <f t="shared" si="253"/>
        <v/>
      </c>
      <c r="WQU30" t="str">
        <f t="shared" si="253"/>
        <v/>
      </c>
      <c r="WQV30" t="str">
        <f t="shared" si="253"/>
        <v/>
      </c>
      <c r="WQW30" t="str">
        <f t="shared" si="253"/>
        <v/>
      </c>
      <c r="WQX30" t="str">
        <f t="shared" si="253"/>
        <v/>
      </c>
      <c r="WQY30" t="str">
        <f t="shared" si="253"/>
        <v/>
      </c>
      <c r="WQZ30" t="str">
        <f t="shared" ref="WQZ30:WTK30" si="254">TRIM(WRL11)</f>
        <v/>
      </c>
      <c r="WRA30" t="str">
        <f t="shared" si="254"/>
        <v/>
      </c>
      <c r="WRB30" t="str">
        <f t="shared" si="254"/>
        <v/>
      </c>
      <c r="WRC30" t="str">
        <f t="shared" si="254"/>
        <v/>
      </c>
      <c r="WRD30" t="str">
        <f t="shared" si="254"/>
        <v/>
      </c>
      <c r="WRE30" t="str">
        <f t="shared" si="254"/>
        <v/>
      </c>
      <c r="WRF30" t="str">
        <f t="shared" si="254"/>
        <v/>
      </c>
      <c r="WRG30" t="str">
        <f t="shared" si="254"/>
        <v/>
      </c>
      <c r="WRH30" t="str">
        <f t="shared" si="254"/>
        <v/>
      </c>
      <c r="WRI30" t="str">
        <f t="shared" si="254"/>
        <v/>
      </c>
      <c r="WRJ30" t="str">
        <f t="shared" si="254"/>
        <v/>
      </c>
      <c r="WRK30" t="str">
        <f t="shared" si="254"/>
        <v/>
      </c>
      <c r="WRL30" t="str">
        <f t="shared" si="254"/>
        <v/>
      </c>
      <c r="WRM30" t="str">
        <f t="shared" si="254"/>
        <v/>
      </c>
      <c r="WRN30" t="str">
        <f t="shared" si="254"/>
        <v/>
      </c>
      <c r="WRO30" t="str">
        <f t="shared" si="254"/>
        <v/>
      </c>
      <c r="WRP30" t="str">
        <f t="shared" si="254"/>
        <v/>
      </c>
      <c r="WRQ30" t="str">
        <f t="shared" si="254"/>
        <v/>
      </c>
      <c r="WRR30" t="str">
        <f t="shared" si="254"/>
        <v/>
      </c>
      <c r="WRS30" t="str">
        <f t="shared" si="254"/>
        <v/>
      </c>
      <c r="WRT30" t="str">
        <f t="shared" si="254"/>
        <v/>
      </c>
      <c r="WRU30" t="str">
        <f t="shared" si="254"/>
        <v/>
      </c>
      <c r="WRV30" t="str">
        <f t="shared" si="254"/>
        <v/>
      </c>
      <c r="WRW30" t="str">
        <f t="shared" si="254"/>
        <v/>
      </c>
      <c r="WRX30" t="str">
        <f t="shared" si="254"/>
        <v/>
      </c>
      <c r="WRY30" t="str">
        <f t="shared" si="254"/>
        <v/>
      </c>
      <c r="WRZ30" t="str">
        <f t="shared" si="254"/>
        <v/>
      </c>
      <c r="WSA30" t="str">
        <f t="shared" si="254"/>
        <v/>
      </c>
      <c r="WSB30" t="str">
        <f t="shared" si="254"/>
        <v/>
      </c>
      <c r="WSC30" t="str">
        <f t="shared" si="254"/>
        <v/>
      </c>
      <c r="WSD30" t="str">
        <f t="shared" si="254"/>
        <v/>
      </c>
      <c r="WSE30" t="str">
        <f t="shared" si="254"/>
        <v/>
      </c>
      <c r="WSF30" t="str">
        <f t="shared" si="254"/>
        <v/>
      </c>
      <c r="WSG30" t="str">
        <f t="shared" si="254"/>
        <v/>
      </c>
      <c r="WSH30" t="str">
        <f t="shared" si="254"/>
        <v/>
      </c>
      <c r="WSI30" t="str">
        <f t="shared" si="254"/>
        <v/>
      </c>
      <c r="WSJ30" t="str">
        <f t="shared" si="254"/>
        <v/>
      </c>
      <c r="WSK30" t="str">
        <f t="shared" si="254"/>
        <v/>
      </c>
      <c r="WSL30" t="str">
        <f t="shared" si="254"/>
        <v/>
      </c>
      <c r="WSM30" t="str">
        <f t="shared" si="254"/>
        <v/>
      </c>
      <c r="WSN30" t="str">
        <f t="shared" si="254"/>
        <v/>
      </c>
      <c r="WSO30" t="str">
        <f t="shared" si="254"/>
        <v/>
      </c>
      <c r="WSP30" t="str">
        <f t="shared" si="254"/>
        <v/>
      </c>
      <c r="WSQ30" t="str">
        <f t="shared" si="254"/>
        <v/>
      </c>
      <c r="WSR30" t="str">
        <f t="shared" si="254"/>
        <v/>
      </c>
      <c r="WSS30" t="str">
        <f t="shared" si="254"/>
        <v/>
      </c>
      <c r="WST30" t="str">
        <f t="shared" si="254"/>
        <v/>
      </c>
      <c r="WSU30" t="str">
        <f t="shared" si="254"/>
        <v/>
      </c>
      <c r="WSV30" t="str">
        <f t="shared" si="254"/>
        <v/>
      </c>
      <c r="WSW30" t="str">
        <f t="shared" si="254"/>
        <v/>
      </c>
      <c r="WSX30" t="str">
        <f t="shared" si="254"/>
        <v/>
      </c>
      <c r="WSY30" t="str">
        <f t="shared" si="254"/>
        <v/>
      </c>
      <c r="WSZ30" t="str">
        <f t="shared" si="254"/>
        <v/>
      </c>
      <c r="WTA30" t="str">
        <f t="shared" si="254"/>
        <v/>
      </c>
      <c r="WTB30" t="str">
        <f t="shared" si="254"/>
        <v/>
      </c>
      <c r="WTC30" t="str">
        <f t="shared" si="254"/>
        <v/>
      </c>
      <c r="WTD30" t="str">
        <f t="shared" si="254"/>
        <v/>
      </c>
      <c r="WTE30" t="str">
        <f t="shared" si="254"/>
        <v/>
      </c>
      <c r="WTF30" t="str">
        <f t="shared" si="254"/>
        <v/>
      </c>
      <c r="WTG30" t="str">
        <f t="shared" si="254"/>
        <v/>
      </c>
      <c r="WTH30" t="str">
        <f t="shared" si="254"/>
        <v/>
      </c>
      <c r="WTI30" t="str">
        <f t="shared" si="254"/>
        <v/>
      </c>
      <c r="WTJ30" t="str">
        <f t="shared" si="254"/>
        <v/>
      </c>
      <c r="WTK30" t="str">
        <f t="shared" si="254"/>
        <v/>
      </c>
      <c r="WTL30" t="str">
        <f t="shared" ref="WTL30:WVW30" si="255">TRIM(WTX11)</f>
        <v/>
      </c>
      <c r="WTM30" t="str">
        <f t="shared" si="255"/>
        <v/>
      </c>
      <c r="WTN30" t="str">
        <f t="shared" si="255"/>
        <v/>
      </c>
      <c r="WTO30" t="str">
        <f t="shared" si="255"/>
        <v/>
      </c>
      <c r="WTP30" t="str">
        <f t="shared" si="255"/>
        <v/>
      </c>
      <c r="WTQ30" t="str">
        <f t="shared" si="255"/>
        <v/>
      </c>
      <c r="WTR30" t="str">
        <f t="shared" si="255"/>
        <v/>
      </c>
      <c r="WTS30" t="str">
        <f t="shared" si="255"/>
        <v/>
      </c>
      <c r="WTT30" t="str">
        <f t="shared" si="255"/>
        <v/>
      </c>
      <c r="WTU30" t="str">
        <f t="shared" si="255"/>
        <v/>
      </c>
      <c r="WTV30" t="str">
        <f t="shared" si="255"/>
        <v/>
      </c>
      <c r="WTW30" t="str">
        <f t="shared" si="255"/>
        <v/>
      </c>
      <c r="WTX30" t="str">
        <f t="shared" si="255"/>
        <v/>
      </c>
      <c r="WTY30" t="str">
        <f t="shared" si="255"/>
        <v/>
      </c>
      <c r="WTZ30" t="str">
        <f t="shared" si="255"/>
        <v/>
      </c>
      <c r="WUA30" t="str">
        <f t="shared" si="255"/>
        <v/>
      </c>
      <c r="WUB30" t="str">
        <f t="shared" si="255"/>
        <v/>
      </c>
      <c r="WUC30" t="str">
        <f t="shared" si="255"/>
        <v/>
      </c>
      <c r="WUD30" t="str">
        <f t="shared" si="255"/>
        <v/>
      </c>
      <c r="WUE30" t="str">
        <f t="shared" si="255"/>
        <v/>
      </c>
      <c r="WUF30" t="str">
        <f t="shared" si="255"/>
        <v/>
      </c>
      <c r="WUG30" t="str">
        <f t="shared" si="255"/>
        <v/>
      </c>
      <c r="WUH30" t="str">
        <f t="shared" si="255"/>
        <v/>
      </c>
      <c r="WUI30" t="str">
        <f t="shared" si="255"/>
        <v/>
      </c>
      <c r="WUJ30" t="str">
        <f t="shared" si="255"/>
        <v/>
      </c>
      <c r="WUK30" t="str">
        <f t="shared" si="255"/>
        <v/>
      </c>
      <c r="WUL30" t="str">
        <f t="shared" si="255"/>
        <v/>
      </c>
      <c r="WUM30" t="str">
        <f t="shared" si="255"/>
        <v/>
      </c>
      <c r="WUN30" t="str">
        <f t="shared" si="255"/>
        <v/>
      </c>
      <c r="WUO30" t="str">
        <f t="shared" si="255"/>
        <v/>
      </c>
      <c r="WUP30" t="str">
        <f t="shared" si="255"/>
        <v/>
      </c>
      <c r="WUQ30" t="str">
        <f t="shared" si="255"/>
        <v/>
      </c>
      <c r="WUR30" t="str">
        <f t="shared" si="255"/>
        <v/>
      </c>
      <c r="WUS30" t="str">
        <f t="shared" si="255"/>
        <v/>
      </c>
      <c r="WUT30" t="str">
        <f t="shared" si="255"/>
        <v/>
      </c>
      <c r="WUU30" t="str">
        <f t="shared" si="255"/>
        <v/>
      </c>
      <c r="WUV30" t="str">
        <f t="shared" si="255"/>
        <v/>
      </c>
      <c r="WUW30" t="str">
        <f t="shared" si="255"/>
        <v/>
      </c>
      <c r="WUX30" t="str">
        <f t="shared" si="255"/>
        <v/>
      </c>
      <c r="WUY30" t="str">
        <f t="shared" si="255"/>
        <v/>
      </c>
      <c r="WUZ30" t="str">
        <f t="shared" si="255"/>
        <v/>
      </c>
      <c r="WVA30" t="str">
        <f t="shared" si="255"/>
        <v/>
      </c>
      <c r="WVB30" t="str">
        <f t="shared" si="255"/>
        <v/>
      </c>
      <c r="WVC30" t="str">
        <f t="shared" si="255"/>
        <v/>
      </c>
      <c r="WVD30" t="str">
        <f t="shared" si="255"/>
        <v/>
      </c>
      <c r="WVE30" t="str">
        <f t="shared" si="255"/>
        <v/>
      </c>
      <c r="WVF30" t="str">
        <f t="shared" si="255"/>
        <v/>
      </c>
      <c r="WVG30" t="str">
        <f t="shared" si="255"/>
        <v/>
      </c>
      <c r="WVH30" t="str">
        <f t="shared" si="255"/>
        <v/>
      </c>
      <c r="WVI30" t="str">
        <f t="shared" si="255"/>
        <v/>
      </c>
      <c r="WVJ30" t="str">
        <f t="shared" si="255"/>
        <v/>
      </c>
      <c r="WVK30" t="str">
        <f t="shared" si="255"/>
        <v/>
      </c>
      <c r="WVL30" t="str">
        <f t="shared" si="255"/>
        <v/>
      </c>
      <c r="WVM30" t="str">
        <f t="shared" si="255"/>
        <v/>
      </c>
      <c r="WVN30" t="str">
        <f t="shared" si="255"/>
        <v/>
      </c>
      <c r="WVO30" t="str">
        <f t="shared" si="255"/>
        <v/>
      </c>
      <c r="WVP30" t="str">
        <f t="shared" si="255"/>
        <v/>
      </c>
      <c r="WVQ30" t="str">
        <f t="shared" si="255"/>
        <v/>
      </c>
      <c r="WVR30" t="str">
        <f t="shared" si="255"/>
        <v/>
      </c>
      <c r="WVS30" t="str">
        <f t="shared" si="255"/>
        <v/>
      </c>
      <c r="WVT30" t="str">
        <f t="shared" si="255"/>
        <v/>
      </c>
      <c r="WVU30" t="str">
        <f t="shared" si="255"/>
        <v/>
      </c>
      <c r="WVV30" t="str">
        <f t="shared" si="255"/>
        <v/>
      </c>
      <c r="WVW30" t="str">
        <f t="shared" si="255"/>
        <v/>
      </c>
      <c r="WVX30" t="str">
        <f t="shared" ref="WVX30:WYI30" si="256">TRIM(WWJ11)</f>
        <v/>
      </c>
      <c r="WVY30" t="str">
        <f t="shared" si="256"/>
        <v/>
      </c>
      <c r="WVZ30" t="str">
        <f t="shared" si="256"/>
        <v/>
      </c>
      <c r="WWA30" t="str">
        <f t="shared" si="256"/>
        <v/>
      </c>
      <c r="WWB30" t="str">
        <f t="shared" si="256"/>
        <v/>
      </c>
      <c r="WWC30" t="str">
        <f t="shared" si="256"/>
        <v/>
      </c>
      <c r="WWD30" t="str">
        <f t="shared" si="256"/>
        <v/>
      </c>
      <c r="WWE30" t="str">
        <f t="shared" si="256"/>
        <v/>
      </c>
      <c r="WWF30" t="str">
        <f t="shared" si="256"/>
        <v/>
      </c>
      <c r="WWG30" t="str">
        <f t="shared" si="256"/>
        <v/>
      </c>
      <c r="WWH30" t="str">
        <f t="shared" si="256"/>
        <v/>
      </c>
      <c r="WWI30" t="str">
        <f t="shared" si="256"/>
        <v/>
      </c>
      <c r="WWJ30" t="str">
        <f t="shared" si="256"/>
        <v/>
      </c>
      <c r="WWK30" t="str">
        <f t="shared" si="256"/>
        <v/>
      </c>
      <c r="WWL30" t="str">
        <f t="shared" si="256"/>
        <v/>
      </c>
      <c r="WWM30" t="str">
        <f t="shared" si="256"/>
        <v/>
      </c>
      <c r="WWN30" t="str">
        <f t="shared" si="256"/>
        <v/>
      </c>
      <c r="WWO30" t="str">
        <f t="shared" si="256"/>
        <v/>
      </c>
      <c r="WWP30" t="str">
        <f t="shared" si="256"/>
        <v/>
      </c>
      <c r="WWQ30" t="str">
        <f t="shared" si="256"/>
        <v/>
      </c>
      <c r="WWR30" t="str">
        <f t="shared" si="256"/>
        <v/>
      </c>
      <c r="WWS30" t="str">
        <f t="shared" si="256"/>
        <v/>
      </c>
      <c r="WWT30" t="str">
        <f t="shared" si="256"/>
        <v/>
      </c>
      <c r="WWU30" t="str">
        <f t="shared" si="256"/>
        <v/>
      </c>
      <c r="WWV30" t="str">
        <f t="shared" si="256"/>
        <v/>
      </c>
      <c r="WWW30" t="str">
        <f t="shared" si="256"/>
        <v/>
      </c>
      <c r="WWX30" t="str">
        <f t="shared" si="256"/>
        <v/>
      </c>
      <c r="WWY30" t="str">
        <f t="shared" si="256"/>
        <v/>
      </c>
      <c r="WWZ30" t="str">
        <f t="shared" si="256"/>
        <v/>
      </c>
      <c r="WXA30" t="str">
        <f t="shared" si="256"/>
        <v/>
      </c>
      <c r="WXB30" t="str">
        <f t="shared" si="256"/>
        <v/>
      </c>
      <c r="WXC30" t="str">
        <f t="shared" si="256"/>
        <v/>
      </c>
      <c r="WXD30" t="str">
        <f t="shared" si="256"/>
        <v/>
      </c>
      <c r="WXE30" t="str">
        <f t="shared" si="256"/>
        <v/>
      </c>
      <c r="WXF30" t="str">
        <f t="shared" si="256"/>
        <v/>
      </c>
      <c r="WXG30" t="str">
        <f t="shared" si="256"/>
        <v/>
      </c>
      <c r="WXH30" t="str">
        <f t="shared" si="256"/>
        <v/>
      </c>
      <c r="WXI30" t="str">
        <f t="shared" si="256"/>
        <v/>
      </c>
      <c r="WXJ30" t="str">
        <f t="shared" si="256"/>
        <v/>
      </c>
      <c r="WXK30" t="str">
        <f t="shared" si="256"/>
        <v/>
      </c>
      <c r="WXL30" t="str">
        <f t="shared" si="256"/>
        <v/>
      </c>
      <c r="WXM30" t="str">
        <f t="shared" si="256"/>
        <v/>
      </c>
      <c r="WXN30" t="str">
        <f t="shared" si="256"/>
        <v/>
      </c>
      <c r="WXO30" t="str">
        <f t="shared" si="256"/>
        <v/>
      </c>
      <c r="WXP30" t="str">
        <f t="shared" si="256"/>
        <v/>
      </c>
      <c r="WXQ30" t="str">
        <f t="shared" si="256"/>
        <v/>
      </c>
      <c r="WXR30" t="str">
        <f t="shared" si="256"/>
        <v/>
      </c>
      <c r="WXS30" t="str">
        <f t="shared" si="256"/>
        <v/>
      </c>
      <c r="WXT30" t="str">
        <f t="shared" si="256"/>
        <v/>
      </c>
      <c r="WXU30" t="str">
        <f t="shared" si="256"/>
        <v/>
      </c>
      <c r="WXV30" t="str">
        <f t="shared" si="256"/>
        <v/>
      </c>
      <c r="WXW30" t="str">
        <f t="shared" si="256"/>
        <v/>
      </c>
      <c r="WXX30" t="str">
        <f t="shared" si="256"/>
        <v/>
      </c>
      <c r="WXY30" t="str">
        <f t="shared" si="256"/>
        <v/>
      </c>
      <c r="WXZ30" t="str">
        <f t="shared" si="256"/>
        <v/>
      </c>
      <c r="WYA30" t="str">
        <f t="shared" si="256"/>
        <v/>
      </c>
      <c r="WYB30" t="str">
        <f t="shared" si="256"/>
        <v/>
      </c>
      <c r="WYC30" t="str">
        <f t="shared" si="256"/>
        <v/>
      </c>
      <c r="WYD30" t="str">
        <f t="shared" si="256"/>
        <v/>
      </c>
      <c r="WYE30" t="str">
        <f t="shared" si="256"/>
        <v/>
      </c>
      <c r="WYF30" t="str">
        <f t="shared" si="256"/>
        <v/>
      </c>
      <c r="WYG30" t="str">
        <f t="shared" si="256"/>
        <v/>
      </c>
      <c r="WYH30" t="str">
        <f t="shared" si="256"/>
        <v/>
      </c>
      <c r="WYI30" t="str">
        <f t="shared" si="256"/>
        <v/>
      </c>
      <c r="WYJ30" t="str">
        <f t="shared" ref="WYJ30:XAU30" si="257">TRIM(WYV11)</f>
        <v/>
      </c>
      <c r="WYK30" t="str">
        <f t="shared" si="257"/>
        <v/>
      </c>
      <c r="WYL30" t="str">
        <f t="shared" si="257"/>
        <v/>
      </c>
      <c r="WYM30" t="str">
        <f t="shared" si="257"/>
        <v/>
      </c>
      <c r="WYN30" t="str">
        <f t="shared" si="257"/>
        <v/>
      </c>
      <c r="WYO30" t="str">
        <f t="shared" si="257"/>
        <v/>
      </c>
      <c r="WYP30" t="str">
        <f t="shared" si="257"/>
        <v/>
      </c>
      <c r="WYQ30" t="str">
        <f t="shared" si="257"/>
        <v/>
      </c>
      <c r="WYR30" t="str">
        <f t="shared" si="257"/>
        <v/>
      </c>
      <c r="WYS30" t="str">
        <f t="shared" si="257"/>
        <v/>
      </c>
      <c r="WYT30" t="str">
        <f t="shared" si="257"/>
        <v/>
      </c>
      <c r="WYU30" t="str">
        <f t="shared" si="257"/>
        <v/>
      </c>
      <c r="WYV30" t="str">
        <f t="shared" si="257"/>
        <v/>
      </c>
      <c r="WYW30" t="str">
        <f t="shared" si="257"/>
        <v/>
      </c>
      <c r="WYX30" t="str">
        <f t="shared" si="257"/>
        <v/>
      </c>
      <c r="WYY30" t="str">
        <f t="shared" si="257"/>
        <v/>
      </c>
      <c r="WYZ30" t="str">
        <f t="shared" si="257"/>
        <v/>
      </c>
      <c r="WZA30" t="str">
        <f t="shared" si="257"/>
        <v/>
      </c>
      <c r="WZB30" t="str">
        <f t="shared" si="257"/>
        <v/>
      </c>
      <c r="WZC30" t="str">
        <f t="shared" si="257"/>
        <v/>
      </c>
      <c r="WZD30" t="str">
        <f t="shared" si="257"/>
        <v/>
      </c>
      <c r="WZE30" t="str">
        <f t="shared" si="257"/>
        <v/>
      </c>
      <c r="WZF30" t="str">
        <f t="shared" si="257"/>
        <v/>
      </c>
      <c r="WZG30" t="str">
        <f t="shared" si="257"/>
        <v/>
      </c>
      <c r="WZH30" t="str">
        <f t="shared" si="257"/>
        <v/>
      </c>
      <c r="WZI30" t="str">
        <f t="shared" si="257"/>
        <v/>
      </c>
      <c r="WZJ30" t="str">
        <f t="shared" si="257"/>
        <v/>
      </c>
      <c r="WZK30" t="str">
        <f t="shared" si="257"/>
        <v/>
      </c>
      <c r="WZL30" t="str">
        <f t="shared" si="257"/>
        <v/>
      </c>
      <c r="WZM30" t="str">
        <f t="shared" si="257"/>
        <v/>
      </c>
      <c r="WZN30" t="str">
        <f t="shared" si="257"/>
        <v/>
      </c>
      <c r="WZO30" t="str">
        <f t="shared" si="257"/>
        <v/>
      </c>
      <c r="WZP30" t="str">
        <f t="shared" si="257"/>
        <v/>
      </c>
      <c r="WZQ30" t="str">
        <f t="shared" si="257"/>
        <v/>
      </c>
      <c r="WZR30" t="str">
        <f t="shared" si="257"/>
        <v/>
      </c>
      <c r="WZS30" t="str">
        <f t="shared" si="257"/>
        <v/>
      </c>
      <c r="WZT30" t="str">
        <f t="shared" si="257"/>
        <v/>
      </c>
      <c r="WZU30" t="str">
        <f t="shared" si="257"/>
        <v/>
      </c>
      <c r="WZV30" t="str">
        <f t="shared" si="257"/>
        <v/>
      </c>
      <c r="WZW30" t="str">
        <f t="shared" si="257"/>
        <v/>
      </c>
      <c r="WZX30" t="str">
        <f t="shared" si="257"/>
        <v/>
      </c>
      <c r="WZY30" t="str">
        <f t="shared" si="257"/>
        <v/>
      </c>
      <c r="WZZ30" t="str">
        <f t="shared" si="257"/>
        <v/>
      </c>
      <c r="XAA30" t="str">
        <f t="shared" si="257"/>
        <v/>
      </c>
      <c r="XAB30" t="str">
        <f t="shared" si="257"/>
        <v/>
      </c>
      <c r="XAC30" t="str">
        <f t="shared" si="257"/>
        <v/>
      </c>
      <c r="XAD30" t="str">
        <f t="shared" si="257"/>
        <v/>
      </c>
      <c r="XAE30" t="str">
        <f t="shared" si="257"/>
        <v/>
      </c>
      <c r="XAF30" t="str">
        <f t="shared" si="257"/>
        <v/>
      </c>
      <c r="XAG30" t="str">
        <f t="shared" si="257"/>
        <v/>
      </c>
      <c r="XAH30" t="str">
        <f t="shared" si="257"/>
        <v/>
      </c>
      <c r="XAI30" t="str">
        <f t="shared" si="257"/>
        <v/>
      </c>
      <c r="XAJ30" t="str">
        <f t="shared" si="257"/>
        <v/>
      </c>
      <c r="XAK30" t="str">
        <f t="shared" si="257"/>
        <v/>
      </c>
      <c r="XAL30" t="str">
        <f t="shared" si="257"/>
        <v/>
      </c>
      <c r="XAM30" t="str">
        <f t="shared" si="257"/>
        <v/>
      </c>
      <c r="XAN30" t="str">
        <f t="shared" si="257"/>
        <v/>
      </c>
      <c r="XAO30" t="str">
        <f t="shared" si="257"/>
        <v/>
      </c>
      <c r="XAP30" t="str">
        <f t="shared" si="257"/>
        <v/>
      </c>
      <c r="XAQ30" t="str">
        <f t="shared" si="257"/>
        <v/>
      </c>
      <c r="XAR30" t="str">
        <f t="shared" si="257"/>
        <v/>
      </c>
      <c r="XAS30" t="str">
        <f t="shared" si="257"/>
        <v/>
      </c>
      <c r="XAT30" t="str">
        <f t="shared" si="257"/>
        <v/>
      </c>
      <c r="XAU30" t="str">
        <f t="shared" si="257"/>
        <v/>
      </c>
      <c r="XAV30" t="str">
        <f t="shared" ref="XAV30:XDG30" si="258">TRIM(XBH11)</f>
        <v/>
      </c>
      <c r="XAW30" t="str">
        <f t="shared" si="258"/>
        <v/>
      </c>
      <c r="XAX30" t="str">
        <f t="shared" si="258"/>
        <v/>
      </c>
      <c r="XAY30" t="str">
        <f t="shared" si="258"/>
        <v/>
      </c>
      <c r="XAZ30" t="str">
        <f t="shared" si="258"/>
        <v/>
      </c>
      <c r="XBA30" t="str">
        <f t="shared" si="258"/>
        <v/>
      </c>
      <c r="XBB30" t="str">
        <f t="shared" si="258"/>
        <v/>
      </c>
      <c r="XBC30" t="str">
        <f t="shared" si="258"/>
        <v/>
      </c>
      <c r="XBD30" t="str">
        <f t="shared" si="258"/>
        <v/>
      </c>
      <c r="XBE30" t="str">
        <f t="shared" si="258"/>
        <v/>
      </c>
      <c r="XBF30" t="str">
        <f t="shared" si="258"/>
        <v/>
      </c>
      <c r="XBG30" t="str">
        <f t="shared" si="258"/>
        <v/>
      </c>
      <c r="XBH30" t="str">
        <f t="shared" si="258"/>
        <v/>
      </c>
      <c r="XBI30" t="str">
        <f t="shared" si="258"/>
        <v/>
      </c>
      <c r="XBJ30" t="str">
        <f t="shared" si="258"/>
        <v/>
      </c>
      <c r="XBK30" t="str">
        <f t="shared" si="258"/>
        <v/>
      </c>
      <c r="XBL30" t="str">
        <f t="shared" si="258"/>
        <v/>
      </c>
      <c r="XBM30" t="str">
        <f t="shared" si="258"/>
        <v/>
      </c>
      <c r="XBN30" t="str">
        <f t="shared" si="258"/>
        <v/>
      </c>
      <c r="XBO30" t="str">
        <f t="shared" si="258"/>
        <v/>
      </c>
      <c r="XBP30" t="str">
        <f t="shared" si="258"/>
        <v/>
      </c>
      <c r="XBQ30" t="str">
        <f t="shared" si="258"/>
        <v/>
      </c>
      <c r="XBR30" t="str">
        <f t="shared" si="258"/>
        <v/>
      </c>
      <c r="XBS30" t="str">
        <f t="shared" si="258"/>
        <v/>
      </c>
      <c r="XBT30" t="str">
        <f t="shared" si="258"/>
        <v/>
      </c>
      <c r="XBU30" t="str">
        <f t="shared" si="258"/>
        <v/>
      </c>
      <c r="XBV30" t="str">
        <f t="shared" si="258"/>
        <v/>
      </c>
      <c r="XBW30" t="str">
        <f t="shared" si="258"/>
        <v/>
      </c>
      <c r="XBX30" t="str">
        <f t="shared" si="258"/>
        <v/>
      </c>
      <c r="XBY30" t="str">
        <f t="shared" si="258"/>
        <v/>
      </c>
      <c r="XBZ30" t="str">
        <f t="shared" si="258"/>
        <v/>
      </c>
      <c r="XCA30" t="str">
        <f t="shared" si="258"/>
        <v/>
      </c>
      <c r="XCB30" t="str">
        <f t="shared" si="258"/>
        <v/>
      </c>
      <c r="XCC30" t="str">
        <f t="shared" si="258"/>
        <v/>
      </c>
      <c r="XCD30" t="str">
        <f t="shared" si="258"/>
        <v/>
      </c>
      <c r="XCE30" t="str">
        <f t="shared" si="258"/>
        <v/>
      </c>
      <c r="XCF30" t="str">
        <f t="shared" si="258"/>
        <v/>
      </c>
      <c r="XCG30" t="str">
        <f t="shared" si="258"/>
        <v/>
      </c>
      <c r="XCH30" t="str">
        <f t="shared" si="258"/>
        <v/>
      </c>
      <c r="XCI30" t="str">
        <f t="shared" si="258"/>
        <v/>
      </c>
      <c r="XCJ30" t="str">
        <f t="shared" si="258"/>
        <v/>
      </c>
      <c r="XCK30" t="str">
        <f t="shared" si="258"/>
        <v/>
      </c>
      <c r="XCL30" t="str">
        <f t="shared" si="258"/>
        <v/>
      </c>
      <c r="XCM30" t="str">
        <f t="shared" si="258"/>
        <v/>
      </c>
      <c r="XCN30" t="str">
        <f t="shared" si="258"/>
        <v/>
      </c>
      <c r="XCO30" t="str">
        <f t="shared" si="258"/>
        <v/>
      </c>
      <c r="XCP30" t="str">
        <f t="shared" si="258"/>
        <v/>
      </c>
      <c r="XCQ30" t="str">
        <f t="shared" si="258"/>
        <v/>
      </c>
      <c r="XCR30" t="str">
        <f t="shared" si="258"/>
        <v/>
      </c>
      <c r="XCS30" t="str">
        <f t="shared" si="258"/>
        <v/>
      </c>
      <c r="XCT30" t="str">
        <f t="shared" si="258"/>
        <v/>
      </c>
      <c r="XCU30" t="str">
        <f t="shared" si="258"/>
        <v/>
      </c>
      <c r="XCV30" t="str">
        <f t="shared" si="258"/>
        <v/>
      </c>
      <c r="XCW30" t="str">
        <f t="shared" si="258"/>
        <v/>
      </c>
      <c r="XCX30" t="str">
        <f t="shared" si="258"/>
        <v/>
      </c>
      <c r="XCY30" t="str">
        <f t="shared" si="258"/>
        <v/>
      </c>
      <c r="XCZ30" t="str">
        <f t="shared" si="258"/>
        <v/>
      </c>
      <c r="XDA30" t="str">
        <f t="shared" si="258"/>
        <v/>
      </c>
      <c r="XDB30" t="str">
        <f t="shared" si="258"/>
        <v/>
      </c>
      <c r="XDC30" t="str">
        <f t="shared" si="258"/>
        <v/>
      </c>
      <c r="XDD30" t="str">
        <f t="shared" si="258"/>
        <v/>
      </c>
      <c r="XDE30" t="str">
        <f t="shared" si="258"/>
        <v/>
      </c>
      <c r="XDF30" t="str">
        <f t="shared" si="258"/>
        <v/>
      </c>
      <c r="XDG30" t="str">
        <f t="shared" si="258"/>
        <v/>
      </c>
      <c r="XDH30" t="str">
        <f t="shared" ref="XDH30:XDY30" si="259">TRIM(XDT11)</f>
        <v/>
      </c>
      <c r="XDI30" t="str">
        <f t="shared" si="259"/>
        <v/>
      </c>
      <c r="XDJ30" t="str">
        <f t="shared" si="259"/>
        <v/>
      </c>
      <c r="XDK30" t="str">
        <f t="shared" si="259"/>
        <v/>
      </c>
      <c r="XDL30" t="str">
        <f t="shared" si="259"/>
        <v/>
      </c>
      <c r="XDM30" t="str">
        <f t="shared" si="259"/>
        <v/>
      </c>
      <c r="XDN30" t="str">
        <f t="shared" si="259"/>
        <v/>
      </c>
      <c r="XDO30" t="str">
        <f t="shared" si="259"/>
        <v/>
      </c>
      <c r="XDP30" t="str">
        <f t="shared" si="259"/>
        <v/>
      </c>
      <c r="XDQ30" t="str">
        <f t="shared" si="259"/>
        <v/>
      </c>
      <c r="XDR30" t="str">
        <f t="shared" si="259"/>
        <v/>
      </c>
      <c r="XDS30" t="str">
        <f t="shared" si="259"/>
        <v/>
      </c>
      <c r="XDT30" t="str">
        <f t="shared" si="259"/>
        <v/>
      </c>
      <c r="XDU30" t="str">
        <f t="shared" si="259"/>
        <v/>
      </c>
      <c r="XDV30" t="str">
        <f t="shared" si="259"/>
        <v/>
      </c>
      <c r="XDW30" t="str">
        <f t="shared" si="259"/>
        <v/>
      </c>
      <c r="XDX30" t="str">
        <f t="shared" si="259"/>
        <v/>
      </c>
      <c r="XDY30" t="str">
        <f t="shared" si="259"/>
        <v/>
      </c>
    </row>
    <row r="31" spans="2:16353" x14ac:dyDescent="0.3">
      <c r="B31" s="261" t="s">
        <v>226</v>
      </c>
      <c r="C31" s="263">
        <f>AVERAGE(BS!AK40:AO40)/IS!AP94</f>
        <v>1.5425951720873623</v>
      </c>
      <c r="D31" s="263">
        <f>AVERAGE(BS!AP40:AT40)/IS!AU94</f>
        <v>3.6783984155447902</v>
      </c>
      <c r="E31" s="263">
        <f>AVERAGE(BS!AU40:AY40)/IS!AZ94</f>
        <v>1.9756838976091053</v>
      </c>
      <c r="F31" s="263">
        <f>AVERAGE(BS!AZ40:BD40)/IS!BE94</f>
        <v>2.0553901775969474</v>
      </c>
      <c r="G31" s="263">
        <f>AVERAGE(BS!BE40:BI40)/IS!BJ94</f>
        <v>2.2428556437096474</v>
      </c>
      <c r="H31" s="263">
        <f>AVERAGE(BS!BJ40:BK40)/IS!BK94</f>
        <v>2.2726957143374191</v>
      </c>
      <c r="I31" s="263">
        <f>AVERAGE(BS!BK40:BL40)/IS!BL94</f>
        <v>2.437507893201631</v>
      </c>
      <c r="J31" s="263">
        <f>AVERAGE(BS!BL40:BM40)/IS!BM94</f>
        <v>2.5152852643588743</v>
      </c>
    </row>
    <row r="32" spans="2:16353" x14ac:dyDescent="0.3">
      <c r="B32" s="261" t="s">
        <v>227</v>
      </c>
      <c r="C32" s="263">
        <f>AVERAGE(BS!AK40:AO40)/IS!AP15</f>
        <v>0.24278811975599268</v>
      </c>
      <c r="D32" s="263">
        <f>AVERAGE(BS!AP40:AT40)/IS!AU15</f>
        <v>0.26739405778012115</v>
      </c>
      <c r="E32" s="263">
        <f>AVERAGE(BS!AU40:AY40)/IS!AZ15</f>
        <v>0.29716119940499491</v>
      </c>
      <c r="F32" s="263">
        <f>AVERAGE(BS!AZ40:BD40)/IS!BE15</f>
        <v>0.3716638228459056</v>
      </c>
      <c r="G32" s="263">
        <f>AVERAGE(BS!BE40:BI40)/IS!BJ15</f>
        <v>0.4259385098715785</v>
      </c>
      <c r="H32" s="263">
        <f>AVERAGE(BS!BJ40:BK40)/IS!BK15</f>
        <v>0.46817531715350819</v>
      </c>
      <c r="I32" s="263">
        <f>AVERAGE(BS!BK40:BL40)/IS!BL15</f>
        <v>0.50212662599953595</v>
      </c>
      <c r="J32" s="263">
        <f>AVERAGE(BS!BL40:BM40)/IS!BM15</f>
        <v>0.53072519077972269</v>
      </c>
    </row>
    <row r="33" spans="2:16353" x14ac:dyDescent="0.3">
      <c r="H33" s="261" t="str">
        <f>TRIM(AD17)</f>
        <v/>
      </c>
      <c r="I33" s="261" t="str">
        <f>TRIM(AE17)</f>
        <v/>
      </c>
      <c r="J33" s="261" t="str">
        <f>TRIM(AF17)</f>
        <v/>
      </c>
      <c r="P33" t="str">
        <f t="shared" ref="P33:BX33" si="260">TRIM(AG17)</f>
        <v/>
      </c>
      <c r="Q33" t="str">
        <f t="shared" si="260"/>
        <v/>
      </c>
      <c r="R33" t="str">
        <f t="shared" si="260"/>
        <v/>
      </c>
      <c r="S33" t="str">
        <f t="shared" si="260"/>
        <v/>
      </c>
      <c r="T33" t="str">
        <f t="shared" si="260"/>
        <v/>
      </c>
      <c r="U33" t="str">
        <f t="shared" si="260"/>
        <v/>
      </c>
      <c r="V33" t="str">
        <f t="shared" si="260"/>
        <v/>
      </c>
      <c r="W33" t="str">
        <f t="shared" si="260"/>
        <v/>
      </c>
      <c r="X33" t="str">
        <f t="shared" si="260"/>
        <v/>
      </c>
      <c r="Y33" t="str">
        <f t="shared" si="260"/>
        <v/>
      </c>
      <c r="Z33" t="str">
        <f t="shared" si="260"/>
        <v/>
      </c>
      <c r="AA33" t="str">
        <f t="shared" si="260"/>
        <v/>
      </c>
      <c r="AB33" t="str">
        <f t="shared" si="260"/>
        <v/>
      </c>
      <c r="AC33" t="str">
        <f t="shared" si="260"/>
        <v/>
      </c>
      <c r="AD33" t="str">
        <f t="shared" si="260"/>
        <v/>
      </c>
      <c r="AE33" t="str">
        <f t="shared" si="260"/>
        <v/>
      </c>
      <c r="AF33" t="str">
        <f t="shared" si="260"/>
        <v/>
      </c>
      <c r="AG33" t="str">
        <f t="shared" si="260"/>
        <v/>
      </c>
      <c r="AH33" t="str">
        <f t="shared" si="260"/>
        <v/>
      </c>
      <c r="AI33" t="str">
        <f t="shared" si="260"/>
        <v/>
      </c>
      <c r="AJ33" t="str">
        <f t="shared" si="260"/>
        <v/>
      </c>
      <c r="AK33" t="str">
        <f t="shared" si="260"/>
        <v/>
      </c>
      <c r="AL33" t="str">
        <f t="shared" si="260"/>
        <v/>
      </c>
      <c r="AM33" t="str">
        <f t="shared" si="260"/>
        <v/>
      </c>
      <c r="AN33" t="str">
        <f t="shared" si="260"/>
        <v/>
      </c>
      <c r="AO33" t="str">
        <f t="shared" si="260"/>
        <v/>
      </c>
      <c r="AP33" t="str">
        <f t="shared" si="260"/>
        <v/>
      </c>
      <c r="AQ33" t="str">
        <f t="shared" si="260"/>
        <v/>
      </c>
      <c r="AR33" t="str">
        <f t="shared" si="260"/>
        <v/>
      </c>
      <c r="AS33" t="str">
        <f t="shared" si="260"/>
        <v/>
      </c>
      <c r="AT33" t="str">
        <f t="shared" si="260"/>
        <v/>
      </c>
      <c r="AU33" t="str">
        <f t="shared" si="260"/>
        <v/>
      </c>
      <c r="AV33" t="str">
        <f t="shared" si="260"/>
        <v/>
      </c>
      <c r="AW33" t="str">
        <f t="shared" si="260"/>
        <v/>
      </c>
      <c r="AX33" t="str">
        <f t="shared" si="260"/>
        <v/>
      </c>
      <c r="AY33" t="str">
        <f t="shared" si="260"/>
        <v/>
      </c>
      <c r="AZ33" t="str">
        <f t="shared" si="260"/>
        <v/>
      </c>
      <c r="BA33" t="str">
        <f t="shared" si="260"/>
        <v/>
      </c>
      <c r="BB33" t="str">
        <f t="shared" si="260"/>
        <v/>
      </c>
      <c r="BC33" t="str">
        <f t="shared" si="260"/>
        <v/>
      </c>
      <c r="BD33" t="str">
        <f t="shared" si="260"/>
        <v/>
      </c>
      <c r="BE33" t="str">
        <f t="shared" si="260"/>
        <v/>
      </c>
      <c r="BF33" t="str">
        <f t="shared" si="260"/>
        <v/>
      </c>
      <c r="BG33" t="str">
        <f t="shared" si="260"/>
        <v/>
      </c>
      <c r="BH33" t="str">
        <f t="shared" si="260"/>
        <v/>
      </c>
      <c r="BI33" t="str">
        <f t="shared" si="260"/>
        <v/>
      </c>
      <c r="BJ33" t="str">
        <f t="shared" si="260"/>
        <v/>
      </c>
      <c r="BK33" t="str">
        <f t="shared" si="260"/>
        <v/>
      </c>
      <c r="BL33" t="str">
        <f t="shared" si="260"/>
        <v/>
      </c>
      <c r="BM33" t="str">
        <f t="shared" si="260"/>
        <v/>
      </c>
      <c r="BN33" t="str">
        <f t="shared" si="260"/>
        <v/>
      </c>
      <c r="BO33" t="str">
        <f t="shared" si="260"/>
        <v/>
      </c>
      <c r="BP33" t="str">
        <f t="shared" si="260"/>
        <v/>
      </c>
      <c r="BQ33" t="str">
        <f t="shared" si="260"/>
        <v/>
      </c>
      <c r="BR33" t="str">
        <f t="shared" si="260"/>
        <v/>
      </c>
      <c r="BS33" t="str">
        <f t="shared" si="260"/>
        <v/>
      </c>
      <c r="BT33" t="str">
        <f t="shared" si="260"/>
        <v/>
      </c>
      <c r="BU33" t="str">
        <f t="shared" si="260"/>
        <v/>
      </c>
      <c r="BV33" t="str">
        <f t="shared" si="260"/>
        <v/>
      </c>
      <c r="BW33" t="str">
        <f t="shared" si="260"/>
        <v/>
      </c>
      <c r="BX33" t="str">
        <f t="shared" si="260"/>
        <v/>
      </c>
      <c r="BY33" t="str">
        <f t="shared" ref="BY33:EJ33" si="261">TRIM(CP17)</f>
        <v/>
      </c>
      <c r="BZ33" t="str">
        <f t="shared" si="261"/>
        <v/>
      </c>
      <c r="CA33" t="str">
        <f t="shared" si="261"/>
        <v/>
      </c>
      <c r="CB33" t="str">
        <f t="shared" si="261"/>
        <v/>
      </c>
      <c r="CC33" t="str">
        <f t="shared" si="261"/>
        <v/>
      </c>
      <c r="CD33" t="str">
        <f t="shared" si="261"/>
        <v/>
      </c>
      <c r="CE33" t="str">
        <f t="shared" si="261"/>
        <v/>
      </c>
      <c r="CF33" t="str">
        <f t="shared" si="261"/>
        <v/>
      </c>
      <c r="CG33" t="str">
        <f t="shared" si="261"/>
        <v/>
      </c>
      <c r="CH33" t="str">
        <f t="shared" si="261"/>
        <v/>
      </c>
      <c r="CI33" t="str">
        <f t="shared" si="261"/>
        <v/>
      </c>
      <c r="CJ33" t="str">
        <f t="shared" si="261"/>
        <v/>
      </c>
      <c r="CK33" t="str">
        <f t="shared" si="261"/>
        <v/>
      </c>
      <c r="CL33" t="str">
        <f t="shared" si="261"/>
        <v/>
      </c>
      <c r="CM33" t="str">
        <f t="shared" si="261"/>
        <v/>
      </c>
      <c r="CN33" t="str">
        <f t="shared" si="261"/>
        <v/>
      </c>
      <c r="CO33" t="str">
        <f t="shared" si="261"/>
        <v/>
      </c>
      <c r="CP33" t="str">
        <f t="shared" si="261"/>
        <v/>
      </c>
      <c r="CQ33" t="str">
        <f t="shared" si="261"/>
        <v/>
      </c>
      <c r="CR33" t="str">
        <f t="shared" si="261"/>
        <v/>
      </c>
      <c r="CS33" t="str">
        <f t="shared" si="261"/>
        <v/>
      </c>
      <c r="CT33" t="str">
        <f t="shared" si="261"/>
        <v/>
      </c>
      <c r="CU33" t="str">
        <f t="shared" si="261"/>
        <v/>
      </c>
      <c r="CV33" t="str">
        <f t="shared" si="261"/>
        <v/>
      </c>
      <c r="CW33" t="str">
        <f t="shared" si="261"/>
        <v/>
      </c>
      <c r="CX33" t="str">
        <f t="shared" si="261"/>
        <v/>
      </c>
      <c r="CY33" t="str">
        <f t="shared" si="261"/>
        <v/>
      </c>
      <c r="CZ33" t="str">
        <f t="shared" si="261"/>
        <v/>
      </c>
      <c r="DA33" t="str">
        <f t="shared" si="261"/>
        <v/>
      </c>
      <c r="DB33" t="str">
        <f t="shared" si="261"/>
        <v/>
      </c>
      <c r="DC33" t="str">
        <f t="shared" si="261"/>
        <v/>
      </c>
      <c r="DD33" t="str">
        <f t="shared" si="261"/>
        <v/>
      </c>
      <c r="DE33" t="str">
        <f t="shared" si="261"/>
        <v/>
      </c>
      <c r="DF33" t="str">
        <f t="shared" si="261"/>
        <v/>
      </c>
      <c r="DG33" t="str">
        <f t="shared" si="261"/>
        <v/>
      </c>
      <c r="DH33" t="str">
        <f t="shared" si="261"/>
        <v/>
      </c>
      <c r="DI33" t="str">
        <f t="shared" si="261"/>
        <v/>
      </c>
      <c r="DJ33" t="str">
        <f t="shared" si="261"/>
        <v/>
      </c>
      <c r="DK33" t="str">
        <f t="shared" si="261"/>
        <v/>
      </c>
      <c r="DL33" t="str">
        <f t="shared" si="261"/>
        <v/>
      </c>
      <c r="DM33" t="str">
        <f t="shared" si="261"/>
        <v/>
      </c>
      <c r="DN33" t="str">
        <f t="shared" si="261"/>
        <v/>
      </c>
      <c r="DO33" t="str">
        <f t="shared" si="261"/>
        <v/>
      </c>
      <c r="DP33" t="str">
        <f t="shared" si="261"/>
        <v/>
      </c>
      <c r="DQ33" t="str">
        <f t="shared" si="261"/>
        <v/>
      </c>
      <c r="DR33" t="str">
        <f t="shared" si="261"/>
        <v/>
      </c>
      <c r="DS33" t="str">
        <f t="shared" si="261"/>
        <v/>
      </c>
      <c r="DT33" t="str">
        <f t="shared" si="261"/>
        <v/>
      </c>
      <c r="DU33" t="str">
        <f t="shared" si="261"/>
        <v/>
      </c>
      <c r="DV33" t="str">
        <f t="shared" si="261"/>
        <v/>
      </c>
      <c r="DW33" t="str">
        <f t="shared" si="261"/>
        <v/>
      </c>
      <c r="DX33" t="str">
        <f t="shared" si="261"/>
        <v/>
      </c>
      <c r="DY33" t="str">
        <f t="shared" si="261"/>
        <v/>
      </c>
      <c r="DZ33" t="str">
        <f t="shared" si="261"/>
        <v/>
      </c>
      <c r="EA33" t="str">
        <f t="shared" si="261"/>
        <v/>
      </c>
      <c r="EB33" t="str">
        <f t="shared" si="261"/>
        <v/>
      </c>
      <c r="EC33" t="str">
        <f t="shared" si="261"/>
        <v/>
      </c>
      <c r="ED33" t="str">
        <f t="shared" si="261"/>
        <v/>
      </c>
      <c r="EE33" t="str">
        <f t="shared" si="261"/>
        <v/>
      </c>
      <c r="EF33" t="str">
        <f t="shared" si="261"/>
        <v/>
      </c>
      <c r="EG33" t="str">
        <f t="shared" si="261"/>
        <v/>
      </c>
      <c r="EH33" t="str">
        <f t="shared" si="261"/>
        <v/>
      </c>
      <c r="EI33" t="str">
        <f t="shared" si="261"/>
        <v/>
      </c>
      <c r="EJ33" t="str">
        <f t="shared" si="261"/>
        <v/>
      </c>
      <c r="EK33" t="str">
        <f t="shared" ref="EK33:GV33" si="262">TRIM(FB17)</f>
        <v/>
      </c>
      <c r="EL33" t="str">
        <f t="shared" si="262"/>
        <v/>
      </c>
      <c r="EM33" t="str">
        <f t="shared" si="262"/>
        <v/>
      </c>
      <c r="EN33" t="str">
        <f t="shared" si="262"/>
        <v/>
      </c>
      <c r="EO33" t="str">
        <f t="shared" si="262"/>
        <v/>
      </c>
      <c r="EP33" t="str">
        <f t="shared" si="262"/>
        <v/>
      </c>
      <c r="EQ33" t="str">
        <f t="shared" si="262"/>
        <v/>
      </c>
      <c r="ER33" t="str">
        <f t="shared" si="262"/>
        <v/>
      </c>
      <c r="ES33" t="str">
        <f t="shared" si="262"/>
        <v/>
      </c>
      <c r="ET33" t="str">
        <f t="shared" si="262"/>
        <v/>
      </c>
      <c r="EU33" t="str">
        <f t="shared" si="262"/>
        <v/>
      </c>
      <c r="EV33" t="str">
        <f t="shared" si="262"/>
        <v/>
      </c>
      <c r="EW33" t="str">
        <f t="shared" si="262"/>
        <v/>
      </c>
      <c r="EX33" t="str">
        <f t="shared" si="262"/>
        <v/>
      </c>
      <c r="EY33" t="str">
        <f t="shared" si="262"/>
        <v/>
      </c>
      <c r="EZ33" t="str">
        <f t="shared" si="262"/>
        <v/>
      </c>
      <c r="FA33" t="str">
        <f t="shared" si="262"/>
        <v/>
      </c>
      <c r="FB33" t="str">
        <f t="shared" si="262"/>
        <v/>
      </c>
      <c r="FC33" t="str">
        <f t="shared" si="262"/>
        <v/>
      </c>
      <c r="FD33" t="str">
        <f t="shared" si="262"/>
        <v/>
      </c>
      <c r="FE33" t="str">
        <f t="shared" si="262"/>
        <v/>
      </c>
      <c r="FF33" t="str">
        <f t="shared" si="262"/>
        <v/>
      </c>
      <c r="FG33" t="str">
        <f t="shared" si="262"/>
        <v/>
      </c>
      <c r="FH33" t="str">
        <f t="shared" si="262"/>
        <v/>
      </c>
      <c r="FI33" t="str">
        <f t="shared" si="262"/>
        <v/>
      </c>
      <c r="FJ33" t="str">
        <f t="shared" si="262"/>
        <v/>
      </c>
      <c r="FK33" t="str">
        <f t="shared" si="262"/>
        <v/>
      </c>
      <c r="FL33" t="str">
        <f t="shared" si="262"/>
        <v/>
      </c>
      <c r="FM33" t="str">
        <f t="shared" si="262"/>
        <v/>
      </c>
      <c r="FN33" t="str">
        <f t="shared" si="262"/>
        <v/>
      </c>
      <c r="FO33" t="str">
        <f t="shared" si="262"/>
        <v/>
      </c>
      <c r="FP33" t="str">
        <f t="shared" si="262"/>
        <v/>
      </c>
      <c r="FQ33" t="str">
        <f t="shared" si="262"/>
        <v/>
      </c>
      <c r="FR33" t="str">
        <f t="shared" si="262"/>
        <v/>
      </c>
      <c r="FS33" t="str">
        <f t="shared" si="262"/>
        <v/>
      </c>
      <c r="FT33" t="str">
        <f t="shared" si="262"/>
        <v/>
      </c>
      <c r="FU33" t="str">
        <f t="shared" si="262"/>
        <v/>
      </c>
      <c r="FV33" t="str">
        <f t="shared" si="262"/>
        <v/>
      </c>
      <c r="FW33" t="str">
        <f t="shared" si="262"/>
        <v/>
      </c>
      <c r="FX33" t="str">
        <f t="shared" si="262"/>
        <v/>
      </c>
      <c r="FY33" t="str">
        <f t="shared" si="262"/>
        <v/>
      </c>
      <c r="FZ33" t="str">
        <f t="shared" si="262"/>
        <v/>
      </c>
      <c r="GA33" t="str">
        <f t="shared" si="262"/>
        <v/>
      </c>
      <c r="GB33" t="str">
        <f t="shared" si="262"/>
        <v/>
      </c>
      <c r="GC33" t="str">
        <f t="shared" si="262"/>
        <v/>
      </c>
      <c r="GD33" t="str">
        <f t="shared" si="262"/>
        <v/>
      </c>
      <c r="GE33" t="str">
        <f t="shared" si="262"/>
        <v/>
      </c>
      <c r="GF33" t="str">
        <f t="shared" si="262"/>
        <v/>
      </c>
      <c r="GG33" t="str">
        <f t="shared" si="262"/>
        <v/>
      </c>
      <c r="GH33" t="str">
        <f t="shared" si="262"/>
        <v/>
      </c>
      <c r="GI33" t="str">
        <f t="shared" si="262"/>
        <v/>
      </c>
      <c r="GJ33" t="str">
        <f t="shared" si="262"/>
        <v/>
      </c>
      <c r="GK33" t="str">
        <f t="shared" si="262"/>
        <v/>
      </c>
      <c r="GL33" t="str">
        <f t="shared" si="262"/>
        <v/>
      </c>
      <c r="GM33" t="str">
        <f t="shared" si="262"/>
        <v/>
      </c>
      <c r="GN33" t="str">
        <f t="shared" si="262"/>
        <v/>
      </c>
      <c r="GO33" t="str">
        <f t="shared" si="262"/>
        <v/>
      </c>
      <c r="GP33" t="str">
        <f t="shared" si="262"/>
        <v/>
      </c>
      <c r="GQ33" t="str">
        <f t="shared" si="262"/>
        <v/>
      </c>
      <c r="GR33" t="str">
        <f t="shared" si="262"/>
        <v/>
      </c>
      <c r="GS33" t="str">
        <f t="shared" si="262"/>
        <v/>
      </c>
      <c r="GT33" t="str">
        <f t="shared" si="262"/>
        <v/>
      </c>
      <c r="GU33" t="str">
        <f t="shared" si="262"/>
        <v/>
      </c>
      <c r="GV33" t="str">
        <f t="shared" si="262"/>
        <v/>
      </c>
      <c r="GW33" t="str">
        <f t="shared" ref="GW33:JH33" si="263">TRIM(HN17)</f>
        <v/>
      </c>
      <c r="GX33" t="str">
        <f t="shared" si="263"/>
        <v/>
      </c>
      <c r="GY33" t="str">
        <f t="shared" si="263"/>
        <v/>
      </c>
      <c r="GZ33" t="str">
        <f t="shared" si="263"/>
        <v/>
      </c>
      <c r="HA33" t="str">
        <f t="shared" si="263"/>
        <v/>
      </c>
      <c r="HB33" t="str">
        <f t="shared" si="263"/>
        <v/>
      </c>
      <c r="HC33" t="str">
        <f t="shared" si="263"/>
        <v/>
      </c>
      <c r="HD33" t="str">
        <f t="shared" si="263"/>
        <v/>
      </c>
      <c r="HE33" t="str">
        <f t="shared" si="263"/>
        <v/>
      </c>
      <c r="HF33" t="str">
        <f t="shared" si="263"/>
        <v/>
      </c>
      <c r="HG33" t="str">
        <f t="shared" si="263"/>
        <v/>
      </c>
      <c r="HH33" t="str">
        <f t="shared" si="263"/>
        <v/>
      </c>
      <c r="HI33" t="str">
        <f t="shared" si="263"/>
        <v/>
      </c>
      <c r="HJ33" t="str">
        <f t="shared" si="263"/>
        <v/>
      </c>
      <c r="HK33" t="str">
        <f t="shared" si="263"/>
        <v/>
      </c>
      <c r="HL33" t="str">
        <f t="shared" si="263"/>
        <v/>
      </c>
      <c r="HM33" t="str">
        <f t="shared" si="263"/>
        <v/>
      </c>
      <c r="HN33" t="str">
        <f t="shared" si="263"/>
        <v/>
      </c>
      <c r="HO33" t="str">
        <f t="shared" si="263"/>
        <v/>
      </c>
      <c r="HP33" t="str">
        <f t="shared" si="263"/>
        <v/>
      </c>
      <c r="HQ33" t="str">
        <f t="shared" si="263"/>
        <v/>
      </c>
      <c r="HR33" t="str">
        <f t="shared" si="263"/>
        <v/>
      </c>
      <c r="HS33" t="str">
        <f t="shared" si="263"/>
        <v/>
      </c>
      <c r="HT33" t="str">
        <f t="shared" si="263"/>
        <v/>
      </c>
      <c r="HU33" t="str">
        <f t="shared" si="263"/>
        <v/>
      </c>
      <c r="HV33" t="str">
        <f t="shared" si="263"/>
        <v/>
      </c>
      <c r="HW33" t="str">
        <f t="shared" si="263"/>
        <v/>
      </c>
      <c r="HX33" t="str">
        <f t="shared" si="263"/>
        <v/>
      </c>
      <c r="HY33" t="str">
        <f t="shared" si="263"/>
        <v/>
      </c>
      <c r="HZ33" t="str">
        <f t="shared" si="263"/>
        <v/>
      </c>
      <c r="IA33" t="str">
        <f t="shared" si="263"/>
        <v/>
      </c>
      <c r="IB33" t="str">
        <f t="shared" si="263"/>
        <v/>
      </c>
      <c r="IC33" t="str">
        <f t="shared" si="263"/>
        <v/>
      </c>
      <c r="ID33" t="str">
        <f t="shared" si="263"/>
        <v/>
      </c>
      <c r="IE33" t="str">
        <f t="shared" si="263"/>
        <v/>
      </c>
      <c r="IF33" t="str">
        <f t="shared" si="263"/>
        <v/>
      </c>
      <c r="IG33" t="str">
        <f t="shared" si="263"/>
        <v/>
      </c>
      <c r="IH33" t="str">
        <f t="shared" si="263"/>
        <v/>
      </c>
      <c r="II33" t="str">
        <f t="shared" si="263"/>
        <v/>
      </c>
      <c r="IJ33" t="str">
        <f t="shared" si="263"/>
        <v/>
      </c>
      <c r="IK33" t="str">
        <f t="shared" si="263"/>
        <v/>
      </c>
      <c r="IL33" t="str">
        <f t="shared" si="263"/>
        <v/>
      </c>
      <c r="IM33" t="str">
        <f t="shared" si="263"/>
        <v/>
      </c>
      <c r="IN33" t="str">
        <f t="shared" si="263"/>
        <v/>
      </c>
      <c r="IO33" t="str">
        <f t="shared" si="263"/>
        <v/>
      </c>
      <c r="IP33" t="str">
        <f t="shared" si="263"/>
        <v/>
      </c>
      <c r="IQ33" t="str">
        <f t="shared" si="263"/>
        <v/>
      </c>
      <c r="IR33" t="str">
        <f t="shared" si="263"/>
        <v/>
      </c>
      <c r="IS33" t="str">
        <f t="shared" si="263"/>
        <v/>
      </c>
      <c r="IT33" t="str">
        <f t="shared" si="263"/>
        <v/>
      </c>
      <c r="IU33" t="str">
        <f t="shared" si="263"/>
        <v/>
      </c>
      <c r="IV33" t="str">
        <f t="shared" si="263"/>
        <v/>
      </c>
      <c r="IW33" t="str">
        <f t="shared" si="263"/>
        <v/>
      </c>
      <c r="IX33" t="str">
        <f t="shared" si="263"/>
        <v/>
      </c>
      <c r="IY33" t="str">
        <f t="shared" si="263"/>
        <v/>
      </c>
      <c r="IZ33" t="str">
        <f t="shared" si="263"/>
        <v/>
      </c>
      <c r="JA33" t="str">
        <f t="shared" si="263"/>
        <v/>
      </c>
      <c r="JB33" t="str">
        <f t="shared" si="263"/>
        <v/>
      </c>
      <c r="JC33" t="str">
        <f t="shared" si="263"/>
        <v/>
      </c>
      <c r="JD33" t="str">
        <f t="shared" si="263"/>
        <v/>
      </c>
      <c r="JE33" t="str">
        <f t="shared" si="263"/>
        <v/>
      </c>
      <c r="JF33" t="str">
        <f t="shared" si="263"/>
        <v/>
      </c>
      <c r="JG33" t="str">
        <f t="shared" si="263"/>
        <v/>
      </c>
      <c r="JH33" t="str">
        <f t="shared" si="263"/>
        <v/>
      </c>
      <c r="JI33" t="str">
        <f t="shared" ref="JI33:LT33" si="264">TRIM(JZ17)</f>
        <v/>
      </c>
      <c r="JJ33" t="str">
        <f t="shared" si="264"/>
        <v/>
      </c>
      <c r="JK33" t="str">
        <f t="shared" si="264"/>
        <v/>
      </c>
      <c r="JL33" t="str">
        <f t="shared" si="264"/>
        <v/>
      </c>
      <c r="JM33" t="str">
        <f t="shared" si="264"/>
        <v/>
      </c>
      <c r="JN33" t="str">
        <f t="shared" si="264"/>
        <v/>
      </c>
      <c r="JO33" t="str">
        <f t="shared" si="264"/>
        <v/>
      </c>
      <c r="JP33" t="str">
        <f t="shared" si="264"/>
        <v/>
      </c>
      <c r="JQ33" t="str">
        <f t="shared" si="264"/>
        <v/>
      </c>
      <c r="JR33" t="str">
        <f t="shared" si="264"/>
        <v/>
      </c>
      <c r="JS33" t="str">
        <f t="shared" si="264"/>
        <v/>
      </c>
      <c r="JT33" t="str">
        <f t="shared" si="264"/>
        <v/>
      </c>
      <c r="JU33" t="str">
        <f t="shared" si="264"/>
        <v/>
      </c>
      <c r="JV33" t="str">
        <f t="shared" si="264"/>
        <v/>
      </c>
      <c r="JW33" t="str">
        <f t="shared" si="264"/>
        <v/>
      </c>
      <c r="JX33" t="str">
        <f t="shared" si="264"/>
        <v/>
      </c>
      <c r="JY33" t="str">
        <f t="shared" si="264"/>
        <v/>
      </c>
      <c r="JZ33" t="str">
        <f t="shared" si="264"/>
        <v/>
      </c>
      <c r="KA33" t="str">
        <f t="shared" si="264"/>
        <v/>
      </c>
      <c r="KB33" t="str">
        <f t="shared" si="264"/>
        <v/>
      </c>
      <c r="KC33" t="str">
        <f t="shared" si="264"/>
        <v/>
      </c>
      <c r="KD33" t="str">
        <f t="shared" si="264"/>
        <v/>
      </c>
      <c r="KE33" t="str">
        <f t="shared" si="264"/>
        <v/>
      </c>
      <c r="KF33" t="str">
        <f t="shared" si="264"/>
        <v/>
      </c>
      <c r="KG33" t="str">
        <f t="shared" si="264"/>
        <v/>
      </c>
      <c r="KH33" t="str">
        <f t="shared" si="264"/>
        <v/>
      </c>
      <c r="KI33" t="str">
        <f t="shared" si="264"/>
        <v/>
      </c>
      <c r="KJ33" t="str">
        <f t="shared" si="264"/>
        <v/>
      </c>
      <c r="KK33" t="str">
        <f t="shared" si="264"/>
        <v/>
      </c>
      <c r="KL33" t="str">
        <f t="shared" si="264"/>
        <v/>
      </c>
      <c r="KM33" t="str">
        <f t="shared" si="264"/>
        <v/>
      </c>
      <c r="KN33" t="str">
        <f t="shared" si="264"/>
        <v/>
      </c>
      <c r="KO33" t="str">
        <f t="shared" si="264"/>
        <v/>
      </c>
      <c r="KP33" t="str">
        <f t="shared" si="264"/>
        <v/>
      </c>
      <c r="KQ33" t="str">
        <f t="shared" si="264"/>
        <v/>
      </c>
      <c r="KR33" t="str">
        <f t="shared" si="264"/>
        <v/>
      </c>
      <c r="KS33" t="str">
        <f t="shared" si="264"/>
        <v/>
      </c>
      <c r="KT33" t="str">
        <f t="shared" si="264"/>
        <v/>
      </c>
      <c r="KU33" t="str">
        <f t="shared" si="264"/>
        <v/>
      </c>
      <c r="KV33" t="str">
        <f t="shared" si="264"/>
        <v/>
      </c>
      <c r="KW33" t="str">
        <f t="shared" si="264"/>
        <v/>
      </c>
      <c r="KX33" t="str">
        <f t="shared" si="264"/>
        <v/>
      </c>
      <c r="KY33" t="str">
        <f t="shared" si="264"/>
        <v/>
      </c>
      <c r="KZ33" t="str">
        <f t="shared" si="264"/>
        <v/>
      </c>
      <c r="LA33" t="str">
        <f t="shared" si="264"/>
        <v/>
      </c>
      <c r="LB33" t="str">
        <f t="shared" si="264"/>
        <v/>
      </c>
      <c r="LC33" t="str">
        <f t="shared" si="264"/>
        <v/>
      </c>
      <c r="LD33" t="str">
        <f t="shared" si="264"/>
        <v/>
      </c>
      <c r="LE33" t="str">
        <f t="shared" si="264"/>
        <v/>
      </c>
      <c r="LF33" t="str">
        <f t="shared" si="264"/>
        <v/>
      </c>
      <c r="LG33" t="str">
        <f t="shared" si="264"/>
        <v/>
      </c>
      <c r="LH33" t="str">
        <f t="shared" si="264"/>
        <v/>
      </c>
      <c r="LI33" t="str">
        <f t="shared" si="264"/>
        <v/>
      </c>
      <c r="LJ33" t="str">
        <f t="shared" si="264"/>
        <v/>
      </c>
      <c r="LK33" t="str">
        <f t="shared" si="264"/>
        <v/>
      </c>
      <c r="LL33" t="str">
        <f t="shared" si="264"/>
        <v/>
      </c>
      <c r="LM33" t="str">
        <f t="shared" si="264"/>
        <v/>
      </c>
      <c r="LN33" t="str">
        <f t="shared" si="264"/>
        <v/>
      </c>
      <c r="LO33" t="str">
        <f t="shared" si="264"/>
        <v/>
      </c>
      <c r="LP33" t="str">
        <f t="shared" si="264"/>
        <v/>
      </c>
      <c r="LQ33" t="str">
        <f t="shared" si="264"/>
        <v/>
      </c>
      <c r="LR33" t="str">
        <f t="shared" si="264"/>
        <v/>
      </c>
      <c r="LS33" t="str">
        <f t="shared" si="264"/>
        <v/>
      </c>
      <c r="LT33" t="str">
        <f t="shared" si="264"/>
        <v/>
      </c>
      <c r="LU33" t="str">
        <f t="shared" ref="LU33:OF33" si="265">TRIM(ML17)</f>
        <v/>
      </c>
      <c r="LV33" t="str">
        <f t="shared" si="265"/>
        <v/>
      </c>
      <c r="LW33" t="str">
        <f t="shared" si="265"/>
        <v/>
      </c>
      <c r="LX33" t="str">
        <f t="shared" si="265"/>
        <v/>
      </c>
      <c r="LY33" t="str">
        <f t="shared" si="265"/>
        <v/>
      </c>
      <c r="LZ33" t="str">
        <f t="shared" si="265"/>
        <v/>
      </c>
      <c r="MA33" t="str">
        <f t="shared" si="265"/>
        <v/>
      </c>
      <c r="MB33" t="str">
        <f t="shared" si="265"/>
        <v/>
      </c>
      <c r="MC33" t="str">
        <f t="shared" si="265"/>
        <v/>
      </c>
      <c r="MD33" t="str">
        <f t="shared" si="265"/>
        <v/>
      </c>
      <c r="ME33" t="str">
        <f t="shared" si="265"/>
        <v/>
      </c>
      <c r="MF33" t="str">
        <f t="shared" si="265"/>
        <v/>
      </c>
      <c r="MG33" t="str">
        <f t="shared" si="265"/>
        <v/>
      </c>
      <c r="MH33" t="str">
        <f t="shared" si="265"/>
        <v/>
      </c>
      <c r="MI33" t="str">
        <f t="shared" si="265"/>
        <v/>
      </c>
      <c r="MJ33" t="str">
        <f t="shared" si="265"/>
        <v/>
      </c>
      <c r="MK33" t="str">
        <f t="shared" si="265"/>
        <v/>
      </c>
      <c r="ML33" t="str">
        <f t="shared" si="265"/>
        <v/>
      </c>
      <c r="MM33" t="str">
        <f t="shared" si="265"/>
        <v/>
      </c>
      <c r="MN33" t="str">
        <f t="shared" si="265"/>
        <v/>
      </c>
      <c r="MO33" t="str">
        <f t="shared" si="265"/>
        <v/>
      </c>
      <c r="MP33" t="str">
        <f t="shared" si="265"/>
        <v/>
      </c>
      <c r="MQ33" t="str">
        <f t="shared" si="265"/>
        <v/>
      </c>
      <c r="MR33" t="str">
        <f t="shared" si="265"/>
        <v/>
      </c>
      <c r="MS33" t="str">
        <f t="shared" si="265"/>
        <v/>
      </c>
      <c r="MT33" t="str">
        <f t="shared" si="265"/>
        <v/>
      </c>
      <c r="MU33" t="str">
        <f t="shared" si="265"/>
        <v/>
      </c>
      <c r="MV33" t="str">
        <f t="shared" si="265"/>
        <v/>
      </c>
      <c r="MW33" t="str">
        <f t="shared" si="265"/>
        <v/>
      </c>
      <c r="MX33" t="str">
        <f t="shared" si="265"/>
        <v/>
      </c>
      <c r="MY33" t="str">
        <f t="shared" si="265"/>
        <v/>
      </c>
      <c r="MZ33" t="str">
        <f t="shared" si="265"/>
        <v/>
      </c>
      <c r="NA33" t="str">
        <f t="shared" si="265"/>
        <v/>
      </c>
      <c r="NB33" t="str">
        <f t="shared" si="265"/>
        <v/>
      </c>
      <c r="NC33" t="str">
        <f t="shared" si="265"/>
        <v/>
      </c>
      <c r="ND33" t="str">
        <f t="shared" si="265"/>
        <v/>
      </c>
      <c r="NE33" t="str">
        <f t="shared" si="265"/>
        <v/>
      </c>
      <c r="NF33" t="str">
        <f t="shared" si="265"/>
        <v/>
      </c>
      <c r="NG33" t="str">
        <f t="shared" si="265"/>
        <v/>
      </c>
      <c r="NH33" t="str">
        <f t="shared" si="265"/>
        <v/>
      </c>
      <c r="NI33" t="str">
        <f t="shared" si="265"/>
        <v/>
      </c>
      <c r="NJ33" t="str">
        <f t="shared" si="265"/>
        <v/>
      </c>
      <c r="NK33" t="str">
        <f t="shared" si="265"/>
        <v/>
      </c>
      <c r="NL33" t="str">
        <f t="shared" si="265"/>
        <v/>
      </c>
      <c r="NM33" t="str">
        <f t="shared" si="265"/>
        <v/>
      </c>
      <c r="NN33" t="str">
        <f t="shared" si="265"/>
        <v/>
      </c>
      <c r="NO33" t="str">
        <f t="shared" si="265"/>
        <v/>
      </c>
      <c r="NP33" t="str">
        <f t="shared" si="265"/>
        <v/>
      </c>
      <c r="NQ33" t="str">
        <f t="shared" si="265"/>
        <v/>
      </c>
      <c r="NR33" t="str">
        <f t="shared" si="265"/>
        <v/>
      </c>
      <c r="NS33" t="str">
        <f t="shared" si="265"/>
        <v/>
      </c>
      <c r="NT33" t="str">
        <f t="shared" si="265"/>
        <v/>
      </c>
      <c r="NU33" t="str">
        <f t="shared" si="265"/>
        <v/>
      </c>
      <c r="NV33" t="str">
        <f t="shared" si="265"/>
        <v/>
      </c>
      <c r="NW33" t="str">
        <f t="shared" si="265"/>
        <v/>
      </c>
      <c r="NX33" t="str">
        <f t="shared" si="265"/>
        <v/>
      </c>
      <c r="NY33" t="str">
        <f t="shared" si="265"/>
        <v/>
      </c>
      <c r="NZ33" t="str">
        <f t="shared" si="265"/>
        <v/>
      </c>
      <c r="OA33" t="str">
        <f t="shared" si="265"/>
        <v/>
      </c>
      <c r="OB33" t="str">
        <f t="shared" si="265"/>
        <v/>
      </c>
      <c r="OC33" t="str">
        <f t="shared" si="265"/>
        <v/>
      </c>
      <c r="OD33" t="str">
        <f t="shared" si="265"/>
        <v/>
      </c>
      <c r="OE33" t="str">
        <f t="shared" si="265"/>
        <v/>
      </c>
      <c r="OF33" t="str">
        <f t="shared" si="265"/>
        <v/>
      </c>
      <c r="OG33" t="str">
        <f t="shared" ref="OG33:QR33" si="266">TRIM(OX17)</f>
        <v/>
      </c>
      <c r="OH33" t="str">
        <f t="shared" si="266"/>
        <v/>
      </c>
      <c r="OI33" t="str">
        <f t="shared" si="266"/>
        <v/>
      </c>
      <c r="OJ33" t="str">
        <f t="shared" si="266"/>
        <v/>
      </c>
      <c r="OK33" t="str">
        <f t="shared" si="266"/>
        <v/>
      </c>
      <c r="OL33" t="str">
        <f t="shared" si="266"/>
        <v/>
      </c>
      <c r="OM33" t="str">
        <f t="shared" si="266"/>
        <v/>
      </c>
      <c r="ON33" t="str">
        <f t="shared" si="266"/>
        <v/>
      </c>
      <c r="OO33" t="str">
        <f t="shared" si="266"/>
        <v/>
      </c>
      <c r="OP33" t="str">
        <f t="shared" si="266"/>
        <v/>
      </c>
      <c r="OQ33" t="str">
        <f t="shared" si="266"/>
        <v/>
      </c>
      <c r="OR33" t="str">
        <f t="shared" si="266"/>
        <v/>
      </c>
      <c r="OS33" t="str">
        <f t="shared" si="266"/>
        <v/>
      </c>
      <c r="OT33" t="str">
        <f t="shared" si="266"/>
        <v/>
      </c>
      <c r="OU33" t="str">
        <f t="shared" si="266"/>
        <v/>
      </c>
      <c r="OV33" t="str">
        <f t="shared" si="266"/>
        <v/>
      </c>
      <c r="OW33" t="str">
        <f t="shared" si="266"/>
        <v/>
      </c>
      <c r="OX33" t="str">
        <f t="shared" si="266"/>
        <v/>
      </c>
      <c r="OY33" t="str">
        <f t="shared" si="266"/>
        <v/>
      </c>
      <c r="OZ33" t="str">
        <f t="shared" si="266"/>
        <v/>
      </c>
      <c r="PA33" t="str">
        <f t="shared" si="266"/>
        <v/>
      </c>
      <c r="PB33" t="str">
        <f t="shared" si="266"/>
        <v/>
      </c>
      <c r="PC33" t="str">
        <f t="shared" si="266"/>
        <v/>
      </c>
      <c r="PD33" t="str">
        <f t="shared" si="266"/>
        <v/>
      </c>
      <c r="PE33" t="str">
        <f t="shared" si="266"/>
        <v/>
      </c>
      <c r="PF33" t="str">
        <f t="shared" si="266"/>
        <v/>
      </c>
      <c r="PG33" t="str">
        <f t="shared" si="266"/>
        <v/>
      </c>
      <c r="PH33" t="str">
        <f t="shared" si="266"/>
        <v/>
      </c>
      <c r="PI33" t="str">
        <f t="shared" si="266"/>
        <v/>
      </c>
      <c r="PJ33" t="str">
        <f t="shared" si="266"/>
        <v/>
      </c>
      <c r="PK33" t="str">
        <f t="shared" si="266"/>
        <v/>
      </c>
      <c r="PL33" t="str">
        <f t="shared" si="266"/>
        <v/>
      </c>
      <c r="PM33" t="str">
        <f t="shared" si="266"/>
        <v/>
      </c>
      <c r="PN33" t="str">
        <f t="shared" si="266"/>
        <v/>
      </c>
      <c r="PO33" t="str">
        <f t="shared" si="266"/>
        <v/>
      </c>
      <c r="PP33" t="str">
        <f t="shared" si="266"/>
        <v/>
      </c>
      <c r="PQ33" t="str">
        <f t="shared" si="266"/>
        <v/>
      </c>
      <c r="PR33" t="str">
        <f t="shared" si="266"/>
        <v/>
      </c>
      <c r="PS33" t="str">
        <f t="shared" si="266"/>
        <v/>
      </c>
      <c r="PT33" t="str">
        <f t="shared" si="266"/>
        <v/>
      </c>
      <c r="PU33" t="str">
        <f t="shared" si="266"/>
        <v/>
      </c>
      <c r="PV33" t="str">
        <f t="shared" si="266"/>
        <v/>
      </c>
      <c r="PW33" t="str">
        <f t="shared" si="266"/>
        <v/>
      </c>
      <c r="PX33" t="str">
        <f t="shared" si="266"/>
        <v/>
      </c>
      <c r="PY33" t="str">
        <f t="shared" si="266"/>
        <v/>
      </c>
      <c r="PZ33" t="str">
        <f t="shared" si="266"/>
        <v/>
      </c>
      <c r="QA33" t="str">
        <f t="shared" si="266"/>
        <v/>
      </c>
      <c r="QB33" t="str">
        <f t="shared" si="266"/>
        <v/>
      </c>
      <c r="QC33" t="str">
        <f t="shared" si="266"/>
        <v/>
      </c>
      <c r="QD33" t="str">
        <f t="shared" si="266"/>
        <v/>
      </c>
      <c r="QE33" t="str">
        <f t="shared" si="266"/>
        <v/>
      </c>
      <c r="QF33" t="str">
        <f t="shared" si="266"/>
        <v/>
      </c>
      <c r="QG33" t="str">
        <f t="shared" si="266"/>
        <v/>
      </c>
      <c r="QH33" t="str">
        <f t="shared" si="266"/>
        <v/>
      </c>
      <c r="QI33" t="str">
        <f t="shared" si="266"/>
        <v/>
      </c>
      <c r="QJ33" t="str">
        <f t="shared" si="266"/>
        <v/>
      </c>
      <c r="QK33" t="str">
        <f t="shared" si="266"/>
        <v/>
      </c>
      <c r="QL33" t="str">
        <f t="shared" si="266"/>
        <v/>
      </c>
      <c r="QM33" t="str">
        <f t="shared" si="266"/>
        <v/>
      </c>
      <c r="QN33" t="str">
        <f t="shared" si="266"/>
        <v/>
      </c>
      <c r="QO33" t="str">
        <f t="shared" si="266"/>
        <v/>
      </c>
      <c r="QP33" t="str">
        <f t="shared" si="266"/>
        <v/>
      </c>
      <c r="QQ33" t="str">
        <f t="shared" si="266"/>
        <v/>
      </c>
      <c r="QR33" t="str">
        <f t="shared" si="266"/>
        <v/>
      </c>
      <c r="QS33" t="str">
        <f t="shared" ref="QS33:TD33" si="267">TRIM(RJ17)</f>
        <v/>
      </c>
      <c r="QT33" t="str">
        <f t="shared" si="267"/>
        <v/>
      </c>
      <c r="QU33" t="str">
        <f t="shared" si="267"/>
        <v/>
      </c>
      <c r="QV33" t="str">
        <f t="shared" si="267"/>
        <v/>
      </c>
      <c r="QW33" t="str">
        <f t="shared" si="267"/>
        <v/>
      </c>
      <c r="QX33" t="str">
        <f t="shared" si="267"/>
        <v/>
      </c>
      <c r="QY33" t="str">
        <f t="shared" si="267"/>
        <v/>
      </c>
      <c r="QZ33" t="str">
        <f t="shared" si="267"/>
        <v/>
      </c>
      <c r="RA33" t="str">
        <f t="shared" si="267"/>
        <v/>
      </c>
      <c r="RB33" t="str">
        <f t="shared" si="267"/>
        <v/>
      </c>
      <c r="RC33" t="str">
        <f t="shared" si="267"/>
        <v/>
      </c>
      <c r="RD33" t="str">
        <f t="shared" si="267"/>
        <v/>
      </c>
      <c r="RE33" t="str">
        <f t="shared" si="267"/>
        <v/>
      </c>
      <c r="RF33" t="str">
        <f t="shared" si="267"/>
        <v/>
      </c>
      <c r="RG33" t="str">
        <f t="shared" si="267"/>
        <v/>
      </c>
      <c r="RH33" t="str">
        <f t="shared" si="267"/>
        <v/>
      </c>
      <c r="RI33" t="str">
        <f t="shared" si="267"/>
        <v/>
      </c>
      <c r="RJ33" t="str">
        <f t="shared" si="267"/>
        <v/>
      </c>
      <c r="RK33" t="str">
        <f t="shared" si="267"/>
        <v/>
      </c>
      <c r="RL33" t="str">
        <f t="shared" si="267"/>
        <v/>
      </c>
      <c r="RM33" t="str">
        <f t="shared" si="267"/>
        <v/>
      </c>
      <c r="RN33" t="str">
        <f t="shared" si="267"/>
        <v/>
      </c>
      <c r="RO33" t="str">
        <f t="shared" si="267"/>
        <v/>
      </c>
      <c r="RP33" t="str">
        <f t="shared" si="267"/>
        <v/>
      </c>
      <c r="RQ33" t="str">
        <f t="shared" si="267"/>
        <v/>
      </c>
      <c r="RR33" t="str">
        <f t="shared" si="267"/>
        <v/>
      </c>
      <c r="RS33" t="str">
        <f t="shared" si="267"/>
        <v/>
      </c>
      <c r="RT33" t="str">
        <f t="shared" si="267"/>
        <v/>
      </c>
      <c r="RU33" t="str">
        <f t="shared" si="267"/>
        <v/>
      </c>
      <c r="RV33" t="str">
        <f t="shared" si="267"/>
        <v/>
      </c>
      <c r="RW33" t="str">
        <f t="shared" si="267"/>
        <v/>
      </c>
      <c r="RX33" t="str">
        <f t="shared" si="267"/>
        <v/>
      </c>
      <c r="RY33" t="str">
        <f t="shared" si="267"/>
        <v/>
      </c>
      <c r="RZ33" t="str">
        <f t="shared" si="267"/>
        <v/>
      </c>
      <c r="SA33" t="str">
        <f t="shared" si="267"/>
        <v/>
      </c>
      <c r="SB33" t="str">
        <f t="shared" si="267"/>
        <v/>
      </c>
      <c r="SC33" t="str">
        <f t="shared" si="267"/>
        <v/>
      </c>
      <c r="SD33" t="str">
        <f t="shared" si="267"/>
        <v/>
      </c>
      <c r="SE33" t="str">
        <f t="shared" si="267"/>
        <v/>
      </c>
      <c r="SF33" t="str">
        <f t="shared" si="267"/>
        <v/>
      </c>
      <c r="SG33" t="str">
        <f t="shared" si="267"/>
        <v/>
      </c>
      <c r="SH33" t="str">
        <f t="shared" si="267"/>
        <v/>
      </c>
      <c r="SI33" t="str">
        <f t="shared" si="267"/>
        <v/>
      </c>
      <c r="SJ33" t="str">
        <f t="shared" si="267"/>
        <v/>
      </c>
      <c r="SK33" t="str">
        <f t="shared" si="267"/>
        <v/>
      </c>
      <c r="SL33" t="str">
        <f t="shared" si="267"/>
        <v/>
      </c>
      <c r="SM33" t="str">
        <f t="shared" si="267"/>
        <v/>
      </c>
      <c r="SN33" t="str">
        <f t="shared" si="267"/>
        <v/>
      </c>
      <c r="SO33" t="str">
        <f t="shared" si="267"/>
        <v/>
      </c>
      <c r="SP33" t="str">
        <f t="shared" si="267"/>
        <v/>
      </c>
      <c r="SQ33" t="str">
        <f t="shared" si="267"/>
        <v/>
      </c>
      <c r="SR33" t="str">
        <f t="shared" si="267"/>
        <v/>
      </c>
      <c r="SS33" t="str">
        <f t="shared" si="267"/>
        <v/>
      </c>
      <c r="ST33" t="str">
        <f t="shared" si="267"/>
        <v/>
      </c>
      <c r="SU33" t="str">
        <f t="shared" si="267"/>
        <v/>
      </c>
      <c r="SV33" t="str">
        <f t="shared" si="267"/>
        <v/>
      </c>
      <c r="SW33" t="str">
        <f t="shared" si="267"/>
        <v/>
      </c>
      <c r="SX33" t="str">
        <f t="shared" si="267"/>
        <v/>
      </c>
      <c r="SY33" t="str">
        <f t="shared" si="267"/>
        <v/>
      </c>
      <c r="SZ33" t="str">
        <f t="shared" si="267"/>
        <v/>
      </c>
      <c r="TA33" t="str">
        <f t="shared" si="267"/>
        <v/>
      </c>
      <c r="TB33" t="str">
        <f t="shared" si="267"/>
        <v/>
      </c>
      <c r="TC33" t="str">
        <f t="shared" si="267"/>
        <v/>
      </c>
      <c r="TD33" t="str">
        <f t="shared" si="267"/>
        <v/>
      </c>
      <c r="TE33" t="str">
        <f t="shared" ref="TE33:VP33" si="268">TRIM(TV17)</f>
        <v/>
      </c>
      <c r="TF33" t="str">
        <f t="shared" si="268"/>
        <v/>
      </c>
      <c r="TG33" t="str">
        <f t="shared" si="268"/>
        <v/>
      </c>
      <c r="TH33" t="str">
        <f t="shared" si="268"/>
        <v/>
      </c>
      <c r="TI33" t="str">
        <f t="shared" si="268"/>
        <v/>
      </c>
      <c r="TJ33" t="str">
        <f t="shared" si="268"/>
        <v/>
      </c>
      <c r="TK33" t="str">
        <f t="shared" si="268"/>
        <v/>
      </c>
      <c r="TL33" t="str">
        <f t="shared" si="268"/>
        <v/>
      </c>
      <c r="TM33" t="str">
        <f t="shared" si="268"/>
        <v/>
      </c>
      <c r="TN33" t="str">
        <f t="shared" si="268"/>
        <v/>
      </c>
      <c r="TO33" t="str">
        <f t="shared" si="268"/>
        <v/>
      </c>
      <c r="TP33" t="str">
        <f t="shared" si="268"/>
        <v/>
      </c>
      <c r="TQ33" t="str">
        <f t="shared" si="268"/>
        <v/>
      </c>
      <c r="TR33" t="str">
        <f t="shared" si="268"/>
        <v/>
      </c>
      <c r="TS33" t="str">
        <f t="shared" si="268"/>
        <v/>
      </c>
      <c r="TT33" t="str">
        <f t="shared" si="268"/>
        <v/>
      </c>
      <c r="TU33" t="str">
        <f t="shared" si="268"/>
        <v/>
      </c>
      <c r="TV33" t="str">
        <f t="shared" si="268"/>
        <v/>
      </c>
      <c r="TW33" t="str">
        <f t="shared" si="268"/>
        <v/>
      </c>
      <c r="TX33" t="str">
        <f t="shared" si="268"/>
        <v/>
      </c>
      <c r="TY33" t="str">
        <f t="shared" si="268"/>
        <v/>
      </c>
      <c r="TZ33" t="str">
        <f t="shared" si="268"/>
        <v/>
      </c>
      <c r="UA33" t="str">
        <f t="shared" si="268"/>
        <v/>
      </c>
      <c r="UB33" t="str">
        <f t="shared" si="268"/>
        <v/>
      </c>
      <c r="UC33" t="str">
        <f t="shared" si="268"/>
        <v/>
      </c>
      <c r="UD33" t="str">
        <f t="shared" si="268"/>
        <v/>
      </c>
      <c r="UE33" t="str">
        <f t="shared" si="268"/>
        <v/>
      </c>
      <c r="UF33" t="str">
        <f t="shared" si="268"/>
        <v/>
      </c>
      <c r="UG33" t="str">
        <f t="shared" si="268"/>
        <v/>
      </c>
      <c r="UH33" t="str">
        <f t="shared" si="268"/>
        <v/>
      </c>
      <c r="UI33" t="str">
        <f t="shared" si="268"/>
        <v/>
      </c>
      <c r="UJ33" t="str">
        <f t="shared" si="268"/>
        <v/>
      </c>
      <c r="UK33" t="str">
        <f t="shared" si="268"/>
        <v/>
      </c>
      <c r="UL33" t="str">
        <f t="shared" si="268"/>
        <v/>
      </c>
      <c r="UM33" t="str">
        <f t="shared" si="268"/>
        <v/>
      </c>
      <c r="UN33" t="str">
        <f t="shared" si="268"/>
        <v/>
      </c>
      <c r="UO33" t="str">
        <f t="shared" si="268"/>
        <v/>
      </c>
      <c r="UP33" t="str">
        <f t="shared" si="268"/>
        <v/>
      </c>
      <c r="UQ33" t="str">
        <f t="shared" si="268"/>
        <v/>
      </c>
      <c r="UR33" t="str">
        <f t="shared" si="268"/>
        <v/>
      </c>
      <c r="US33" t="str">
        <f t="shared" si="268"/>
        <v/>
      </c>
      <c r="UT33" t="str">
        <f t="shared" si="268"/>
        <v/>
      </c>
      <c r="UU33" t="str">
        <f t="shared" si="268"/>
        <v/>
      </c>
      <c r="UV33" t="str">
        <f t="shared" si="268"/>
        <v/>
      </c>
      <c r="UW33" t="str">
        <f t="shared" si="268"/>
        <v/>
      </c>
      <c r="UX33" t="str">
        <f t="shared" si="268"/>
        <v/>
      </c>
      <c r="UY33" t="str">
        <f t="shared" si="268"/>
        <v/>
      </c>
      <c r="UZ33" t="str">
        <f t="shared" si="268"/>
        <v/>
      </c>
      <c r="VA33" t="str">
        <f t="shared" si="268"/>
        <v/>
      </c>
      <c r="VB33" t="str">
        <f t="shared" si="268"/>
        <v/>
      </c>
      <c r="VC33" t="str">
        <f t="shared" si="268"/>
        <v/>
      </c>
      <c r="VD33" t="str">
        <f t="shared" si="268"/>
        <v/>
      </c>
      <c r="VE33" t="str">
        <f t="shared" si="268"/>
        <v/>
      </c>
      <c r="VF33" t="str">
        <f t="shared" si="268"/>
        <v/>
      </c>
      <c r="VG33" t="str">
        <f t="shared" si="268"/>
        <v/>
      </c>
      <c r="VH33" t="str">
        <f t="shared" si="268"/>
        <v/>
      </c>
      <c r="VI33" t="str">
        <f t="shared" si="268"/>
        <v/>
      </c>
      <c r="VJ33" t="str">
        <f t="shared" si="268"/>
        <v/>
      </c>
      <c r="VK33" t="str">
        <f t="shared" si="268"/>
        <v/>
      </c>
      <c r="VL33" t="str">
        <f t="shared" si="268"/>
        <v/>
      </c>
      <c r="VM33" t="str">
        <f t="shared" si="268"/>
        <v/>
      </c>
      <c r="VN33" t="str">
        <f t="shared" si="268"/>
        <v/>
      </c>
      <c r="VO33" t="str">
        <f t="shared" si="268"/>
        <v/>
      </c>
      <c r="VP33" t="str">
        <f t="shared" si="268"/>
        <v/>
      </c>
      <c r="VQ33" t="str">
        <f t="shared" ref="VQ33:YB33" si="269">TRIM(WH17)</f>
        <v/>
      </c>
      <c r="VR33" t="str">
        <f t="shared" si="269"/>
        <v/>
      </c>
      <c r="VS33" t="str">
        <f t="shared" si="269"/>
        <v/>
      </c>
      <c r="VT33" t="str">
        <f t="shared" si="269"/>
        <v/>
      </c>
      <c r="VU33" t="str">
        <f t="shared" si="269"/>
        <v/>
      </c>
      <c r="VV33" t="str">
        <f t="shared" si="269"/>
        <v/>
      </c>
      <c r="VW33" t="str">
        <f t="shared" si="269"/>
        <v/>
      </c>
      <c r="VX33" t="str">
        <f t="shared" si="269"/>
        <v/>
      </c>
      <c r="VY33" t="str">
        <f t="shared" si="269"/>
        <v/>
      </c>
      <c r="VZ33" t="str">
        <f t="shared" si="269"/>
        <v/>
      </c>
      <c r="WA33" t="str">
        <f t="shared" si="269"/>
        <v/>
      </c>
      <c r="WB33" t="str">
        <f t="shared" si="269"/>
        <v/>
      </c>
      <c r="WC33" t="str">
        <f t="shared" si="269"/>
        <v/>
      </c>
      <c r="WD33" t="str">
        <f t="shared" si="269"/>
        <v/>
      </c>
      <c r="WE33" t="str">
        <f t="shared" si="269"/>
        <v/>
      </c>
      <c r="WF33" t="str">
        <f t="shared" si="269"/>
        <v/>
      </c>
      <c r="WG33" t="str">
        <f t="shared" si="269"/>
        <v/>
      </c>
      <c r="WH33" t="str">
        <f t="shared" si="269"/>
        <v/>
      </c>
      <c r="WI33" t="str">
        <f t="shared" si="269"/>
        <v/>
      </c>
      <c r="WJ33" t="str">
        <f t="shared" si="269"/>
        <v/>
      </c>
      <c r="WK33" t="str">
        <f t="shared" si="269"/>
        <v/>
      </c>
      <c r="WL33" t="str">
        <f t="shared" si="269"/>
        <v/>
      </c>
      <c r="WM33" t="str">
        <f t="shared" si="269"/>
        <v/>
      </c>
      <c r="WN33" t="str">
        <f t="shared" si="269"/>
        <v/>
      </c>
      <c r="WO33" t="str">
        <f t="shared" si="269"/>
        <v/>
      </c>
      <c r="WP33" t="str">
        <f t="shared" si="269"/>
        <v/>
      </c>
      <c r="WQ33" t="str">
        <f t="shared" si="269"/>
        <v/>
      </c>
      <c r="WR33" t="str">
        <f t="shared" si="269"/>
        <v/>
      </c>
      <c r="WS33" t="str">
        <f t="shared" si="269"/>
        <v/>
      </c>
      <c r="WT33" t="str">
        <f t="shared" si="269"/>
        <v/>
      </c>
      <c r="WU33" t="str">
        <f t="shared" si="269"/>
        <v/>
      </c>
      <c r="WV33" t="str">
        <f t="shared" si="269"/>
        <v/>
      </c>
      <c r="WW33" t="str">
        <f t="shared" si="269"/>
        <v/>
      </c>
      <c r="WX33" t="str">
        <f t="shared" si="269"/>
        <v/>
      </c>
      <c r="WY33" t="str">
        <f t="shared" si="269"/>
        <v/>
      </c>
      <c r="WZ33" t="str">
        <f t="shared" si="269"/>
        <v/>
      </c>
      <c r="XA33" t="str">
        <f t="shared" si="269"/>
        <v/>
      </c>
      <c r="XB33" t="str">
        <f t="shared" si="269"/>
        <v/>
      </c>
      <c r="XC33" t="str">
        <f t="shared" si="269"/>
        <v/>
      </c>
      <c r="XD33" t="str">
        <f t="shared" si="269"/>
        <v/>
      </c>
      <c r="XE33" t="str">
        <f t="shared" si="269"/>
        <v/>
      </c>
      <c r="XF33" t="str">
        <f t="shared" si="269"/>
        <v/>
      </c>
      <c r="XG33" t="str">
        <f t="shared" si="269"/>
        <v/>
      </c>
      <c r="XH33" t="str">
        <f t="shared" si="269"/>
        <v/>
      </c>
      <c r="XI33" t="str">
        <f t="shared" si="269"/>
        <v/>
      </c>
      <c r="XJ33" t="str">
        <f t="shared" si="269"/>
        <v/>
      </c>
      <c r="XK33" t="str">
        <f t="shared" si="269"/>
        <v/>
      </c>
      <c r="XL33" t="str">
        <f t="shared" si="269"/>
        <v/>
      </c>
      <c r="XM33" t="str">
        <f t="shared" si="269"/>
        <v/>
      </c>
      <c r="XN33" t="str">
        <f t="shared" si="269"/>
        <v/>
      </c>
      <c r="XO33" t="str">
        <f t="shared" si="269"/>
        <v/>
      </c>
      <c r="XP33" t="str">
        <f t="shared" si="269"/>
        <v/>
      </c>
      <c r="XQ33" t="str">
        <f t="shared" si="269"/>
        <v/>
      </c>
      <c r="XR33" t="str">
        <f t="shared" si="269"/>
        <v/>
      </c>
      <c r="XS33" t="str">
        <f t="shared" si="269"/>
        <v/>
      </c>
      <c r="XT33" t="str">
        <f t="shared" si="269"/>
        <v/>
      </c>
      <c r="XU33" t="str">
        <f t="shared" si="269"/>
        <v/>
      </c>
      <c r="XV33" t="str">
        <f t="shared" si="269"/>
        <v/>
      </c>
      <c r="XW33" t="str">
        <f t="shared" si="269"/>
        <v/>
      </c>
      <c r="XX33" t="str">
        <f t="shared" si="269"/>
        <v/>
      </c>
      <c r="XY33" t="str">
        <f t="shared" si="269"/>
        <v/>
      </c>
      <c r="XZ33" t="str">
        <f t="shared" si="269"/>
        <v/>
      </c>
      <c r="YA33" t="str">
        <f t="shared" si="269"/>
        <v/>
      </c>
      <c r="YB33" t="str">
        <f t="shared" si="269"/>
        <v/>
      </c>
      <c r="YC33" t="str">
        <f t="shared" ref="YC33:AAN33" si="270">TRIM(YT17)</f>
        <v/>
      </c>
      <c r="YD33" t="str">
        <f t="shared" si="270"/>
        <v/>
      </c>
      <c r="YE33" t="str">
        <f t="shared" si="270"/>
        <v/>
      </c>
      <c r="YF33" t="str">
        <f t="shared" si="270"/>
        <v/>
      </c>
      <c r="YG33" t="str">
        <f t="shared" si="270"/>
        <v/>
      </c>
      <c r="YH33" t="str">
        <f t="shared" si="270"/>
        <v/>
      </c>
      <c r="YI33" t="str">
        <f t="shared" si="270"/>
        <v/>
      </c>
      <c r="YJ33" t="str">
        <f t="shared" si="270"/>
        <v/>
      </c>
      <c r="YK33" t="str">
        <f t="shared" si="270"/>
        <v/>
      </c>
      <c r="YL33" t="str">
        <f t="shared" si="270"/>
        <v/>
      </c>
      <c r="YM33" t="str">
        <f t="shared" si="270"/>
        <v/>
      </c>
      <c r="YN33" t="str">
        <f t="shared" si="270"/>
        <v/>
      </c>
      <c r="YO33" t="str">
        <f t="shared" si="270"/>
        <v/>
      </c>
      <c r="YP33" t="str">
        <f t="shared" si="270"/>
        <v/>
      </c>
      <c r="YQ33" t="str">
        <f t="shared" si="270"/>
        <v/>
      </c>
      <c r="YR33" t="str">
        <f t="shared" si="270"/>
        <v/>
      </c>
      <c r="YS33" t="str">
        <f t="shared" si="270"/>
        <v/>
      </c>
      <c r="YT33" t="str">
        <f t="shared" si="270"/>
        <v/>
      </c>
      <c r="YU33" t="str">
        <f t="shared" si="270"/>
        <v/>
      </c>
      <c r="YV33" t="str">
        <f t="shared" si="270"/>
        <v/>
      </c>
      <c r="YW33" t="str">
        <f t="shared" si="270"/>
        <v/>
      </c>
      <c r="YX33" t="str">
        <f t="shared" si="270"/>
        <v/>
      </c>
      <c r="YY33" t="str">
        <f t="shared" si="270"/>
        <v/>
      </c>
      <c r="YZ33" t="str">
        <f t="shared" si="270"/>
        <v/>
      </c>
      <c r="ZA33" t="str">
        <f t="shared" si="270"/>
        <v/>
      </c>
      <c r="ZB33" t="str">
        <f t="shared" si="270"/>
        <v/>
      </c>
      <c r="ZC33" t="str">
        <f t="shared" si="270"/>
        <v/>
      </c>
      <c r="ZD33" t="str">
        <f t="shared" si="270"/>
        <v/>
      </c>
      <c r="ZE33" t="str">
        <f t="shared" si="270"/>
        <v/>
      </c>
      <c r="ZF33" t="str">
        <f t="shared" si="270"/>
        <v/>
      </c>
      <c r="ZG33" t="str">
        <f t="shared" si="270"/>
        <v/>
      </c>
      <c r="ZH33" t="str">
        <f t="shared" si="270"/>
        <v/>
      </c>
      <c r="ZI33" t="str">
        <f t="shared" si="270"/>
        <v/>
      </c>
      <c r="ZJ33" t="str">
        <f t="shared" si="270"/>
        <v/>
      </c>
      <c r="ZK33" t="str">
        <f t="shared" si="270"/>
        <v/>
      </c>
      <c r="ZL33" t="str">
        <f t="shared" si="270"/>
        <v/>
      </c>
      <c r="ZM33" t="str">
        <f t="shared" si="270"/>
        <v/>
      </c>
      <c r="ZN33" t="str">
        <f t="shared" si="270"/>
        <v/>
      </c>
      <c r="ZO33" t="str">
        <f t="shared" si="270"/>
        <v/>
      </c>
      <c r="ZP33" t="str">
        <f t="shared" si="270"/>
        <v/>
      </c>
      <c r="ZQ33" t="str">
        <f t="shared" si="270"/>
        <v/>
      </c>
      <c r="ZR33" t="str">
        <f t="shared" si="270"/>
        <v/>
      </c>
      <c r="ZS33" t="str">
        <f t="shared" si="270"/>
        <v/>
      </c>
      <c r="ZT33" t="str">
        <f t="shared" si="270"/>
        <v/>
      </c>
      <c r="ZU33" t="str">
        <f t="shared" si="270"/>
        <v/>
      </c>
      <c r="ZV33" t="str">
        <f t="shared" si="270"/>
        <v/>
      </c>
      <c r="ZW33" t="str">
        <f t="shared" si="270"/>
        <v/>
      </c>
      <c r="ZX33" t="str">
        <f t="shared" si="270"/>
        <v/>
      </c>
      <c r="ZY33" t="str">
        <f t="shared" si="270"/>
        <v/>
      </c>
      <c r="ZZ33" t="str">
        <f t="shared" si="270"/>
        <v/>
      </c>
      <c r="AAA33" t="str">
        <f t="shared" si="270"/>
        <v/>
      </c>
      <c r="AAB33" t="str">
        <f t="shared" si="270"/>
        <v/>
      </c>
      <c r="AAC33" t="str">
        <f t="shared" si="270"/>
        <v/>
      </c>
      <c r="AAD33" t="str">
        <f t="shared" si="270"/>
        <v/>
      </c>
      <c r="AAE33" t="str">
        <f t="shared" si="270"/>
        <v/>
      </c>
      <c r="AAF33" t="str">
        <f t="shared" si="270"/>
        <v/>
      </c>
      <c r="AAG33" t="str">
        <f t="shared" si="270"/>
        <v/>
      </c>
      <c r="AAH33" t="str">
        <f t="shared" si="270"/>
        <v/>
      </c>
      <c r="AAI33" t="str">
        <f t="shared" si="270"/>
        <v/>
      </c>
      <c r="AAJ33" t="str">
        <f t="shared" si="270"/>
        <v/>
      </c>
      <c r="AAK33" t="str">
        <f t="shared" si="270"/>
        <v/>
      </c>
      <c r="AAL33" t="str">
        <f t="shared" si="270"/>
        <v/>
      </c>
      <c r="AAM33" t="str">
        <f t="shared" si="270"/>
        <v/>
      </c>
      <c r="AAN33" t="str">
        <f t="shared" si="270"/>
        <v/>
      </c>
      <c r="AAO33" t="str">
        <f t="shared" ref="AAO33:ACZ33" si="271">TRIM(ABF17)</f>
        <v/>
      </c>
      <c r="AAP33" t="str">
        <f t="shared" si="271"/>
        <v/>
      </c>
      <c r="AAQ33" t="str">
        <f t="shared" si="271"/>
        <v/>
      </c>
      <c r="AAR33" t="str">
        <f t="shared" si="271"/>
        <v/>
      </c>
      <c r="AAS33" t="str">
        <f t="shared" si="271"/>
        <v/>
      </c>
      <c r="AAT33" t="str">
        <f t="shared" si="271"/>
        <v/>
      </c>
      <c r="AAU33" t="str">
        <f t="shared" si="271"/>
        <v/>
      </c>
      <c r="AAV33" t="str">
        <f t="shared" si="271"/>
        <v/>
      </c>
      <c r="AAW33" t="str">
        <f t="shared" si="271"/>
        <v/>
      </c>
      <c r="AAX33" t="str">
        <f t="shared" si="271"/>
        <v/>
      </c>
      <c r="AAY33" t="str">
        <f t="shared" si="271"/>
        <v/>
      </c>
      <c r="AAZ33" t="str">
        <f t="shared" si="271"/>
        <v/>
      </c>
      <c r="ABA33" t="str">
        <f t="shared" si="271"/>
        <v/>
      </c>
      <c r="ABB33" t="str">
        <f t="shared" si="271"/>
        <v/>
      </c>
      <c r="ABC33" t="str">
        <f t="shared" si="271"/>
        <v/>
      </c>
      <c r="ABD33" t="str">
        <f t="shared" si="271"/>
        <v/>
      </c>
      <c r="ABE33" t="str">
        <f t="shared" si="271"/>
        <v/>
      </c>
      <c r="ABF33" t="str">
        <f t="shared" si="271"/>
        <v/>
      </c>
      <c r="ABG33" t="str">
        <f t="shared" si="271"/>
        <v/>
      </c>
      <c r="ABH33" t="str">
        <f t="shared" si="271"/>
        <v/>
      </c>
      <c r="ABI33" t="str">
        <f t="shared" si="271"/>
        <v/>
      </c>
      <c r="ABJ33" t="str">
        <f t="shared" si="271"/>
        <v/>
      </c>
      <c r="ABK33" t="str">
        <f t="shared" si="271"/>
        <v/>
      </c>
      <c r="ABL33" t="str">
        <f t="shared" si="271"/>
        <v/>
      </c>
      <c r="ABM33" t="str">
        <f t="shared" si="271"/>
        <v/>
      </c>
      <c r="ABN33" t="str">
        <f t="shared" si="271"/>
        <v/>
      </c>
      <c r="ABO33" t="str">
        <f t="shared" si="271"/>
        <v/>
      </c>
      <c r="ABP33" t="str">
        <f t="shared" si="271"/>
        <v/>
      </c>
      <c r="ABQ33" t="str">
        <f t="shared" si="271"/>
        <v/>
      </c>
      <c r="ABR33" t="str">
        <f t="shared" si="271"/>
        <v/>
      </c>
      <c r="ABS33" t="str">
        <f t="shared" si="271"/>
        <v/>
      </c>
      <c r="ABT33" t="str">
        <f t="shared" si="271"/>
        <v/>
      </c>
      <c r="ABU33" t="str">
        <f t="shared" si="271"/>
        <v/>
      </c>
      <c r="ABV33" t="str">
        <f t="shared" si="271"/>
        <v/>
      </c>
      <c r="ABW33" t="str">
        <f t="shared" si="271"/>
        <v/>
      </c>
      <c r="ABX33" t="str">
        <f t="shared" si="271"/>
        <v/>
      </c>
      <c r="ABY33" t="str">
        <f t="shared" si="271"/>
        <v/>
      </c>
      <c r="ABZ33" t="str">
        <f t="shared" si="271"/>
        <v/>
      </c>
      <c r="ACA33" t="str">
        <f t="shared" si="271"/>
        <v/>
      </c>
      <c r="ACB33" t="str">
        <f t="shared" si="271"/>
        <v/>
      </c>
      <c r="ACC33" t="str">
        <f t="shared" si="271"/>
        <v/>
      </c>
      <c r="ACD33" t="str">
        <f t="shared" si="271"/>
        <v/>
      </c>
      <c r="ACE33" t="str">
        <f t="shared" si="271"/>
        <v/>
      </c>
      <c r="ACF33" t="str">
        <f t="shared" si="271"/>
        <v/>
      </c>
      <c r="ACG33" t="str">
        <f t="shared" si="271"/>
        <v/>
      </c>
      <c r="ACH33" t="str">
        <f t="shared" si="271"/>
        <v/>
      </c>
      <c r="ACI33" t="str">
        <f t="shared" si="271"/>
        <v/>
      </c>
      <c r="ACJ33" t="str">
        <f t="shared" si="271"/>
        <v/>
      </c>
      <c r="ACK33" t="str">
        <f t="shared" si="271"/>
        <v/>
      </c>
      <c r="ACL33" t="str">
        <f t="shared" si="271"/>
        <v/>
      </c>
      <c r="ACM33" t="str">
        <f t="shared" si="271"/>
        <v/>
      </c>
      <c r="ACN33" t="str">
        <f t="shared" si="271"/>
        <v/>
      </c>
      <c r="ACO33" t="str">
        <f t="shared" si="271"/>
        <v/>
      </c>
      <c r="ACP33" t="str">
        <f t="shared" si="271"/>
        <v/>
      </c>
      <c r="ACQ33" t="str">
        <f t="shared" si="271"/>
        <v/>
      </c>
      <c r="ACR33" t="str">
        <f t="shared" si="271"/>
        <v/>
      </c>
      <c r="ACS33" t="str">
        <f t="shared" si="271"/>
        <v/>
      </c>
      <c r="ACT33" t="str">
        <f t="shared" si="271"/>
        <v/>
      </c>
      <c r="ACU33" t="str">
        <f t="shared" si="271"/>
        <v/>
      </c>
      <c r="ACV33" t="str">
        <f t="shared" si="271"/>
        <v/>
      </c>
      <c r="ACW33" t="str">
        <f t="shared" si="271"/>
        <v/>
      </c>
      <c r="ACX33" t="str">
        <f t="shared" si="271"/>
        <v/>
      </c>
      <c r="ACY33" t="str">
        <f t="shared" si="271"/>
        <v/>
      </c>
      <c r="ACZ33" t="str">
        <f t="shared" si="271"/>
        <v/>
      </c>
      <c r="ADA33" t="str">
        <f t="shared" ref="ADA33:AFL33" si="272">TRIM(ADR17)</f>
        <v/>
      </c>
      <c r="ADB33" t="str">
        <f t="shared" si="272"/>
        <v/>
      </c>
      <c r="ADC33" t="str">
        <f t="shared" si="272"/>
        <v/>
      </c>
      <c r="ADD33" t="str">
        <f t="shared" si="272"/>
        <v/>
      </c>
      <c r="ADE33" t="str">
        <f t="shared" si="272"/>
        <v/>
      </c>
      <c r="ADF33" t="str">
        <f t="shared" si="272"/>
        <v/>
      </c>
      <c r="ADG33" t="str">
        <f t="shared" si="272"/>
        <v/>
      </c>
      <c r="ADH33" t="str">
        <f t="shared" si="272"/>
        <v/>
      </c>
      <c r="ADI33" t="str">
        <f t="shared" si="272"/>
        <v/>
      </c>
      <c r="ADJ33" t="str">
        <f t="shared" si="272"/>
        <v/>
      </c>
      <c r="ADK33" t="str">
        <f t="shared" si="272"/>
        <v/>
      </c>
      <c r="ADL33" t="str">
        <f t="shared" si="272"/>
        <v/>
      </c>
      <c r="ADM33" t="str">
        <f t="shared" si="272"/>
        <v/>
      </c>
      <c r="ADN33" t="str">
        <f t="shared" si="272"/>
        <v/>
      </c>
      <c r="ADO33" t="str">
        <f t="shared" si="272"/>
        <v/>
      </c>
      <c r="ADP33" t="str">
        <f t="shared" si="272"/>
        <v/>
      </c>
      <c r="ADQ33" t="str">
        <f t="shared" si="272"/>
        <v/>
      </c>
      <c r="ADR33" t="str">
        <f t="shared" si="272"/>
        <v/>
      </c>
      <c r="ADS33" t="str">
        <f t="shared" si="272"/>
        <v/>
      </c>
      <c r="ADT33" t="str">
        <f t="shared" si="272"/>
        <v/>
      </c>
      <c r="ADU33" t="str">
        <f t="shared" si="272"/>
        <v/>
      </c>
      <c r="ADV33" t="str">
        <f t="shared" si="272"/>
        <v/>
      </c>
      <c r="ADW33" t="str">
        <f t="shared" si="272"/>
        <v/>
      </c>
      <c r="ADX33" t="str">
        <f t="shared" si="272"/>
        <v/>
      </c>
      <c r="ADY33" t="str">
        <f t="shared" si="272"/>
        <v/>
      </c>
      <c r="ADZ33" t="str">
        <f t="shared" si="272"/>
        <v/>
      </c>
      <c r="AEA33" t="str">
        <f t="shared" si="272"/>
        <v/>
      </c>
      <c r="AEB33" t="str">
        <f t="shared" si="272"/>
        <v/>
      </c>
      <c r="AEC33" t="str">
        <f t="shared" si="272"/>
        <v/>
      </c>
      <c r="AED33" t="str">
        <f t="shared" si="272"/>
        <v/>
      </c>
      <c r="AEE33" t="str">
        <f t="shared" si="272"/>
        <v/>
      </c>
      <c r="AEF33" t="str">
        <f t="shared" si="272"/>
        <v/>
      </c>
      <c r="AEG33" t="str">
        <f t="shared" si="272"/>
        <v/>
      </c>
      <c r="AEH33" t="str">
        <f t="shared" si="272"/>
        <v/>
      </c>
      <c r="AEI33" t="str">
        <f t="shared" si="272"/>
        <v/>
      </c>
      <c r="AEJ33" t="str">
        <f t="shared" si="272"/>
        <v/>
      </c>
      <c r="AEK33" t="str">
        <f t="shared" si="272"/>
        <v/>
      </c>
      <c r="AEL33" t="str">
        <f t="shared" si="272"/>
        <v/>
      </c>
      <c r="AEM33" t="str">
        <f t="shared" si="272"/>
        <v/>
      </c>
      <c r="AEN33" t="str">
        <f t="shared" si="272"/>
        <v/>
      </c>
      <c r="AEO33" t="str">
        <f t="shared" si="272"/>
        <v/>
      </c>
      <c r="AEP33" t="str">
        <f t="shared" si="272"/>
        <v/>
      </c>
      <c r="AEQ33" t="str">
        <f t="shared" si="272"/>
        <v/>
      </c>
      <c r="AER33" t="str">
        <f t="shared" si="272"/>
        <v/>
      </c>
      <c r="AES33" t="str">
        <f t="shared" si="272"/>
        <v/>
      </c>
      <c r="AET33" t="str">
        <f t="shared" si="272"/>
        <v/>
      </c>
      <c r="AEU33" t="str">
        <f t="shared" si="272"/>
        <v/>
      </c>
      <c r="AEV33" t="str">
        <f t="shared" si="272"/>
        <v/>
      </c>
      <c r="AEW33" t="str">
        <f t="shared" si="272"/>
        <v/>
      </c>
      <c r="AEX33" t="str">
        <f t="shared" si="272"/>
        <v/>
      </c>
      <c r="AEY33" t="str">
        <f t="shared" si="272"/>
        <v/>
      </c>
      <c r="AEZ33" t="str">
        <f t="shared" si="272"/>
        <v/>
      </c>
      <c r="AFA33" t="str">
        <f t="shared" si="272"/>
        <v/>
      </c>
      <c r="AFB33" t="str">
        <f t="shared" si="272"/>
        <v/>
      </c>
      <c r="AFC33" t="str">
        <f t="shared" si="272"/>
        <v/>
      </c>
      <c r="AFD33" t="str">
        <f t="shared" si="272"/>
        <v/>
      </c>
      <c r="AFE33" t="str">
        <f t="shared" si="272"/>
        <v/>
      </c>
      <c r="AFF33" t="str">
        <f t="shared" si="272"/>
        <v/>
      </c>
      <c r="AFG33" t="str">
        <f t="shared" si="272"/>
        <v/>
      </c>
      <c r="AFH33" t="str">
        <f t="shared" si="272"/>
        <v/>
      </c>
      <c r="AFI33" t="str">
        <f t="shared" si="272"/>
        <v/>
      </c>
      <c r="AFJ33" t="str">
        <f t="shared" si="272"/>
        <v/>
      </c>
      <c r="AFK33" t="str">
        <f t="shared" si="272"/>
        <v/>
      </c>
      <c r="AFL33" t="str">
        <f t="shared" si="272"/>
        <v/>
      </c>
      <c r="AFM33" t="str">
        <f t="shared" ref="AFM33:AHX33" si="273">TRIM(AGD17)</f>
        <v/>
      </c>
      <c r="AFN33" t="str">
        <f t="shared" si="273"/>
        <v/>
      </c>
      <c r="AFO33" t="str">
        <f t="shared" si="273"/>
        <v/>
      </c>
      <c r="AFP33" t="str">
        <f t="shared" si="273"/>
        <v/>
      </c>
      <c r="AFQ33" t="str">
        <f t="shared" si="273"/>
        <v/>
      </c>
      <c r="AFR33" t="str">
        <f t="shared" si="273"/>
        <v/>
      </c>
      <c r="AFS33" t="str">
        <f t="shared" si="273"/>
        <v/>
      </c>
      <c r="AFT33" t="str">
        <f t="shared" si="273"/>
        <v/>
      </c>
      <c r="AFU33" t="str">
        <f t="shared" si="273"/>
        <v/>
      </c>
      <c r="AFV33" t="str">
        <f t="shared" si="273"/>
        <v/>
      </c>
      <c r="AFW33" t="str">
        <f t="shared" si="273"/>
        <v/>
      </c>
      <c r="AFX33" t="str">
        <f t="shared" si="273"/>
        <v/>
      </c>
      <c r="AFY33" t="str">
        <f t="shared" si="273"/>
        <v/>
      </c>
      <c r="AFZ33" t="str">
        <f t="shared" si="273"/>
        <v/>
      </c>
      <c r="AGA33" t="str">
        <f t="shared" si="273"/>
        <v/>
      </c>
      <c r="AGB33" t="str">
        <f t="shared" si="273"/>
        <v/>
      </c>
      <c r="AGC33" t="str">
        <f t="shared" si="273"/>
        <v/>
      </c>
      <c r="AGD33" t="str">
        <f t="shared" si="273"/>
        <v/>
      </c>
      <c r="AGE33" t="str">
        <f t="shared" si="273"/>
        <v/>
      </c>
      <c r="AGF33" t="str">
        <f t="shared" si="273"/>
        <v/>
      </c>
      <c r="AGG33" t="str">
        <f t="shared" si="273"/>
        <v/>
      </c>
      <c r="AGH33" t="str">
        <f t="shared" si="273"/>
        <v/>
      </c>
      <c r="AGI33" t="str">
        <f t="shared" si="273"/>
        <v/>
      </c>
      <c r="AGJ33" t="str">
        <f t="shared" si="273"/>
        <v/>
      </c>
      <c r="AGK33" t="str">
        <f t="shared" si="273"/>
        <v/>
      </c>
      <c r="AGL33" t="str">
        <f t="shared" si="273"/>
        <v/>
      </c>
      <c r="AGM33" t="str">
        <f t="shared" si="273"/>
        <v/>
      </c>
      <c r="AGN33" t="str">
        <f t="shared" si="273"/>
        <v/>
      </c>
      <c r="AGO33" t="str">
        <f t="shared" si="273"/>
        <v/>
      </c>
      <c r="AGP33" t="str">
        <f t="shared" si="273"/>
        <v/>
      </c>
      <c r="AGQ33" t="str">
        <f t="shared" si="273"/>
        <v/>
      </c>
      <c r="AGR33" t="str">
        <f t="shared" si="273"/>
        <v/>
      </c>
      <c r="AGS33" t="str">
        <f t="shared" si="273"/>
        <v/>
      </c>
      <c r="AGT33" t="str">
        <f t="shared" si="273"/>
        <v/>
      </c>
      <c r="AGU33" t="str">
        <f t="shared" si="273"/>
        <v/>
      </c>
      <c r="AGV33" t="str">
        <f t="shared" si="273"/>
        <v/>
      </c>
      <c r="AGW33" t="str">
        <f t="shared" si="273"/>
        <v/>
      </c>
      <c r="AGX33" t="str">
        <f t="shared" si="273"/>
        <v/>
      </c>
      <c r="AGY33" t="str">
        <f t="shared" si="273"/>
        <v/>
      </c>
      <c r="AGZ33" t="str">
        <f t="shared" si="273"/>
        <v/>
      </c>
      <c r="AHA33" t="str">
        <f t="shared" si="273"/>
        <v/>
      </c>
      <c r="AHB33" t="str">
        <f t="shared" si="273"/>
        <v/>
      </c>
      <c r="AHC33" t="str">
        <f t="shared" si="273"/>
        <v/>
      </c>
      <c r="AHD33" t="str">
        <f t="shared" si="273"/>
        <v/>
      </c>
      <c r="AHE33" t="str">
        <f t="shared" si="273"/>
        <v/>
      </c>
      <c r="AHF33" t="str">
        <f t="shared" si="273"/>
        <v/>
      </c>
      <c r="AHG33" t="str">
        <f t="shared" si="273"/>
        <v/>
      </c>
      <c r="AHH33" t="str">
        <f t="shared" si="273"/>
        <v/>
      </c>
      <c r="AHI33" t="str">
        <f t="shared" si="273"/>
        <v/>
      </c>
      <c r="AHJ33" t="str">
        <f t="shared" si="273"/>
        <v/>
      </c>
      <c r="AHK33" t="str">
        <f t="shared" si="273"/>
        <v/>
      </c>
      <c r="AHL33" t="str">
        <f t="shared" si="273"/>
        <v/>
      </c>
      <c r="AHM33" t="str">
        <f t="shared" si="273"/>
        <v/>
      </c>
      <c r="AHN33" t="str">
        <f t="shared" si="273"/>
        <v/>
      </c>
      <c r="AHO33" t="str">
        <f t="shared" si="273"/>
        <v/>
      </c>
      <c r="AHP33" t="str">
        <f t="shared" si="273"/>
        <v/>
      </c>
      <c r="AHQ33" t="str">
        <f t="shared" si="273"/>
        <v/>
      </c>
      <c r="AHR33" t="str">
        <f t="shared" si="273"/>
        <v/>
      </c>
      <c r="AHS33" t="str">
        <f t="shared" si="273"/>
        <v/>
      </c>
      <c r="AHT33" t="str">
        <f t="shared" si="273"/>
        <v/>
      </c>
      <c r="AHU33" t="str">
        <f t="shared" si="273"/>
        <v/>
      </c>
      <c r="AHV33" t="str">
        <f t="shared" si="273"/>
        <v/>
      </c>
      <c r="AHW33" t="str">
        <f t="shared" si="273"/>
        <v/>
      </c>
      <c r="AHX33" t="str">
        <f t="shared" si="273"/>
        <v/>
      </c>
      <c r="AHY33" t="str">
        <f t="shared" ref="AHY33:AKJ33" si="274">TRIM(AIP17)</f>
        <v/>
      </c>
      <c r="AHZ33" t="str">
        <f t="shared" si="274"/>
        <v/>
      </c>
      <c r="AIA33" t="str">
        <f t="shared" si="274"/>
        <v/>
      </c>
      <c r="AIB33" t="str">
        <f t="shared" si="274"/>
        <v/>
      </c>
      <c r="AIC33" t="str">
        <f t="shared" si="274"/>
        <v/>
      </c>
      <c r="AID33" t="str">
        <f t="shared" si="274"/>
        <v/>
      </c>
      <c r="AIE33" t="str">
        <f t="shared" si="274"/>
        <v/>
      </c>
      <c r="AIF33" t="str">
        <f t="shared" si="274"/>
        <v/>
      </c>
      <c r="AIG33" t="str">
        <f t="shared" si="274"/>
        <v/>
      </c>
      <c r="AIH33" t="str">
        <f t="shared" si="274"/>
        <v/>
      </c>
      <c r="AII33" t="str">
        <f t="shared" si="274"/>
        <v/>
      </c>
      <c r="AIJ33" t="str">
        <f t="shared" si="274"/>
        <v/>
      </c>
      <c r="AIK33" t="str">
        <f t="shared" si="274"/>
        <v/>
      </c>
      <c r="AIL33" t="str">
        <f t="shared" si="274"/>
        <v/>
      </c>
      <c r="AIM33" t="str">
        <f t="shared" si="274"/>
        <v/>
      </c>
      <c r="AIN33" t="str">
        <f t="shared" si="274"/>
        <v/>
      </c>
      <c r="AIO33" t="str">
        <f t="shared" si="274"/>
        <v/>
      </c>
      <c r="AIP33" t="str">
        <f t="shared" si="274"/>
        <v/>
      </c>
      <c r="AIQ33" t="str">
        <f t="shared" si="274"/>
        <v/>
      </c>
      <c r="AIR33" t="str">
        <f t="shared" si="274"/>
        <v/>
      </c>
      <c r="AIS33" t="str">
        <f t="shared" si="274"/>
        <v/>
      </c>
      <c r="AIT33" t="str">
        <f t="shared" si="274"/>
        <v/>
      </c>
      <c r="AIU33" t="str">
        <f t="shared" si="274"/>
        <v/>
      </c>
      <c r="AIV33" t="str">
        <f t="shared" si="274"/>
        <v/>
      </c>
      <c r="AIW33" t="str">
        <f t="shared" si="274"/>
        <v/>
      </c>
      <c r="AIX33" t="str">
        <f t="shared" si="274"/>
        <v/>
      </c>
      <c r="AIY33" t="str">
        <f t="shared" si="274"/>
        <v/>
      </c>
      <c r="AIZ33" t="str">
        <f t="shared" si="274"/>
        <v/>
      </c>
      <c r="AJA33" t="str">
        <f t="shared" si="274"/>
        <v/>
      </c>
      <c r="AJB33" t="str">
        <f t="shared" si="274"/>
        <v/>
      </c>
      <c r="AJC33" t="str">
        <f t="shared" si="274"/>
        <v/>
      </c>
      <c r="AJD33" t="str">
        <f t="shared" si="274"/>
        <v/>
      </c>
      <c r="AJE33" t="str">
        <f t="shared" si="274"/>
        <v/>
      </c>
      <c r="AJF33" t="str">
        <f t="shared" si="274"/>
        <v/>
      </c>
      <c r="AJG33" t="str">
        <f t="shared" si="274"/>
        <v/>
      </c>
      <c r="AJH33" t="str">
        <f t="shared" si="274"/>
        <v/>
      </c>
      <c r="AJI33" t="str">
        <f t="shared" si="274"/>
        <v/>
      </c>
      <c r="AJJ33" t="str">
        <f t="shared" si="274"/>
        <v/>
      </c>
      <c r="AJK33" t="str">
        <f t="shared" si="274"/>
        <v/>
      </c>
      <c r="AJL33" t="str">
        <f t="shared" si="274"/>
        <v/>
      </c>
      <c r="AJM33" t="str">
        <f t="shared" si="274"/>
        <v/>
      </c>
      <c r="AJN33" t="str">
        <f t="shared" si="274"/>
        <v/>
      </c>
      <c r="AJO33" t="str">
        <f t="shared" si="274"/>
        <v/>
      </c>
      <c r="AJP33" t="str">
        <f t="shared" si="274"/>
        <v/>
      </c>
      <c r="AJQ33" t="str">
        <f t="shared" si="274"/>
        <v/>
      </c>
      <c r="AJR33" t="str">
        <f t="shared" si="274"/>
        <v/>
      </c>
      <c r="AJS33" t="str">
        <f t="shared" si="274"/>
        <v/>
      </c>
      <c r="AJT33" t="str">
        <f t="shared" si="274"/>
        <v/>
      </c>
      <c r="AJU33" t="str">
        <f t="shared" si="274"/>
        <v/>
      </c>
      <c r="AJV33" t="str">
        <f t="shared" si="274"/>
        <v/>
      </c>
      <c r="AJW33" t="str">
        <f t="shared" si="274"/>
        <v/>
      </c>
      <c r="AJX33" t="str">
        <f t="shared" si="274"/>
        <v/>
      </c>
      <c r="AJY33" t="str">
        <f t="shared" si="274"/>
        <v/>
      </c>
      <c r="AJZ33" t="str">
        <f t="shared" si="274"/>
        <v/>
      </c>
      <c r="AKA33" t="str">
        <f t="shared" si="274"/>
        <v/>
      </c>
      <c r="AKB33" t="str">
        <f t="shared" si="274"/>
        <v/>
      </c>
      <c r="AKC33" t="str">
        <f t="shared" si="274"/>
        <v/>
      </c>
      <c r="AKD33" t="str">
        <f t="shared" si="274"/>
        <v/>
      </c>
      <c r="AKE33" t="str">
        <f t="shared" si="274"/>
        <v/>
      </c>
      <c r="AKF33" t="str">
        <f t="shared" si="274"/>
        <v/>
      </c>
      <c r="AKG33" t="str">
        <f t="shared" si="274"/>
        <v/>
      </c>
      <c r="AKH33" t="str">
        <f t="shared" si="274"/>
        <v/>
      </c>
      <c r="AKI33" t="str">
        <f t="shared" si="274"/>
        <v/>
      </c>
      <c r="AKJ33" t="str">
        <f t="shared" si="274"/>
        <v/>
      </c>
      <c r="AKK33" t="str">
        <f t="shared" ref="AKK33:AMV33" si="275">TRIM(ALB17)</f>
        <v/>
      </c>
      <c r="AKL33" t="str">
        <f t="shared" si="275"/>
        <v/>
      </c>
      <c r="AKM33" t="str">
        <f t="shared" si="275"/>
        <v/>
      </c>
      <c r="AKN33" t="str">
        <f t="shared" si="275"/>
        <v/>
      </c>
      <c r="AKO33" t="str">
        <f t="shared" si="275"/>
        <v/>
      </c>
      <c r="AKP33" t="str">
        <f t="shared" si="275"/>
        <v/>
      </c>
      <c r="AKQ33" t="str">
        <f t="shared" si="275"/>
        <v/>
      </c>
      <c r="AKR33" t="str">
        <f t="shared" si="275"/>
        <v/>
      </c>
      <c r="AKS33" t="str">
        <f t="shared" si="275"/>
        <v/>
      </c>
      <c r="AKT33" t="str">
        <f t="shared" si="275"/>
        <v/>
      </c>
      <c r="AKU33" t="str">
        <f t="shared" si="275"/>
        <v/>
      </c>
      <c r="AKV33" t="str">
        <f t="shared" si="275"/>
        <v/>
      </c>
      <c r="AKW33" t="str">
        <f t="shared" si="275"/>
        <v/>
      </c>
      <c r="AKX33" t="str">
        <f t="shared" si="275"/>
        <v/>
      </c>
      <c r="AKY33" t="str">
        <f t="shared" si="275"/>
        <v/>
      </c>
      <c r="AKZ33" t="str">
        <f t="shared" si="275"/>
        <v/>
      </c>
      <c r="ALA33" t="str">
        <f t="shared" si="275"/>
        <v/>
      </c>
      <c r="ALB33" t="str">
        <f t="shared" si="275"/>
        <v/>
      </c>
      <c r="ALC33" t="str">
        <f t="shared" si="275"/>
        <v/>
      </c>
      <c r="ALD33" t="str">
        <f t="shared" si="275"/>
        <v/>
      </c>
      <c r="ALE33" t="str">
        <f t="shared" si="275"/>
        <v/>
      </c>
      <c r="ALF33" t="str">
        <f t="shared" si="275"/>
        <v/>
      </c>
      <c r="ALG33" t="str">
        <f t="shared" si="275"/>
        <v/>
      </c>
      <c r="ALH33" t="str">
        <f t="shared" si="275"/>
        <v/>
      </c>
      <c r="ALI33" t="str">
        <f t="shared" si="275"/>
        <v/>
      </c>
      <c r="ALJ33" t="str">
        <f t="shared" si="275"/>
        <v/>
      </c>
      <c r="ALK33" t="str">
        <f t="shared" si="275"/>
        <v/>
      </c>
      <c r="ALL33" t="str">
        <f t="shared" si="275"/>
        <v/>
      </c>
      <c r="ALM33" t="str">
        <f t="shared" si="275"/>
        <v/>
      </c>
      <c r="ALN33" t="str">
        <f t="shared" si="275"/>
        <v/>
      </c>
      <c r="ALO33" t="str">
        <f t="shared" si="275"/>
        <v/>
      </c>
      <c r="ALP33" t="str">
        <f t="shared" si="275"/>
        <v/>
      </c>
      <c r="ALQ33" t="str">
        <f t="shared" si="275"/>
        <v/>
      </c>
      <c r="ALR33" t="str">
        <f t="shared" si="275"/>
        <v/>
      </c>
      <c r="ALS33" t="str">
        <f t="shared" si="275"/>
        <v/>
      </c>
      <c r="ALT33" t="str">
        <f t="shared" si="275"/>
        <v/>
      </c>
      <c r="ALU33" t="str">
        <f t="shared" si="275"/>
        <v/>
      </c>
      <c r="ALV33" t="str">
        <f t="shared" si="275"/>
        <v/>
      </c>
      <c r="ALW33" t="str">
        <f t="shared" si="275"/>
        <v/>
      </c>
      <c r="ALX33" t="str">
        <f t="shared" si="275"/>
        <v/>
      </c>
      <c r="ALY33" t="str">
        <f t="shared" si="275"/>
        <v/>
      </c>
      <c r="ALZ33" t="str">
        <f t="shared" si="275"/>
        <v/>
      </c>
      <c r="AMA33" t="str">
        <f t="shared" si="275"/>
        <v/>
      </c>
      <c r="AMB33" t="str">
        <f t="shared" si="275"/>
        <v/>
      </c>
      <c r="AMC33" t="str">
        <f t="shared" si="275"/>
        <v/>
      </c>
      <c r="AMD33" t="str">
        <f t="shared" si="275"/>
        <v/>
      </c>
      <c r="AME33" t="str">
        <f t="shared" si="275"/>
        <v/>
      </c>
      <c r="AMF33" t="str">
        <f t="shared" si="275"/>
        <v/>
      </c>
      <c r="AMG33" t="str">
        <f t="shared" si="275"/>
        <v/>
      </c>
      <c r="AMH33" t="str">
        <f t="shared" si="275"/>
        <v/>
      </c>
      <c r="AMI33" t="str">
        <f t="shared" si="275"/>
        <v/>
      </c>
      <c r="AMJ33" t="str">
        <f t="shared" si="275"/>
        <v/>
      </c>
      <c r="AMK33" t="str">
        <f t="shared" si="275"/>
        <v/>
      </c>
      <c r="AML33" t="str">
        <f t="shared" si="275"/>
        <v/>
      </c>
      <c r="AMM33" t="str">
        <f t="shared" si="275"/>
        <v/>
      </c>
      <c r="AMN33" t="str">
        <f t="shared" si="275"/>
        <v/>
      </c>
      <c r="AMO33" t="str">
        <f t="shared" si="275"/>
        <v/>
      </c>
      <c r="AMP33" t="str">
        <f t="shared" si="275"/>
        <v/>
      </c>
      <c r="AMQ33" t="str">
        <f t="shared" si="275"/>
        <v/>
      </c>
      <c r="AMR33" t="str">
        <f t="shared" si="275"/>
        <v/>
      </c>
      <c r="AMS33" t="str">
        <f t="shared" si="275"/>
        <v/>
      </c>
      <c r="AMT33" t="str">
        <f t="shared" si="275"/>
        <v/>
      </c>
      <c r="AMU33" t="str">
        <f t="shared" si="275"/>
        <v/>
      </c>
      <c r="AMV33" t="str">
        <f t="shared" si="275"/>
        <v/>
      </c>
      <c r="AMW33" t="str">
        <f t="shared" ref="AMW33:APH33" si="276">TRIM(ANN17)</f>
        <v/>
      </c>
      <c r="AMX33" t="str">
        <f t="shared" si="276"/>
        <v/>
      </c>
      <c r="AMY33" t="str">
        <f t="shared" si="276"/>
        <v/>
      </c>
      <c r="AMZ33" t="str">
        <f t="shared" si="276"/>
        <v/>
      </c>
      <c r="ANA33" t="str">
        <f t="shared" si="276"/>
        <v/>
      </c>
      <c r="ANB33" t="str">
        <f t="shared" si="276"/>
        <v/>
      </c>
      <c r="ANC33" t="str">
        <f t="shared" si="276"/>
        <v/>
      </c>
      <c r="AND33" t="str">
        <f t="shared" si="276"/>
        <v/>
      </c>
      <c r="ANE33" t="str">
        <f t="shared" si="276"/>
        <v/>
      </c>
      <c r="ANF33" t="str">
        <f t="shared" si="276"/>
        <v/>
      </c>
      <c r="ANG33" t="str">
        <f t="shared" si="276"/>
        <v/>
      </c>
      <c r="ANH33" t="str">
        <f t="shared" si="276"/>
        <v/>
      </c>
      <c r="ANI33" t="str">
        <f t="shared" si="276"/>
        <v/>
      </c>
      <c r="ANJ33" t="str">
        <f t="shared" si="276"/>
        <v/>
      </c>
      <c r="ANK33" t="str">
        <f t="shared" si="276"/>
        <v/>
      </c>
      <c r="ANL33" t="str">
        <f t="shared" si="276"/>
        <v/>
      </c>
      <c r="ANM33" t="str">
        <f t="shared" si="276"/>
        <v/>
      </c>
      <c r="ANN33" t="str">
        <f t="shared" si="276"/>
        <v/>
      </c>
      <c r="ANO33" t="str">
        <f t="shared" si="276"/>
        <v/>
      </c>
      <c r="ANP33" t="str">
        <f t="shared" si="276"/>
        <v/>
      </c>
      <c r="ANQ33" t="str">
        <f t="shared" si="276"/>
        <v/>
      </c>
      <c r="ANR33" t="str">
        <f t="shared" si="276"/>
        <v/>
      </c>
      <c r="ANS33" t="str">
        <f t="shared" si="276"/>
        <v/>
      </c>
      <c r="ANT33" t="str">
        <f t="shared" si="276"/>
        <v/>
      </c>
      <c r="ANU33" t="str">
        <f t="shared" si="276"/>
        <v/>
      </c>
      <c r="ANV33" t="str">
        <f t="shared" si="276"/>
        <v/>
      </c>
      <c r="ANW33" t="str">
        <f t="shared" si="276"/>
        <v/>
      </c>
      <c r="ANX33" t="str">
        <f t="shared" si="276"/>
        <v/>
      </c>
      <c r="ANY33" t="str">
        <f t="shared" si="276"/>
        <v/>
      </c>
      <c r="ANZ33" t="str">
        <f t="shared" si="276"/>
        <v/>
      </c>
      <c r="AOA33" t="str">
        <f t="shared" si="276"/>
        <v/>
      </c>
      <c r="AOB33" t="str">
        <f t="shared" si="276"/>
        <v/>
      </c>
      <c r="AOC33" t="str">
        <f t="shared" si="276"/>
        <v/>
      </c>
      <c r="AOD33" t="str">
        <f t="shared" si="276"/>
        <v/>
      </c>
      <c r="AOE33" t="str">
        <f t="shared" si="276"/>
        <v/>
      </c>
      <c r="AOF33" t="str">
        <f t="shared" si="276"/>
        <v/>
      </c>
      <c r="AOG33" t="str">
        <f t="shared" si="276"/>
        <v/>
      </c>
      <c r="AOH33" t="str">
        <f t="shared" si="276"/>
        <v/>
      </c>
      <c r="AOI33" t="str">
        <f t="shared" si="276"/>
        <v/>
      </c>
      <c r="AOJ33" t="str">
        <f t="shared" si="276"/>
        <v/>
      </c>
      <c r="AOK33" t="str">
        <f t="shared" si="276"/>
        <v/>
      </c>
      <c r="AOL33" t="str">
        <f t="shared" si="276"/>
        <v/>
      </c>
      <c r="AOM33" t="str">
        <f t="shared" si="276"/>
        <v/>
      </c>
      <c r="AON33" t="str">
        <f t="shared" si="276"/>
        <v/>
      </c>
      <c r="AOO33" t="str">
        <f t="shared" si="276"/>
        <v/>
      </c>
      <c r="AOP33" t="str">
        <f t="shared" si="276"/>
        <v/>
      </c>
      <c r="AOQ33" t="str">
        <f t="shared" si="276"/>
        <v/>
      </c>
      <c r="AOR33" t="str">
        <f t="shared" si="276"/>
        <v/>
      </c>
      <c r="AOS33" t="str">
        <f t="shared" si="276"/>
        <v/>
      </c>
      <c r="AOT33" t="str">
        <f t="shared" si="276"/>
        <v/>
      </c>
      <c r="AOU33" t="str">
        <f t="shared" si="276"/>
        <v/>
      </c>
      <c r="AOV33" t="str">
        <f t="shared" si="276"/>
        <v/>
      </c>
      <c r="AOW33" t="str">
        <f t="shared" si="276"/>
        <v/>
      </c>
      <c r="AOX33" t="str">
        <f t="shared" si="276"/>
        <v/>
      </c>
      <c r="AOY33" t="str">
        <f t="shared" si="276"/>
        <v/>
      </c>
      <c r="AOZ33" t="str">
        <f t="shared" si="276"/>
        <v/>
      </c>
      <c r="APA33" t="str">
        <f t="shared" si="276"/>
        <v/>
      </c>
      <c r="APB33" t="str">
        <f t="shared" si="276"/>
        <v/>
      </c>
      <c r="APC33" t="str">
        <f t="shared" si="276"/>
        <v/>
      </c>
      <c r="APD33" t="str">
        <f t="shared" si="276"/>
        <v/>
      </c>
      <c r="APE33" t="str">
        <f t="shared" si="276"/>
        <v/>
      </c>
      <c r="APF33" t="str">
        <f t="shared" si="276"/>
        <v/>
      </c>
      <c r="APG33" t="str">
        <f t="shared" si="276"/>
        <v/>
      </c>
      <c r="APH33" t="str">
        <f t="shared" si="276"/>
        <v/>
      </c>
      <c r="API33" t="str">
        <f t="shared" ref="API33:ART33" si="277">TRIM(APZ17)</f>
        <v/>
      </c>
      <c r="APJ33" t="str">
        <f t="shared" si="277"/>
        <v/>
      </c>
      <c r="APK33" t="str">
        <f t="shared" si="277"/>
        <v/>
      </c>
      <c r="APL33" t="str">
        <f t="shared" si="277"/>
        <v/>
      </c>
      <c r="APM33" t="str">
        <f t="shared" si="277"/>
        <v/>
      </c>
      <c r="APN33" t="str">
        <f t="shared" si="277"/>
        <v/>
      </c>
      <c r="APO33" t="str">
        <f t="shared" si="277"/>
        <v/>
      </c>
      <c r="APP33" t="str">
        <f t="shared" si="277"/>
        <v/>
      </c>
      <c r="APQ33" t="str">
        <f t="shared" si="277"/>
        <v/>
      </c>
      <c r="APR33" t="str">
        <f t="shared" si="277"/>
        <v/>
      </c>
      <c r="APS33" t="str">
        <f t="shared" si="277"/>
        <v/>
      </c>
      <c r="APT33" t="str">
        <f t="shared" si="277"/>
        <v/>
      </c>
      <c r="APU33" t="str">
        <f t="shared" si="277"/>
        <v/>
      </c>
      <c r="APV33" t="str">
        <f t="shared" si="277"/>
        <v/>
      </c>
      <c r="APW33" t="str">
        <f t="shared" si="277"/>
        <v/>
      </c>
      <c r="APX33" t="str">
        <f t="shared" si="277"/>
        <v/>
      </c>
      <c r="APY33" t="str">
        <f t="shared" si="277"/>
        <v/>
      </c>
      <c r="APZ33" t="str">
        <f t="shared" si="277"/>
        <v/>
      </c>
      <c r="AQA33" t="str">
        <f t="shared" si="277"/>
        <v/>
      </c>
      <c r="AQB33" t="str">
        <f t="shared" si="277"/>
        <v/>
      </c>
      <c r="AQC33" t="str">
        <f t="shared" si="277"/>
        <v/>
      </c>
      <c r="AQD33" t="str">
        <f t="shared" si="277"/>
        <v/>
      </c>
      <c r="AQE33" t="str">
        <f t="shared" si="277"/>
        <v/>
      </c>
      <c r="AQF33" t="str">
        <f t="shared" si="277"/>
        <v/>
      </c>
      <c r="AQG33" t="str">
        <f t="shared" si="277"/>
        <v/>
      </c>
      <c r="AQH33" t="str">
        <f t="shared" si="277"/>
        <v/>
      </c>
      <c r="AQI33" t="str">
        <f t="shared" si="277"/>
        <v/>
      </c>
      <c r="AQJ33" t="str">
        <f t="shared" si="277"/>
        <v/>
      </c>
      <c r="AQK33" t="str">
        <f t="shared" si="277"/>
        <v/>
      </c>
      <c r="AQL33" t="str">
        <f t="shared" si="277"/>
        <v/>
      </c>
      <c r="AQM33" t="str">
        <f t="shared" si="277"/>
        <v/>
      </c>
      <c r="AQN33" t="str">
        <f t="shared" si="277"/>
        <v/>
      </c>
      <c r="AQO33" t="str">
        <f t="shared" si="277"/>
        <v/>
      </c>
      <c r="AQP33" t="str">
        <f t="shared" si="277"/>
        <v/>
      </c>
      <c r="AQQ33" t="str">
        <f t="shared" si="277"/>
        <v/>
      </c>
      <c r="AQR33" t="str">
        <f t="shared" si="277"/>
        <v/>
      </c>
      <c r="AQS33" t="str">
        <f t="shared" si="277"/>
        <v/>
      </c>
      <c r="AQT33" t="str">
        <f t="shared" si="277"/>
        <v/>
      </c>
      <c r="AQU33" t="str">
        <f t="shared" si="277"/>
        <v/>
      </c>
      <c r="AQV33" t="str">
        <f t="shared" si="277"/>
        <v/>
      </c>
      <c r="AQW33" t="str">
        <f t="shared" si="277"/>
        <v/>
      </c>
      <c r="AQX33" t="str">
        <f t="shared" si="277"/>
        <v/>
      </c>
      <c r="AQY33" t="str">
        <f t="shared" si="277"/>
        <v/>
      </c>
      <c r="AQZ33" t="str">
        <f t="shared" si="277"/>
        <v/>
      </c>
      <c r="ARA33" t="str">
        <f t="shared" si="277"/>
        <v/>
      </c>
      <c r="ARB33" t="str">
        <f t="shared" si="277"/>
        <v/>
      </c>
      <c r="ARC33" t="str">
        <f t="shared" si="277"/>
        <v/>
      </c>
      <c r="ARD33" t="str">
        <f t="shared" si="277"/>
        <v/>
      </c>
      <c r="ARE33" t="str">
        <f t="shared" si="277"/>
        <v/>
      </c>
      <c r="ARF33" t="str">
        <f t="shared" si="277"/>
        <v/>
      </c>
      <c r="ARG33" t="str">
        <f t="shared" si="277"/>
        <v/>
      </c>
      <c r="ARH33" t="str">
        <f t="shared" si="277"/>
        <v/>
      </c>
      <c r="ARI33" t="str">
        <f t="shared" si="277"/>
        <v/>
      </c>
      <c r="ARJ33" t="str">
        <f t="shared" si="277"/>
        <v/>
      </c>
      <c r="ARK33" t="str">
        <f t="shared" si="277"/>
        <v/>
      </c>
      <c r="ARL33" t="str">
        <f t="shared" si="277"/>
        <v/>
      </c>
      <c r="ARM33" t="str">
        <f t="shared" si="277"/>
        <v/>
      </c>
      <c r="ARN33" t="str">
        <f t="shared" si="277"/>
        <v/>
      </c>
      <c r="ARO33" t="str">
        <f t="shared" si="277"/>
        <v/>
      </c>
      <c r="ARP33" t="str">
        <f t="shared" si="277"/>
        <v/>
      </c>
      <c r="ARQ33" t="str">
        <f t="shared" si="277"/>
        <v/>
      </c>
      <c r="ARR33" t="str">
        <f t="shared" si="277"/>
        <v/>
      </c>
      <c r="ARS33" t="str">
        <f t="shared" si="277"/>
        <v/>
      </c>
      <c r="ART33" t="str">
        <f t="shared" si="277"/>
        <v/>
      </c>
      <c r="ARU33" t="str">
        <f t="shared" ref="ARU33:AUF33" si="278">TRIM(ASL17)</f>
        <v/>
      </c>
      <c r="ARV33" t="str">
        <f t="shared" si="278"/>
        <v/>
      </c>
      <c r="ARW33" t="str">
        <f t="shared" si="278"/>
        <v/>
      </c>
      <c r="ARX33" t="str">
        <f t="shared" si="278"/>
        <v/>
      </c>
      <c r="ARY33" t="str">
        <f t="shared" si="278"/>
        <v/>
      </c>
      <c r="ARZ33" t="str">
        <f t="shared" si="278"/>
        <v/>
      </c>
      <c r="ASA33" t="str">
        <f t="shared" si="278"/>
        <v/>
      </c>
      <c r="ASB33" t="str">
        <f t="shared" si="278"/>
        <v/>
      </c>
      <c r="ASC33" t="str">
        <f t="shared" si="278"/>
        <v/>
      </c>
      <c r="ASD33" t="str">
        <f t="shared" si="278"/>
        <v/>
      </c>
      <c r="ASE33" t="str">
        <f t="shared" si="278"/>
        <v/>
      </c>
      <c r="ASF33" t="str">
        <f t="shared" si="278"/>
        <v/>
      </c>
      <c r="ASG33" t="str">
        <f t="shared" si="278"/>
        <v/>
      </c>
      <c r="ASH33" t="str">
        <f t="shared" si="278"/>
        <v/>
      </c>
      <c r="ASI33" t="str">
        <f t="shared" si="278"/>
        <v/>
      </c>
      <c r="ASJ33" t="str">
        <f t="shared" si="278"/>
        <v/>
      </c>
      <c r="ASK33" t="str">
        <f t="shared" si="278"/>
        <v/>
      </c>
      <c r="ASL33" t="str">
        <f t="shared" si="278"/>
        <v/>
      </c>
      <c r="ASM33" t="str">
        <f t="shared" si="278"/>
        <v/>
      </c>
      <c r="ASN33" t="str">
        <f t="shared" si="278"/>
        <v/>
      </c>
      <c r="ASO33" t="str">
        <f t="shared" si="278"/>
        <v/>
      </c>
      <c r="ASP33" t="str">
        <f t="shared" si="278"/>
        <v/>
      </c>
      <c r="ASQ33" t="str">
        <f t="shared" si="278"/>
        <v/>
      </c>
      <c r="ASR33" t="str">
        <f t="shared" si="278"/>
        <v/>
      </c>
      <c r="ASS33" t="str">
        <f t="shared" si="278"/>
        <v/>
      </c>
      <c r="AST33" t="str">
        <f t="shared" si="278"/>
        <v/>
      </c>
      <c r="ASU33" t="str">
        <f t="shared" si="278"/>
        <v/>
      </c>
      <c r="ASV33" t="str">
        <f t="shared" si="278"/>
        <v/>
      </c>
      <c r="ASW33" t="str">
        <f t="shared" si="278"/>
        <v/>
      </c>
      <c r="ASX33" t="str">
        <f t="shared" si="278"/>
        <v/>
      </c>
      <c r="ASY33" t="str">
        <f t="shared" si="278"/>
        <v/>
      </c>
      <c r="ASZ33" t="str">
        <f t="shared" si="278"/>
        <v/>
      </c>
      <c r="ATA33" t="str">
        <f t="shared" si="278"/>
        <v/>
      </c>
      <c r="ATB33" t="str">
        <f t="shared" si="278"/>
        <v/>
      </c>
      <c r="ATC33" t="str">
        <f t="shared" si="278"/>
        <v/>
      </c>
      <c r="ATD33" t="str">
        <f t="shared" si="278"/>
        <v/>
      </c>
      <c r="ATE33" t="str">
        <f t="shared" si="278"/>
        <v/>
      </c>
      <c r="ATF33" t="str">
        <f t="shared" si="278"/>
        <v/>
      </c>
      <c r="ATG33" t="str">
        <f t="shared" si="278"/>
        <v/>
      </c>
      <c r="ATH33" t="str">
        <f t="shared" si="278"/>
        <v/>
      </c>
      <c r="ATI33" t="str">
        <f t="shared" si="278"/>
        <v/>
      </c>
      <c r="ATJ33" t="str">
        <f t="shared" si="278"/>
        <v/>
      </c>
      <c r="ATK33" t="str">
        <f t="shared" si="278"/>
        <v/>
      </c>
      <c r="ATL33" t="str">
        <f t="shared" si="278"/>
        <v/>
      </c>
      <c r="ATM33" t="str">
        <f t="shared" si="278"/>
        <v/>
      </c>
      <c r="ATN33" t="str">
        <f t="shared" si="278"/>
        <v/>
      </c>
      <c r="ATO33" t="str">
        <f t="shared" si="278"/>
        <v/>
      </c>
      <c r="ATP33" t="str">
        <f t="shared" si="278"/>
        <v/>
      </c>
      <c r="ATQ33" t="str">
        <f t="shared" si="278"/>
        <v/>
      </c>
      <c r="ATR33" t="str">
        <f t="shared" si="278"/>
        <v/>
      </c>
      <c r="ATS33" t="str">
        <f t="shared" si="278"/>
        <v/>
      </c>
      <c r="ATT33" t="str">
        <f t="shared" si="278"/>
        <v/>
      </c>
      <c r="ATU33" t="str">
        <f t="shared" si="278"/>
        <v/>
      </c>
      <c r="ATV33" t="str">
        <f t="shared" si="278"/>
        <v/>
      </c>
      <c r="ATW33" t="str">
        <f t="shared" si="278"/>
        <v/>
      </c>
      <c r="ATX33" t="str">
        <f t="shared" si="278"/>
        <v/>
      </c>
      <c r="ATY33" t="str">
        <f t="shared" si="278"/>
        <v/>
      </c>
      <c r="ATZ33" t="str">
        <f t="shared" si="278"/>
        <v/>
      </c>
      <c r="AUA33" t="str">
        <f t="shared" si="278"/>
        <v/>
      </c>
      <c r="AUB33" t="str">
        <f t="shared" si="278"/>
        <v/>
      </c>
      <c r="AUC33" t="str">
        <f t="shared" si="278"/>
        <v/>
      </c>
      <c r="AUD33" t="str">
        <f t="shared" si="278"/>
        <v/>
      </c>
      <c r="AUE33" t="str">
        <f t="shared" si="278"/>
        <v/>
      </c>
      <c r="AUF33" t="str">
        <f t="shared" si="278"/>
        <v/>
      </c>
      <c r="AUG33" t="str">
        <f t="shared" ref="AUG33:AWR33" si="279">TRIM(AUX17)</f>
        <v/>
      </c>
      <c r="AUH33" t="str">
        <f t="shared" si="279"/>
        <v/>
      </c>
      <c r="AUI33" t="str">
        <f t="shared" si="279"/>
        <v/>
      </c>
      <c r="AUJ33" t="str">
        <f t="shared" si="279"/>
        <v/>
      </c>
      <c r="AUK33" t="str">
        <f t="shared" si="279"/>
        <v/>
      </c>
      <c r="AUL33" t="str">
        <f t="shared" si="279"/>
        <v/>
      </c>
      <c r="AUM33" t="str">
        <f t="shared" si="279"/>
        <v/>
      </c>
      <c r="AUN33" t="str">
        <f t="shared" si="279"/>
        <v/>
      </c>
      <c r="AUO33" t="str">
        <f t="shared" si="279"/>
        <v/>
      </c>
      <c r="AUP33" t="str">
        <f t="shared" si="279"/>
        <v/>
      </c>
      <c r="AUQ33" t="str">
        <f t="shared" si="279"/>
        <v/>
      </c>
      <c r="AUR33" t="str">
        <f t="shared" si="279"/>
        <v/>
      </c>
      <c r="AUS33" t="str">
        <f t="shared" si="279"/>
        <v/>
      </c>
      <c r="AUT33" t="str">
        <f t="shared" si="279"/>
        <v/>
      </c>
      <c r="AUU33" t="str">
        <f t="shared" si="279"/>
        <v/>
      </c>
      <c r="AUV33" t="str">
        <f t="shared" si="279"/>
        <v/>
      </c>
      <c r="AUW33" t="str">
        <f t="shared" si="279"/>
        <v/>
      </c>
      <c r="AUX33" t="str">
        <f t="shared" si="279"/>
        <v/>
      </c>
      <c r="AUY33" t="str">
        <f t="shared" si="279"/>
        <v/>
      </c>
      <c r="AUZ33" t="str">
        <f t="shared" si="279"/>
        <v/>
      </c>
      <c r="AVA33" t="str">
        <f t="shared" si="279"/>
        <v/>
      </c>
      <c r="AVB33" t="str">
        <f t="shared" si="279"/>
        <v/>
      </c>
      <c r="AVC33" t="str">
        <f t="shared" si="279"/>
        <v/>
      </c>
      <c r="AVD33" t="str">
        <f t="shared" si="279"/>
        <v/>
      </c>
      <c r="AVE33" t="str">
        <f t="shared" si="279"/>
        <v/>
      </c>
      <c r="AVF33" t="str">
        <f t="shared" si="279"/>
        <v/>
      </c>
      <c r="AVG33" t="str">
        <f t="shared" si="279"/>
        <v/>
      </c>
      <c r="AVH33" t="str">
        <f t="shared" si="279"/>
        <v/>
      </c>
      <c r="AVI33" t="str">
        <f t="shared" si="279"/>
        <v/>
      </c>
      <c r="AVJ33" t="str">
        <f t="shared" si="279"/>
        <v/>
      </c>
      <c r="AVK33" t="str">
        <f t="shared" si="279"/>
        <v/>
      </c>
      <c r="AVL33" t="str">
        <f t="shared" si="279"/>
        <v/>
      </c>
      <c r="AVM33" t="str">
        <f t="shared" si="279"/>
        <v/>
      </c>
      <c r="AVN33" t="str">
        <f t="shared" si="279"/>
        <v/>
      </c>
      <c r="AVO33" t="str">
        <f t="shared" si="279"/>
        <v/>
      </c>
      <c r="AVP33" t="str">
        <f t="shared" si="279"/>
        <v/>
      </c>
      <c r="AVQ33" t="str">
        <f t="shared" si="279"/>
        <v/>
      </c>
      <c r="AVR33" t="str">
        <f t="shared" si="279"/>
        <v/>
      </c>
      <c r="AVS33" t="str">
        <f t="shared" si="279"/>
        <v/>
      </c>
      <c r="AVT33" t="str">
        <f t="shared" si="279"/>
        <v/>
      </c>
      <c r="AVU33" t="str">
        <f t="shared" si="279"/>
        <v/>
      </c>
      <c r="AVV33" t="str">
        <f t="shared" si="279"/>
        <v/>
      </c>
      <c r="AVW33" t="str">
        <f t="shared" si="279"/>
        <v/>
      </c>
      <c r="AVX33" t="str">
        <f t="shared" si="279"/>
        <v/>
      </c>
      <c r="AVY33" t="str">
        <f t="shared" si="279"/>
        <v/>
      </c>
      <c r="AVZ33" t="str">
        <f t="shared" si="279"/>
        <v/>
      </c>
      <c r="AWA33" t="str">
        <f t="shared" si="279"/>
        <v/>
      </c>
      <c r="AWB33" t="str">
        <f t="shared" si="279"/>
        <v/>
      </c>
      <c r="AWC33" t="str">
        <f t="shared" si="279"/>
        <v/>
      </c>
      <c r="AWD33" t="str">
        <f t="shared" si="279"/>
        <v/>
      </c>
      <c r="AWE33" t="str">
        <f t="shared" si="279"/>
        <v/>
      </c>
      <c r="AWF33" t="str">
        <f t="shared" si="279"/>
        <v/>
      </c>
      <c r="AWG33" t="str">
        <f t="shared" si="279"/>
        <v/>
      </c>
      <c r="AWH33" t="str">
        <f t="shared" si="279"/>
        <v/>
      </c>
      <c r="AWI33" t="str">
        <f t="shared" si="279"/>
        <v/>
      </c>
      <c r="AWJ33" t="str">
        <f t="shared" si="279"/>
        <v/>
      </c>
      <c r="AWK33" t="str">
        <f t="shared" si="279"/>
        <v/>
      </c>
      <c r="AWL33" t="str">
        <f t="shared" si="279"/>
        <v/>
      </c>
      <c r="AWM33" t="str">
        <f t="shared" si="279"/>
        <v/>
      </c>
      <c r="AWN33" t="str">
        <f t="shared" si="279"/>
        <v/>
      </c>
      <c r="AWO33" t="str">
        <f t="shared" si="279"/>
        <v/>
      </c>
      <c r="AWP33" t="str">
        <f t="shared" si="279"/>
        <v/>
      </c>
      <c r="AWQ33" t="str">
        <f t="shared" si="279"/>
        <v/>
      </c>
      <c r="AWR33" t="str">
        <f t="shared" si="279"/>
        <v/>
      </c>
      <c r="AWS33" t="str">
        <f t="shared" ref="AWS33:AZD33" si="280">TRIM(AXJ17)</f>
        <v/>
      </c>
      <c r="AWT33" t="str">
        <f t="shared" si="280"/>
        <v/>
      </c>
      <c r="AWU33" t="str">
        <f t="shared" si="280"/>
        <v/>
      </c>
      <c r="AWV33" t="str">
        <f t="shared" si="280"/>
        <v/>
      </c>
      <c r="AWW33" t="str">
        <f t="shared" si="280"/>
        <v/>
      </c>
      <c r="AWX33" t="str">
        <f t="shared" si="280"/>
        <v/>
      </c>
      <c r="AWY33" t="str">
        <f t="shared" si="280"/>
        <v/>
      </c>
      <c r="AWZ33" t="str">
        <f t="shared" si="280"/>
        <v/>
      </c>
      <c r="AXA33" t="str">
        <f t="shared" si="280"/>
        <v/>
      </c>
      <c r="AXB33" t="str">
        <f t="shared" si="280"/>
        <v/>
      </c>
      <c r="AXC33" t="str">
        <f t="shared" si="280"/>
        <v/>
      </c>
      <c r="AXD33" t="str">
        <f t="shared" si="280"/>
        <v/>
      </c>
      <c r="AXE33" t="str">
        <f t="shared" si="280"/>
        <v/>
      </c>
      <c r="AXF33" t="str">
        <f t="shared" si="280"/>
        <v/>
      </c>
      <c r="AXG33" t="str">
        <f t="shared" si="280"/>
        <v/>
      </c>
      <c r="AXH33" t="str">
        <f t="shared" si="280"/>
        <v/>
      </c>
      <c r="AXI33" t="str">
        <f t="shared" si="280"/>
        <v/>
      </c>
      <c r="AXJ33" t="str">
        <f t="shared" si="280"/>
        <v/>
      </c>
      <c r="AXK33" t="str">
        <f t="shared" si="280"/>
        <v/>
      </c>
      <c r="AXL33" t="str">
        <f t="shared" si="280"/>
        <v/>
      </c>
      <c r="AXM33" t="str">
        <f t="shared" si="280"/>
        <v/>
      </c>
      <c r="AXN33" t="str">
        <f t="shared" si="280"/>
        <v/>
      </c>
      <c r="AXO33" t="str">
        <f t="shared" si="280"/>
        <v/>
      </c>
      <c r="AXP33" t="str">
        <f t="shared" si="280"/>
        <v/>
      </c>
      <c r="AXQ33" t="str">
        <f t="shared" si="280"/>
        <v/>
      </c>
      <c r="AXR33" t="str">
        <f t="shared" si="280"/>
        <v/>
      </c>
      <c r="AXS33" t="str">
        <f t="shared" si="280"/>
        <v/>
      </c>
      <c r="AXT33" t="str">
        <f t="shared" si="280"/>
        <v/>
      </c>
      <c r="AXU33" t="str">
        <f t="shared" si="280"/>
        <v/>
      </c>
      <c r="AXV33" t="str">
        <f t="shared" si="280"/>
        <v/>
      </c>
      <c r="AXW33" t="str">
        <f t="shared" si="280"/>
        <v/>
      </c>
      <c r="AXX33" t="str">
        <f t="shared" si="280"/>
        <v/>
      </c>
      <c r="AXY33" t="str">
        <f t="shared" si="280"/>
        <v/>
      </c>
      <c r="AXZ33" t="str">
        <f t="shared" si="280"/>
        <v/>
      </c>
      <c r="AYA33" t="str">
        <f t="shared" si="280"/>
        <v/>
      </c>
      <c r="AYB33" t="str">
        <f t="shared" si="280"/>
        <v/>
      </c>
      <c r="AYC33" t="str">
        <f t="shared" si="280"/>
        <v/>
      </c>
      <c r="AYD33" t="str">
        <f t="shared" si="280"/>
        <v/>
      </c>
      <c r="AYE33" t="str">
        <f t="shared" si="280"/>
        <v/>
      </c>
      <c r="AYF33" t="str">
        <f t="shared" si="280"/>
        <v/>
      </c>
      <c r="AYG33" t="str">
        <f t="shared" si="280"/>
        <v/>
      </c>
      <c r="AYH33" t="str">
        <f t="shared" si="280"/>
        <v/>
      </c>
      <c r="AYI33" t="str">
        <f t="shared" si="280"/>
        <v/>
      </c>
      <c r="AYJ33" t="str">
        <f t="shared" si="280"/>
        <v/>
      </c>
      <c r="AYK33" t="str">
        <f t="shared" si="280"/>
        <v/>
      </c>
      <c r="AYL33" t="str">
        <f t="shared" si="280"/>
        <v/>
      </c>
      <c r="AYM33" t="str">
        <f t="shared" si="280"/>
        <v/>
      </c>
      <c r="AYN33" t="str">
        <f t="shared" si="280"/>
        <v/>
      </c>
      <c r="AYO33" t="str">
        <f t="shared" si="280"/>
        <v/>
      </c>
      <c r="AYP33" t="str">
        <f t="shared" si="280"/>
        <v/>
      </c>
      <c r="AYQ33" t="str">
        <f t="shared" si="280"/>
        <v/>
      </c>
      <c r="AYR33" t="str">
        <f t="shared" si="280"/>
        <v/>
      </c>
      <c r="AYS33" t="str">
        <f t="shared" si="280"/>
        <v/>
      </c>
      <c r="AYT33" t="str">
        <f t="shared" si="280"/>
        <v/>
      </c>
      <c r="AYU33" t="str">
        <f t="shared" si="280"/>
        <v/>
      </c>
      <c r="AYV33" t="str">
        <f t="shared" si="280"/>
        <v/>
      </c>
      <c r="AYW33" t="str">
        <f t="shared" si="280"/>
        <v/>
      </c>
      <c r="AYX33" t="str">
        <f t="shared" si="280"/>
        <v/>
      </c>
      <c r="AYY33" t="str">
        <f t="shared" si="280"/>
        <v/>
      </c>
      <c r="AYZ33" t="str">
        <f t="shared" si="280"/>
        <v/>
      </c>
      <c r="AZA33" t="str">
        <f t="shared" si="280"/>
        <v/>
      </c>
      <c r="AZB33" t="str">
        <f t="shared" si="280"/>
        <v/>
      </c>
      <c r="AZC33" t="str">
        <f t="shared" si="280"/>
        <v/>
      </c>
      <c r="AZD33" t="str">
        <f t="shared" si="280"/>
        <v/>
      </c>
      <c r="AZE33" t="str">
        <f t="shared" ref="AZE33:BBP33" si="281">TRIM(AZV17)</f>
        <v/>
      </c>
      <c r="AZF33" t="str">
        <f t="shared" si="281"/>
        <v/>
      </c>
      <c r="AZG33" t="str">
        <f t="shared" si="281"/>
        <v/>
      </c>
      <c r="AZH33" t="str">
        <f t="shared" si="281"/>
        <v/>
      </c>
      <c r="AZI33" t="str">
        <f t="shared" si="281"/>
        <v/>
      </c>
      <c r="AZJ33" t="str">
        <f t="shared" si="281"/>
        <v/>
      </c>
      <c r="AZK33" t="str">
        <f t="shared" si="281"/>
        <v/>
      </c>
      <c r="AZL33" t="str">
        <f t="shared" si="281"/>
        <v/>
      </c>
      <c r="AZM33" t="str">
        <f t="shared" si="281"/>
        <v/>
      </c>
      <c r="AZN33" t="str">
        <f t="shared" si="281"/>
        <v/>
      </c>
      <c r="AZO33" t="str">
        <f t="shared" si="281"/>
        <v/>
      </c>
      <c r="AZP33" t="str">
        <f t="shared" si="281"/>
        <v/>
      </c>
      <c r="AZQ33" t="str">
        <f t="shared" si="281"/>
        <v/>
      </c>
      <c r="AZR33" t="str">
        <f t="shared" si="281"/>
        <v/>
      </c>
      <c r="AZS33" t="str">
        <f t="shared" si="281"/>
        <v/>
      </c>
      <c r="AZT33" t="str">
        <f t="shared" si="281"/>
        <v/>
      </c>
      <c r="AZU33" t="str">
        <f t="shared" si="281"/>
        <v/>
      </c>
      <c r="AZV33" t="str">
        <f t="shared" si="281"/>
        <v/>
      </c>
      <c r="AZW33" t="str">
        <f t="shared" si="281"/>
        <v/>
      </c>
      <c r="AZX33" t="str">
        <f t="shared" si="281"/>
        <v/>
      </c>
      <c r="AZY33" t="str">
        <f t="shared" si="281"/>
        <v/>
      </c>
      <c r="AZZ33" t="str">
        <f t="shared" si="281"/>
        <v/>
      </c>
      <c r="BAA33" t="str">
        <f t="shared" si="281"/>
        <v/>
      </c>
      <c r="BAB33" t="str">
        <f t="shared" si="281"/>
        <v/>
      </c>
      <c r="BAC33" t="str">
        <f t="shared" si="281"/>
        <v/>
      </c>
      <c r="BAD33" t="str">
        <f t="shared" si="281"/>
        <v/>
      </c>
      <c r="BAE33" t="str">
        <f t="shared" si="281"/>
        <v/>
      </c>
      <c r="BAF33" t="str">
        <f t="shared" si="281"/>
        <v/>
      </c>
      <c r="BAG33" t="str">
        <f t="shared" si="281"/>
        <v/>
      </c>
      <c r="BAH33" t="str">
        <f t="shared" si="281"/>
        <v/>
      </c>
      <c r="BAI33" t="str">
        <f t="shared" si="281"/>
        <v/>
      </c>
      <c r="BAJ33" t="str">
        <f t="shared" si="281"/>
        <v/>
      </c>
      <c r="BAK33" t="str">
        <f t="shared" si="281"/>
        <v/>
      </c>
      <c r="BAL33" t="str">
        <f t="shared" si="281"/>
        <v/>
      </c>
      <c r="BAM33" t="str">
        <f t="shared" si="281"/>
        <v/>
      </c>
      <c r="BAN33" t="str">
        <f t="shared" si="281"/>
        <v/>
      </c>
      <c r="BAO33" t="str">
        <f t="shared" si="281"/>
        <v/>
      </c>
      <c r="BAP33" t="str">
        <f t="shared" si="281"/>
        <v/>
      </c>
      <c r="BAQ33" t="str">
        <f t="shared" si="281"/>
        <v/>
      </c>
      <c r="BAR33" t="str">
        <f t="shared" si="281"/>
        <v/>
      </c>
      <c r="BAS33" t="str">
        <f t="shared" si="281"/>
        <v/>
      </c>
      <c r="BAT33" t="str">
        <f t="shared" si="281"/>
        <v/>
      </c>
      <c r="BAU33" t="str">
        <f t="shared" si="281"/>
        <v/>
      </c>
      <c r="BAV33" t="str">
        <f t="shared" si="281"/>
        <v/>
      </c>
      <c r="BAW33" t="str">
        <f t="shared" si="281"/>
        <v/>
      </c>
      <c r="BAX33" t="str">
        <f t="shared" si="281"/>
        <v/>
      </c>
      <c r="BAY33" t="str">
        <f t="shared" si="281"/>
        <v/>
      </c>
      <c r="BAZ33" t="str">
        <f t="shared" si="281"/>
        <v/>
      </c>
      <c r="BBA33" t="str">
        <f t="shared" si="281"/>
        <v/>
      </c>
      <c r="BBB33" t="str">
        <f t="shared" si="281"/>
        <v/>
      </c>
      <c r="BBC33" t="str">
        <f t="shared" si="281"/>
        <v/>
      </c>
      <c r="BBD33" t="str">
        <f t="shared" si="281"/>
        <v/>
      </c>
      <c r="BBE33" t="str">
        <f t="shared" si="281"/>
        <v/>
      </c>
      <c r="BBF33" t="str">
        <f t="shared" si="281"/>
        <v/>
      </c>
      <c r="BBG33" t="str">
        <f t="shared" si="281"/>
        <v/>
      </c>
      <c r="BBH33" t="str">
        <f t="shared" si="281"/>
        <v/>
      </c>
      <c r="BBI33" t="str">
        <f t="shared" si="281"/>
        <v/>
      </c>
      <c r="BBJ33" t="str">
        <f t="shared" si="281"/>
        <v/>
      </c>
      <c r="BBK33" t="str">
        <f t="shared" si="281"/>
        <v/>
      </c>
      <c r="BBL33" t="str">
        <f t="shared" si="281"/>
        <v/>
      </c>
      <c r="BBM33" t="str">
        <f t="shared" si="281"/>
        <v/>
      </c>
      <c r="BBN33" t="str">
        <f t="shared" si="281"/>
        <v/>
      </c>
      <c r="BBO33" t="str">
        <f t="shared" si="281"/>
        <v/>
      </c>
      <c r="BBP33" t="str">
        <f t="shared" si="281"/>
        <v/>
      </c>
      <c r="BBQ33" t="str">
        <f t="shared" ref="BBQ33:BEB33" si="282">TRIM(BCH17)</f>
        <v/>
      </c>
      <c r="BBR33" t="str">
        <f t="shared" si="282"/>
        <v/>
      </c>
      <c r="BBS33" t="str">
        <f t="shared" si="282"/>
        <v/>
      </c>
      <c r="BBT33" t="str">
        <f t="shared" si="282"/>
        <v/>
      </c>
      <c r="BBU33" t="str">
        <f t="shared" si="282"/>
        <v/>
      </c>
      <c r="BBV33" t="str">
        <f t="shared" si="282"/>
        <v/>
      </c>
      <c r="BBW33" t="str">
        <f t="shared" si="282"/>
        <v/>
      </c>
      <c r="BBX33" t="str">
        <f t="shared" si="282"/>
        <v/>
      </c>
      <c r="BBY33" t="str">
        <f t="shared" si="282"/>
        <v/>
      </c>
      <c r="BBZ33" t="str">
        <f t="shared" si="282"/>
        <v/>
      </c>
      <c r="BCA33" t="str">
        <f t="shared" si="282"/>
        <v/>
      </c>
      <c r="BCB33" t="str">
        <f t="shared" si="282"/>
        <v/>
      </c>
      <c r="BCC33" t="str">
        <f t="shared" si="282"/>
        <v/>
      </c>
      <c r="BCD33" t="str">
        <f t="shared" si="282"/>
        <v/>
      </c>
      <c r="BCE33" t="str">
        <f t="shared" si="282"/>
        <v/>
      </c>
      <c r="BCF33" t="str">
        <f t="shared" si="282"/>
        <v/>
      </c>
      <c r="BCG33" t="str">
        <f t="shared" si="282"/>
        <v/>
      </c>
      <c r="BCH33" t="str">
        <f t="shared" si="282"/>
        <v/>
      </c>
      <c r="BCI33" t="str">
        <f t="shared" si="282"/>
        <v/>
      </c>
      <c r="BCJ33" t="str">
        <f t="shared" si="282"/>
        <v/>
      </c>
      <c r="BCK33" t="str">
        <f t="shared" si="282"/>
        <v/>
      </c>
      <c r="BCL33" t="str">
        <f t="shared" si="282"/>
        <v/>
      </c>
      <c r="BCM33" t="str">
        <f t="shared" si="282"/>
        <v/>
      </c>
      <c r="BCN33" t="str">
        <f t="shared" si="282"/>
        <v/>
      </c>
      <c r="BCO33" t="str">
        <f t="shared" si="282"/>
        <v/>
      </c>
      <c r="BCP33" t="str">
        <f t="shared" si="282"/>
        <v/>
      </c>
      <c r="BCQ33" t="str">
        <f t="shared" si="282"/>
        <v/>
      </c>
      <c r="BCR33" t="str">
        <f t="shared" si="282"/>
        <v/>
      </c>
      <c r="BCS33" t="str">
        <f t="shared" si="282"/>
        <v/>
      </c>
      <c r="BCT33" t="str">
        <f t="shared" si="282"/>
        <v/>
      </c>
      <c r="BCU33" t="str">
        <f t="shared" si="282"/>
        <v/>
      </c>
      <c r="BCV33" t="str">
        <f t="shared" si="282"/>
        <v/>
      </c>
      <c r="BCW33" t="str">
        <f t="shared" si="282"/>
        <v/>
      </c>
      <c r="BCX33" t="str">
        <f t="shared" si="282"/>
        <v/>
      </c>
      <c r="BCY33" t="str">
        <f t="shared" si="282"/>
        <v/>
      </c>
      <c r="BCZ33" t="str">
        <f t="shared" si="282"/>
        <v/>
      </c>
      <c r="BDA33" t="str">
        <f t="shared" si="282"/>
        <v/>
      </c>
      <c r="BDB33" t="str">
        <f t="shared" si="282"/>
        <v/>
      </c>
      <c r="BDC33" t="str">
        <f t="shared" si="282"/>
        <v/>
      </c>
      <c r="BDD33" t="str">
        <f t="shared" si="282"/>
        <v/>
      </c>
      <c r="BDE33" t="str">
        <f t="shared" si="282"/>
        <v/>
      </c>
      <c r="BDF33" t="str">
        <f t="shared" si="282"/>
        <v/>
      </c>
      <c r="BDG33" t="str">
        <f t="shared" si="282"/>
        <v/>
      </c>
      <c r="BDH33" t="str">
        <f t="shared" si="282"/>
        <v/>
      </c>
      <c r="BDI33" t="str">
        <f t="shared" si="282"/>
        <v/>
      </c>
      <c r="BDJ33" t="str">
        <f t="shared" si="282"/>
        <v/>
      </c>
      <c r="BDK33" t="str">
        <f t="shared" si="282"/>
        <v/>
      </c>
      <c r="BDL33" t="str">
        <f t="shared" si="282"/>
        <v/>
      </c>
      <c r="BDM33" t="str">
        <f t="shared" si="282"/>
        <v/>
      </c>
      <c r="BDN33" t="str">
        <f t="shared" si="282"/>
        <v/>
      </c>
      <c r="BDO33" t="str">
        <f t="shared" si="282"/>
        <v/>
      </c>
      <c r="BDP33" t="str">
        <f t="shared" si="282"/>
        <v/>
      </c>
      <c r="BDQ33" t="str">
        <f t="shared" si="282"/>
        <v/>
      </c>
      <c r="BDR33" t="str">
        <f t="shared" si="282"/>
        <v/>
      </c>
      <c r="BDS33" t="str">
        <f t="shared" si="282"/>
        <v/>
      </c>
      <c r="BDT33" t="str">
        <f t="shared" si="282"/>
        <v/>
      </c>
      <c r="BDU33" t="str">
        <f t="shared" si="282"/>
        <v/>
      </c>
      <c r="BDV33" t="str">
        <f t="shared" si="282"/>
        <v/>
      </c>
      <c r="BDW33" t="str">
        <f t="shared" si="282"/>
        <v/>
      </c>
      <c r="BDX33" t="str">
        <f t="shared" si="282"/>
        <v/>
      </c>
      <c r="BDY33" t="str">
        <f t="shared" si="282"/>
        <v/>
      </c>
      <c r="BDZ33" t="str">
        <f t="shared" si="282"/>
        <v/>
      </c>
      <c r="BEA33" t="str">
        <f t="shared" si="282"/>
        <v/>
      </c>
      <c r="BEB33" t="str">
        <f t="shared" si="282"/>
        <v/>
      </c>
      <c r="BEC33" t="str">
        <f t="shared" ref="BEC33:BGN33" si="283">TRIM(BET17)</f>
        <v/>
      </c>
      <c r="BED33" t="str">
        <f t="shared" si="283"/>
        <v/>
      </c>
      <c r="BEE33" t="str">
        <f t="shared" si="283"/>
        <v/>
      </c>
      <c r="BEF33" t="str">
        <f t="shared" si="283"/>
        <v/>
      </c>
      <c r="BEG33" t="str">
        <f t="shared" si="283"/>
        <v/>
      </c>
      <c r="BEH33" t="str">
        <f t="shared" si="283"/>
        <v/>
      </c>
      <c r="BEI33" t="str">
        <f t="shared" si="283"/>
        <v/>
      </c>
      <c r="BEJ33" t="str">
        <f t="shared" si="283"/>
        <v/>
      </c>
      <c r="BEK33" t="str">
        <f t="shared" si="283"/>
        <v/>
      </c>
      <c r="BEL33" t="str">
        <f t="shared" si="283"/>
        <v/>
      </c>
      <c r="BEM33" t="str">
        <f t="shared" si="283"/>
        <v/>
      </c>
      <c r="BEN33" t="str">
        <f t="shared" si="283"/>
        <v/>
      </c>
      <c r="BEO33" t="str">
        <f t="shared" si="283"/>
        <v/>
      </c>
      <c r="BEP33" t="str">
        <f t="shared" si="283"/>
        <v/>
      </c>
      <c r="BEQ33" t="str">
        <f t="shared" si="283"/>
        <v/>
      </c>
      <c r="BER33" t="str">
        <f t="shared" si="283"/>
        <v/>
      </c>
      <c r="BES33" t="str">
        <f t="shared" si="283"/>
        <v/>
      </c>
      <c r="BET33" t="str">
        <f t="shared" si="283"/>
        <v/>
      </c>
      <c r="BEU33" t="str">
        <f t="shared" si="283"/>
        <v/>
      </c>
      <c r="BEV33" t="str">
        <f t="shared" si="283"/>
        <v/>
      </c>
      <c r="BEW33" t="str">
        <f t="shared" si="283"/>
        <v/>
      </c>
      <c r="BEX33" t="str">
        <f t="shared" si="283"/>
        <v/>
      </c>
      <c r="BEY33" t="str">
        <f t="shared" si="283"/>
        <v/>
      </c>
      <c r="BEZ33" t="str">
        <f t="shared" si="283"/>
        <v/>
      </c>
      <c r="BFA33" t="str">
        <f t="shared" si="283"/>
        <v/>
      </c>
      <c r="BFB33" t="str">
        <f t="shared" si="283"/>
        <v/>
      </c>
      <c r="BFC33" t="str">
        <f t="shared" si="283"/>
        <v/>
      </c>
      <c r="BFD33" t="str">
        <f t="shared" si="283"/>
        <v/>
      </c>
      <c r="BFE33" t="str">
        <f t="shared" si="283"/>
        <v/>
      </c>
      <c r="BFF33" t="str">
        <f t="shared" si="283"/>
        <v/>
      </c>
      <c r="BFG33" t="str">
        <f t="shared" si="283"/>
        <v/>
      </c>
      <c r="BFH33" t="str">
        <f t="shared" si="283"/>
        <v/>
      </c>
      <c r="BFI33" t="str">
        <f t="shared" si="283"/>
        <v/>
      </c>
      <c r="BFJ33" t="str">
        <f t="shared" si="283"/>
        <v/>
      </c>
      <c r="BFK33" t="str">
        <f t="shared" si="283"/>
        <v/>
      </c>
      <c r="BFL33" t="str">
        <f t="shared" si="283"/>
        <v/>
      </c>
      <c r="BFM33" t="str">
        <f t="shared" si="283"/>
        <v/>
      </c>
      <c r="BFN33" t="str">
        <f t="shared" si="283"/>
        <v/>
      </c>
      <c r="BFO33" t="str">
        <f t="shared" si="283"/>
        <v/>
      </c>
      <c r="BFP33" t="str">
        <f t="shared" si="283"/>
        <v/>
      </c>
      <c r="BFQ33" t="str">
        <f t="shared" si="283"/>
        <v/>
      </c>
      <c r="BFR33" t="str">
        <f t="shared" si="283"/>
        <v/>
      </c>
      <c r="BFS33" t="str">
        <f t="shared" si="283"/>
        <v/>
      </c>
      <c r="BFT33" t="str">
        <f t="shared" si="283"/>
        <v/>
      </c>
      <c r="BFU33" t="str">
        <f t="shared" si="283"/>
        <v/>
      </c>
      <c r="BFV33" t="str">
        <f t="shared" si="283"/>
        <v/>
      </c>
      <c r="BFW33" t="str">
        <f t="shared" si="283"/>
        <v/>
      </c>
      <c r="BFX33" t="str">
        <f t="shared" si="283"/>
        <v/>
      </c>
      <c r="BFY33" t="str">
        <f t="shared" si="283"/>
        <v/>
      </c>
      <c r="BFZ33" t="str">
        <f t="shared" si="283"/>
        <v/>
      </c>
      <c r="BGA33" t="str">
        <f t="shared" si="283"/>
        <v/>
      </c>
      <c r="BGB33" t="str">
        <f t="shared" si="283"/>
        <v/>
      </c>
      <c r="BGC33" t="str">
        <f t="shared" si="283"/>
        <v/>
      </c>
      <c r="BGD33" t="str">
        <f t="shared" si="283"/>
        <v/>
      </c>
      <c r="BGE33" t="str">
        <f t="shared" si="283"/>
        <v/>
      </c>
      <c r="BGF33" t="str">
        <f t="shared" si="283"/>
        <v/>
      </c>
      <c r="BGG33" t="str">
        <f t="shared" si="283"/>
        <v/>
      </c>
      <c r="BGH33" t="str">
        <f t="shared" si="283"/>
        <v/>
      </c>
      <c r="BGI33" t="str">
        <f t="shared" si="283"/>
        <v/>
      </c>
      <c r="BGJ33" t="str">
        <f t="shared" si="283"/>
        <v/>
      </c>
      <c r="BGK33" t="str">
        <f t="shared" si="283"/>
        <v/>
      </c>
      <c r="BGL33" t="str">
        <f t="shared" si="283"/>
        <v/>
      </c>
      <c r="BGM33" t="str">
        <f t="shared" si="283"/>
        <v/>
      </c>
      <c r="BGN33" t="str">
        <f t="shared" si="283"/>
        <v/>
      </c>
      <c r="BGO33" t="str">
        <f t="shared" ref="BGO33:BIZ33" si="284">TRIM(BHF17)</f>
        <v/>
      </c>
      <c r="BGP33" t="str">
        <f t="shared" si="284"/>
        <v/>
      </c>
      <c r="BGQ33" t="str">
        <f t="shared" si="284"/>
        <v/>
      </c>
      <c r="BGR33" t="str">
        <f t="shared" si="284"/>
        <v/>
      </c>
      <c r="BGS33" t="str">
        <f t="shared" si="284"/>
        <v/>
      </c>
      <c r="BGT33" t="str">
        <f t="shared" si="284"/>
        <v/>
      </c>
      <c r="BGU33" t="str">
        <f t="shared" si="284"/>
        <v/>
      </c>
      <c r="BGV33" t="str">
        <f t="shared" si="284"/>
        <v/>
      </c>
      <c r="BGW33" t="str">
        <f t="shared" si="284"/>
        <v/>
      </c>
      <c r="BGX33" t="str">
        <f t="shared" si="284"/>
        <v/>
      </c>
      <c r="BGY33" t="str">
        <f t="shared" si="284"/>
        <v/>
      </c>
      <c r="BGZ33" t="str">
        <f t="shared" si="284"/>
        <v/>
      </c>
      <c r="BHA33" t="str">
        <f t="shared" si="284"/>
        <v/>
      </c>
      <c r="BHB33" t="str">
        <f t="shared" si="284"/>
        <v/>
      </c>
      <c r="BHC33" t="str">
        <f t="shared" si="284"/>
        <v/>
      </c>
      <c r="BHD33" t="str">
        <f t="shared" si="284"/>
        <v/>
      </c>
      <c r="BHE33" t="str">
        <f t="shared" si="284"/>
        <v/>
      </c>
      <c r="BHF33" t="str">
        <f t="shared" si="284"/>
        <v/>
      </c>
      <c r="BHG33" t="str">
        <f t="shared" si="284"/>
        <v/>
      </c>
      <c r="BHH33" t="str">
        <f t="shared" si="284"/>
        <v/>
      </c>
      <c r="BHI33" t="str">
        <f t="shared" si="284"/>
        <v/>
      </c>
      <c r="BHJ33" t="str">
        <f t="shared" si="284"/>
        <v/>
      </c>
      <c r="BHK33" t="str">
        <f t="shared" si="284"/>
        <v/>
      </c>
      <c r="BHL33" t="str">
        <f t="shared" si="284"/>
        <v/>
      </c>
      <c r="BHM33" t="str">
        <f t="shared" si="284"/>
        <v/>
      </c>
      <c r="BHN33" t="str">
        <f t="shared" si="284"/>
        <v/>
      </c>
      <c r="BHO33" t="str">
        <f t="shared" si="284"/>
        <v/>
      </c>
      <c r="BHP33" t="str">
        <f t="shared" si="284"/>
        <v/>
      </c>
      <c r="BHQ33" t="str">
        <f t="shared" si="284"/>
        <v/>
      </c>
      <c r="BHR33" t="str">
        <f t="shared" si="284"/>
        <v/>
      </c>
      <c r="BHS33" t="str">
        <f t="shared" si="284"/>
        <v/>
      </c>
      <c r="BHT33" t="str">
        <f t="shared" si="284"/>
        <v/>
      </c>
      <c r="BHU33" t="str">
        <f t="shared" si="284"/>
        <v/>
      </c>
      <c r="BHV33" t="str">
        <f t="shared" si="284"/>
        <v/>
      </c>
      <c r="BHW33" t="str">
        <f t="shared" si="284"/>
        <v/>
      </c>
      <c r="BHX33" t="str">
        <f t="shared" si="284"/>
        <v/>
      </c>
      <c r="BHY33" t="str">
        <f t="shared" si="284"/>
        <v/>
      </c>
      <c r="BHZ33" t="str">
        <f t="shared" si="284"/>
        <v/>
      </c>
      <c r="BIA33" t="str">
        <f t="shared" si="284"/>
        <v/>
      </c>
      <c r="BIB33" t="str">
        <f t="shared" si="284"/>
        <v/>
      </c>
      <c r="BIC33" t="str">
        <f t="shared" si="284"/>
        <v/>
      </c>
      <c r="BID33" t="str">
        <f t="shared" si="284"/>
        <v/>
      </c>
      <c r="BIE33" t="str">
        <f t="shared" si="284"/>
        <v/>
      </c>
      <c r="BIF33" t="str">
        <f t="shared" si="284"/>
        <v/>
      </c>
      <c r="BIG33" t="str">
        <f t="shared" si="284"/>
        <v/>
      </c>
      <c r="BIH33" t="str">
        <f t="shared" si="284"/>
        <v/>
      </c>
      <c r="BII33" t="str">
        <f t="shared" si="284"/>
        <v/>
      </c>
      <c r="BIJ33" t="str">
        <f t="shared" si="284"/>
        <v/>
      </c>
      <c r="BIK33" t="str">
        <f t="shared" si="284"/>
        <v/>
      </c>
      <c r="BIL33" t="str">
        <f t="shared" si="284"/>
        <v/>
      </c>
      <c r="BIM33" t="str">
        <f t="shared" si="284"/>
        <v/>
      </c>
      <c r="BIN33" t="str">
        <f t="shared" si="284"/>
        <v/>
      </c>
      <c r="BIO33" t="str">
        <f t="shared" si="284"/>
        <v/>
      </c>
      <c r="BIP33" t="str">
        <f t="shared" si="284"/>
        <v/>
      </c>
      <c r="BIQ33" t="str">
        <f t="shared" si="284"/>
        <v/>
      </c>
      <c r="BIR33" t="str">
        <f t="shared" si="284"/>
        <v/>
      </c>
      <c r="BIS33" t="str">
        <f t="shared" si="284"/>
        <v/>
      </c>
      <c r="BIT33" t="str">
        <f t="shared" si="284"/>
        <v/>
      </c>
      <c r="BIU33" t="str">
        <f t="shared" si="284"/>
        <v/>
      </c>
      <c r="BIV33" t="str">
        <f t="shared" si="284"/>
        <v/>
      </c>
      <c r="BIW33" t="str">
        <f t="shared" si="284"/>
        <v/>
      </c>
      <c r="BIX33" t="str">
        <f t="shared" si="284"/>
        <v/>
      </c>
      <c r="BIY33" t="str">
        <f t="shared" si="284"/>
        <v/>
      </c>
      <c r="BIZ33" t="str">
        <f t="shared" si="284"/>
        <v/>
      </c>
      <c r="BJA33" t="str">
        <f t="shared" ref="BJA33:BLL33" si="285">TRIM(BJR17)</f>
        <v/>
      </c>
      <c r="BJB33" t="str">
        <f t="shared" si="285"/>
        <v/>
      </c>
      <c r="BJC33" t="str">
        <f t="shared" si="285"/>
        <v/>
      </c>
      <c r="BJD33" t="str">
        <f t="shared" si="285"/>
        <v/>
      </c>
      <c r="BJE33" t="str">
        <f t="shared" si="285"/>
        <v/>
      </c>
      <c r="BJF33" t="str">
        <f t="shared" si="285"/>
        <v/>
      </c>
      <c r="BJG33" t="str">
        <f t="shared" si="285"/>
        <v/>
      </c>
      <c r="BJH33" t="str">
        <f t="shared" si="285"/>
        <v/>
      </c>
      <c r="BJI33" t="str">
        <f t="shared" si="285"/>
        <v/>
      </c>
      <c r="BJJ33" t="str">
        <f t="shared" si="285"/>
        <v/>
      </c>
      <c r="BJK33" t="str">
        <f t="shared" si="285"/>
        <v/>
      </c>
      <c r="BJL33" t="str">
        <f t="shared" si="285"/>
        <v/>
      </c>
      <c r="BJM33" t="str">
        <f t="shared" si="285"/>
        <v/>
      </c>
      <c r="BJN33" t="str">
        <f t="shared" si="285"/>
        <v/>
      </c>
      <c r="BJO33" t="str">
        <f t="shared" si="285"/>
        <v/>
      </c>
      <c r="BJP33" t="str">
        <f t="shared" si="285"/>
        <v/>
      </c>
      <c r="BJQ33" t="str">
        <f t="shared" si="285"/>
        <v/>
      </c>
      <c r="BJR33" t="str">
        <f t="shared" si="285"/>
        <v/>
      </c>
      <c r="BJS33" t="str">
        <f t="shared" si="285"/>
        <v/>
      </c>
      <c r="BJT33" t="str">
        <f t="shared" si="285"/>
        <v/>
      </c>
      <c r="BJU33" t="str">
        <f t="shared" si="285"/>
        <v/>
      </c>
      <c r="BJV33" t="str">
        <f t="shared" si="285"/>
        <v/>
      </c>
      <c r="BJW33" t="str">
        <f t="shared" si="285"/>
        <v/>
      </c>
      <c r="BJX33" t="str">
        <f t="shared" si="285"/>
        <v/>
      </c>
      <c r="BJY33" t="str">
        <f t="shared" si="285"/>
        <v/>
      </c>
      <c r="BJZ33" t="str">
        <f t="shared" si="285"/>
        <v/>
      </c>
      <c r="BKA33" t="str">
        <f t="shared" si="285"/>
        <v/>
      </c>
      <c r="BKB33" t="str">
        <f t="shared" si="285"/>
        <v/>
      </c>
      <c r="BKC33" t="str">
        <f t="shared" si="285"/>
        <v/>
      </c>
      <c r="BKD33" t="str">
        <f t="shared" si="285"/>
        <v/>
      </c>
      <c r="BKE33" t="str">
        <f t="shared" si="285"/>
        <v/>
      </c>
      <c r="BKF33" t="str">
        <f t="shared" si="285"/>
        <v/>
      </c>
      <c r="BKG33" t="str">
        <f t="shared" si="285"/>
        <v/>
      </c>
      <c r="BKH33" t="str">
        <f t="shared" si="285"/>
        <v/>
      </c>
      <c r="BKI33" t="str">
        <f t="shared" si="285"/>
        <v/>
      </c>
      <c r="BKJ33" t="str">
        <f t="shared" si="285"/>
        <v/>
      </c>
      <c r="BKK33" t="str">
        <f t="shared" si="285"/>
        <v/>
      </c>
      <c r="BKL33" t="str">
        <f t="shared" si="285"/>
        <v/>
      </c>
      <c r="BKM33" t="str">
        <f t="shared" si="285"/>
        <v/>
      </c>
      <c r="BKN33" t="str">
        <f t="shared" si="285"/>
        <v/>
      </c>
      <c r="BKO33" t="str">
        <f t="shared" si="285"/>
        <v/>
      </c>
      <c r="BKP33" t="str">
        <f t="shared" si="285"/>
        <v/>
      </c>
      <c r="BKQ33" t="str">
        <f t="shared" si="285"/>
        <v/>
      </c>
      <c r="BKR33" t="str">
        <f t="shared" si="285"/>
        <v/>
      </c>
      <c r="BKS33" t="str">
        <f t="shared" si="285"/>
        <v/>
      </c>
      <c r="BKT33" t="str">
        <f t="shared" si="285"/>
        <v/>
      </c>
      <c r="BKU33" t="str">
        <f t="shared" si="285"/>
        <v/>
      </c>
      <c r="BKV33" t="str">
        <f t="shared" si="285"/>
        <v/>
      </c>
      <c r="BKW33" t="str">
        <f t="shared" si="285"/>
        <v/>
      </c>
      <c r="BKX33" t="str">
        <f t="shared" si="285"/>
        <v/>
      </c>
      <c r="BKY33" t="str">
        <f t="shared" si="285"/>
        <v/>
      </c>
      <c r="BKZ33" t="str">
        <f t="shared" si="285"/>
        <v/>
      </c>
      <c r="BLA33" t="str">
        <f t="shared" si="285"/>
        <v/>
      </c>
      <c r="BLB33" t="str">
        <f t="shared" si="285"/>
        <v/>
      </c>
      <c r="BLC33" t="str">
        <f t="shared" si="285"/>
        <v/>
      </c>
      <c r="BLD33" t="str">
        <f t="shared" si="285"/>
        <v/>
      </c>
      <c r="BLE33" t="str">
        <f t="shared" si="285"/>
        <v/>
      </c>
      <c r="BLF33" t="str">
        <f t="shared" si="285"/>
        <v/>
      </c>
      <c r="BLG33" t="str">
        <f t="shared" si="285"/>
        <v/>
      </c>
      <c r="BLH33" t="str">
        <f t="shared" si="285"/>
        <v/>
      </c>
      <c r="BLI33" t="str">
        <f t="shared" si="285"/>
        <v/>
      </c>
      <c r="BLJ33" t="str">
        <f t="shared" si="285"/>
        <v/>
      </c>
      <c r="BLK33" t="str">
        <f t="shared" si="285"/>
        <v/>
      </c>
      <c r="BLL33" t="str">
        <f t="shared" si="285"/>
        <v/>
      </c>
      <c r="BLM33" t="str">
        <f t="shared" ref="BLM33:BNX33" si="286">TRIM(BMD17)</f>
        <v/>
      </c>
      <c r="BLN33" t="str">
        <f t="shared" si="286"/>
        <v/>
      </c>
      <c r="BLO33" t="str">
        <f t="shared" si="286"/>
        <v/>
      </c>
      <c r="BLP33" t="str">
        <f t="shared" si="286"/>
        <v/>
      </c>
      <c r="BLQ33" t="str">
        <f t="shared" si="286"/>
        <v/>
      </c>
      <c r="BLR33" t="str">
        <f t="shared" si="286"/>
        <v/>
      </c>
      <c r="BLS33" t="str">
        <f t="shared" si="286"/>
        <v/>
      </c>
      <c r="BLT33" t="str">
        <f t="shared" si="286"/>
        <v/>
      </c>
      <c r="BLU33" t="str">
        <f t="shared" si="286"/>
        <v/>
      </c>
      <c r="BLV33" t="str">
        <f t="shared" si="286"/>
        <v/>
      </c>
      <c r="BLW33" t="str">
        <f t="shared" si="286"/>
        <v/>
      </c>
      <c r="BLX33" t="str">
        <f t="shared" si="286"/>
        <v/>
      </c>
      <c r="BLY33" t="str">
        <f t="shared" si="286"/>
        <v/>
      </c>
      <c r="BLZ33" t="str">
        <f t="shared" si="286"/>
        <v/>
      </c>
      <c r="BMA33" t="str">
        <f t="shared" si="286"/>
        <v/>
      </c>
      <c r="BMB33" t="str">
        <f t="shared" si="286"/>
        <v/>
      </c>
      <c r="BMC33" t="str">
        <f t="shared" si="286"/>
        <v/>
      </c>
      <c r="BMD33" t="str">
        <f t="shared" si="286"/>
        <v/>
      </c>
      <c r="BME33" t="str">
        <f t="shared" si="286"/>
        <v/>
      </c>
      <c r="BMF33" t="str">
        <f t="shared" si="286"/>
        <v/>
      </c>
      <c r="BMG33" t="str">
        <f t="shared" si="286"/>
        <v/>
      </c>
      <c r="BMH33" t="str">
        <f t="shared" si="286"/>
        <v/>
      </c>
      <c r="BMI33" t="str">
        <f t="shared" si="286"/>
        <v/>
      </c>
      <c r="BMJ33" t="str">
        <f t="shared" si="286"/>
        <v/>
      </c>
      <c r="BMK33" t="str">
        <f t="shared" si="286"/>
        <v/>
      </c>
      <c r="BML33" t="str">
        <f t="shared" si="286"/>
        <v/>
      </c>
      <c r="BMM33" t="str">
        <f t="shared" si="286"/>
        <v/>
      </c>
      <c r="BMN33" t="str">
        <f t="shared" si="286"/>
        <v/>
      </c>
      <c r="BMO33" t="str">
        <f t="shared" si="286"/>
        <v/>
      </c>
      <c r="BMP33" t="str">
        <f t="shared" si="286"/>
        <v/>
      </c>
      <c r="BMQ33" t="str">
        <f t="shared" si="286"/>
        <v/>
      </c>
      <c r="BMR33" t="str">
        <f t="shared" si="286"/>
        <v/>
      </c>
      <c r="BMS33" t="str">
        <f t="shared" si="286"/>
        <v/>
      </c>
      <c r="BMT33" t="str">
        <f t="shared" si="286"/>
        <v/>
      </c>
      <c r="BMU33" t="str">
        <f t="shared" si="286"/>
        <v/>
      </c>
      <c r="BMV33" t="str">
        <f t="shared" si="286"/>
        <v/>
      </c>
      <c r="BMW33" t="str">
        <f t="shared" si="286"/>
        <v/>
      </c>
      <c r="BMX33" t="str">
        <f t="shared" si="286"/>
        <v/>
      </c>
      <c r="BMY33" t="str">
        <f t="shared" si="286"/>
        <v/>
      </c>
      <c r="BMZ33" t="str">
        <f t="shared" si="286"/>
        <v/>
      </c>
      <c r="BNA33" t="str">
        <f t="shared" si="286"/>
        <v/>
      </c>
      <c r="BNB33" t="str">
        <f t="shared" si="286"/>
        <v/>
      </c>
      <c r="BNC33" t="str">
        <f t="shared" si="286"/>
        <v/>
      </c>
      <c r="BND33" t="str">
        <f t="shared" si="286"/>
        <v/>
      </c>
      <c r="BNE33" t="str">
        <f t="shared" si="286"/>
        <v/>
      </c>
      <c r="BNF33" t="str">
        <f t="shared" si="286"/>
        <v/>
      </c>
      <c r="BNG33" t="str">
        <f t="shared" si="286"/>
        <v/>
      </c>
      <c r="BNH33" t="str">
        <f t="shared" si="286"/>
        <v/>
      </c>
      <c r="BNI33" t="str">
        <f t="shared" si="286"/>
        <v/>
      </c>
      <c r="BNJ33" t="str">
        <f t="shared" si="286"/>
        <v/>
      </c>
      <c r="BNK33" t="str">
        <f t="shared" si="286"/>
        <v/>
      </c>
      <c r="BNL33" t="str">
        <f t="shared" si="286"/>
        <v/>
      </c>
      <c r="BNM33" t="str">
        <f t="shared" si="286"/>
        <v/>
      </c>
      <c r="BNN33" t="str">
        <f t="shared" si="286"/>
        <v/>
      </c>
      <c r="BNO33" t="str">
        <f t="shared" si="286"/>
        <v/>
      </c>
      <c r="BNP33" t="str">
        <f t="shared" si="286"/>
        <v/>
      </c>
      <c r="BNQ33" t="str">
        <f t="shared" si="286"/>
        <v/>
      </c>
      <c r="BNR33" t="str">
        <f t="shared" si="286"/>
        <v/>
      </c>
      <c r="BNS33" t="str">
        <f t="shared" si="286"/>
        <v/>
      </c>
      <c r="BNT33" t="str">
        <f t="shared" si="286"/>
        <v/>
      </c>
      <c r="BNU33" t="str">
        <f t="shared" si="286"/>
        <v/>
      </c>
      <c r="BNV33" t="str">
        <f t="shared" si="286"/>
        <v/>
      </c>
      <c r="BNW33" t="str">
        <f t="shared" si="286"/>
        <v/>
      </c>
      <c r="BNX33" t="str">
        <f t="shared" si="286"/>
        <v/>
      </c>
      <c r="BNY33" t="str">
        <f t="shared" ref="BNY33:BQJ33" si="287">TRIM(BOP17)</f>
        <v/>
      </c>
      <c r="BNZ33" t="str">
        <f t="shared" si="287"/>
        <v/>
      </c>
      <c r="BOA33" t="str">
        <f t="shared" si="287"/>
        <v/>
      </c>
      <c r="BOB33" t="str">
        <f t="shared" si="287"/>
        <v/>
      </c>
      <c r="BOC33" t="str">
        <f t="shared" si="287"/>
        <v/>
      </c>
      <c r="BOD33" t="str">
        <f t="shared" si="287"/>
        <v/>
      </c>
      <c r="BOE33" t="str">
        <f t="shared" si="287"/>
        <v/>
      </c>
      <c r="BOF33" t="str">
        <f t="shared" si="287"/>
        <v/>
      </c>
      <c r="BOG33" t="str">
        <f t="shared" si="287"/>
        <v/>
      </c>
      <c r="BOH33" t="str">
        <f t="shared" si="287"/>
        <v/>
      </c>
      <c r="BOI33" t="str">
        <f t="shared" si="287"/>
        <v/>
      </c>
      <c r="BOJ33" t="str">
        <f t="shared" si="287"/>
        <v/>
      </c>
      <c r="BOK33" t="str">
        <f t="shared" si="287"/>
        <v/>
      </c>
      <c r="BOL33" t="str">
        <f t="shared" si="287"/>
        <v/>
      </c>
      <c r="BOM33" t="str">
        <f t="shared" si="287"/>
        <v/>
      </c>
      <c r="BON33" t="str">
        <f t="shared" si="287"/>
        <v/>
      </c>
      <c r="BOO33" t="str">
        <f t="shared" si="287"/>
        <v/>
      </c>
      <c r="BOP33" t="str">
        <f t="shared" si="287"/>
        <v/>
      </c>
      <c r="BOQ33" t="str">
        <f t="shared" si="287"/>
        <v/>
      </c>
      <c r="BOR33" t="str">
        <f t="shared" si="287"/>
        <v/>
      </c>
      <c r="BOS33" t="str">
        <f t="shared" si="287"/>
        <v/>
      </c>
      <c r="BOT33" t="str">
        <f t="shared" si="287"/>
        <v/>
      </c>
      <c r="BOU33" t="str">
        <f t="shared" si="287"/>
        <v/>
      </c>
      <c r="BOV33" t="str">
        <f t="shared" si="287"/>
        <v/>
      </c>
      <c r="BOW33" t="str">
        <f t="shared" si="287"/>
        <v/>
      </c>
      <c r="BOX33" t="str">
        <f t="shared" si="287"/>
        <v/>
      </c>
      <c r="BOY33" t="str">
        <f t="shared" si="287"/>
        <v/>
      </c>
      <c r="BOZ33" t="str">
        <f t="shared" si="287"/>
        <v/>
      </c>
      <c r="BPA33" t="str">
        <f t="shared" si="287"/>
        <v/>
      </c>
      <c r="BPB33" t="str">
        <f t="shared" si="287"/>
        <v/>
      </c>
      <c r="BPC33" t="str">
        <f t="shared" si="287"/>
        <v/>
      </c>
      <c r="BPD33" t="str">
        <f t="shared" si="287"/>
        <v/>
      </c>
      <c r="BPE33" t="str">
        <f t="shared" si="287"/>
        <v/>
      </c>
      <c r="BPF33" t="str">
        <f t="shared" si="287"/>
        <v/>
      </c>
      <c r="BPG33" t="str">
        <f t="shared" si="287"/>
        <v/>
      </c>
      <c r="BPH33" t="str">
        <f t="shared" si="287"/>
        <v/>
      </c>
      <c r="BPI33" t="str">
        <f t="shared" si="287"/>
        <v/>
      </c>
      <c r="BPJ33" t="str">
        <f t="shared" si="287"/>
        <v/>
      </c>
      <c r="BPK33" t="str">
        <f t="shared" si="287"/>
        <v/>
      </c>
      <c r="BPL33" t="str">
        <f t="shared" si="287"/>
        <v/>
      </c>
      <c r="BPM33" t="str">
        <f t="shared" si="287"/>
        <v/>
      </c>
      <c r="BPN33" t="str">
        <f t="shared" si="287"/>
        <v/>
      </c>
      <c r="BPO33" t="str">
        <f t="shared" si="287"/>
        <v/>
      </c>
      <c r="BPP33" t="str">
        <f t="shared" si="287"/>
        <v/>
      </c>
      <c r="BPQ33" t="str">
        <f t="shared" si="287"/>
        <v/>
      </c>
      <c r="BPR33" t="str">
        <f t="shared" si="287"/>
        <v/>
      </c>
      <c r="BPS33" t="str">
        <f t="shared" si="287"/>
        <v/>
      </c>
      <c r="BPT33" t="str">
        <f t="shared" si="287"/>
        <v/>
      </c>
      <c r="BPU33" t="str">
        <f t="shared" si="287"/>
        <v/>
      </c>
      <c r="BPV33" t="str">
        <f t="shared" si="287"/>
        <v/>
      </c>
      <c r="BPW33" t="str">
        <f t="shared" si="287"/>
        <v/>
      </c>
      <c r="BPX33" t="str">
        <f t="shared" si="287"/>
        <v/>
      </c>
      <c r="BPY33" t="str">
        <f t="shared" si="287"/>
        <v/>
      </c>
      <c r="BPZ33" t="str">
        <f t="shared" si="287"/>
        <v/>
      </c>
      <c r="BQA33" t="str">
        <f t="shared" si="287"/>
        <v/>
      </c>
      <c r="BQB33" t="str">
        <f t="shared" si="287"/>
        <v/>
      </c>
      <c r="BQC33" t="str">
        <f t="shared" si="287"/>
        <v/>
      </c>
      <c r="BQD33" t="str">
        <f t="shared" si="287"/>
        <v/>
      </c>
      <c r="BQE33" t="str">
        <f t="shared" si="287"/>
        <v/>
      </c>
      <c r="BQF33" t="str">
        <f t="shared" si="287"/>
        <v/>
      </c>
      <c r="BQG33" t="str">
        <f t="shared" si="287"/>
        <v/>
      </c>
      <c r="BQH33" t="str">
        <f t="shared" si="287"/>
        <v/>
      </c>
      <c r="BQI33" t="str">
        <f t="shared" si="287"/>
        <v/>
      </c>
      <c r="BQJ33" t="str">
        <f t="shared" si="287"/>
        <v/>
      </c>
      <c r="BQK33" t="str">
        <f t="shared" ref="BQK33:BSV33" si="288">TRIM(BRB17)</f>
        <v/>
      </c>
      <c r="BQL33" t="str">
        <f t="shared" si="288"/>
        <v/>
      </c>
      <c r="BQM33" t="str">
        <f t="shared" si="288"/>
        <v/>
      </c>
      <c r="BQN33" t="str">
        <f t="shared" si="288"/>
        <v/>
      </c>
      <c r="BQO33" t="str">
        <f t="shared" si="288"/>
        <v/>
      </c>
      <c r="BQP33" t="str">
        <f t="shared" si="288"/>
        <v/>
      </c>
      <c r="BQQ33" t="str">
        <f t="shared" si="288"/>
        <v/>
      </c>
      <c r="BQR33" t="str">
        <f t="shared" si="288"/>
        <v/>
      </c>
      <c r="BQS33" t="str">
        <f t="shared" si="288"/>
        <v/>
      </c>
      <c r="BQT33" t="str">
        <f t="shared" si="288"/>
        <v/>
      </c>
      <c r="BQU33" t="str">
        <f t="shared" si="288"/>
        <v/>
      </c>
      <c r="BQV33" t="str">
        <f t="shared" si="288"/>
        <v/>
      </c>
      <c r="BQW33" t="str">
        <f t="shared" si="288"/>
        <v/>
      </c>
      <c r="BQX33" t="str">
        <f t="shared" si="288"/>
        <v/>
      </c>
      <c r="BQY33" t="str">
        <f t="shared" si="288"/>
        <v/>
      </c>
      <c r="BQZ33" t="str">
        <f t="shared" si="288"/>
        <v/>
      </c>
      <c r="BRA33" t="str">
        <f t="shared" si="288"/>
        <v/>
      </c>
      <c r="BRB33" t="str">
        <f t="shared" si="288"/>
        <v/>
      </c>
      <c r="BRC33" t="str">
        <f t="shared" si="288"/>
        <v/>
      </c>
      <c r="BRD33" t="str">
        <f t="shared" si="288"/>
        <v/>
      </c>
      <c r="BRE33" t="str">
        <f t="shared" si="288"/>
        <v/>
      </c>
      <c r="BRF33" t="str">
        <f t="shared" si="288"/>
        <v/>
      </c>
      <c r="BRG33" t="str">
        <f t="shared" si="288"/>
        <v/>
      </c>
      <c r="BRH33" t="str">
        <f t="shared" si="288"/>
        <v/>
      </c>
      <c r="BRI33" t="str">
        <f t="shared" si="288"/>
        <v/>
      </c>
      <c r="BRJ33" t="str">
        <f t="shared" si="288"/>
        <v/>
      </c>
      <c r="BRK33" t="str">
        <f t="shared" si="288"/>
        <v/>
      </c>
      <c r="BRL33" t="str">
        <f t="shared" si="288"/>
        <v/>
      </c>
      <c r="BRM33" t="str">
        <f t="shared" si="288"/>
        <v/>
      </c>
      <c r="BRN33" t="str">
        <f t="shared" si="288"/>
        <v/>
      </c>
      <c r="BRO33" t="str">
        <f t="shared" si="288"/>
        <v/>
      </c>
      <c r="BRP33" t="str">
        <f t="shared" si="288"/>
        <v/>
      </c>
      <c r="BRQ33" t="str">
        <f t="shared" si="288"/>
        <v/>
      </c>
      <c r="BRR33" t="str">
        <f t="shared" si="288"/>
        <v/>
      </c>
      <c r="BRS33" t="str">
        <f t="shared" si="288"/>
        <v/>
      </c>
      <c r="BRT33" t="str">
        <f t="shared" si="288"/>
        <v/>
      </c>
      <c r="BRU33" t="str">
        <f t="shared" si="288"/>
        <v/>
      </c>
      <c r="BRV33" t="str">
        <f t="shared" si="288"/>
        <v/>
      </c>
      <c r="BRW33" t="str">
        <f t="shared" si="288"/>
        <v/>
      </c>
      <c r="BRX33" t="str">
        <f t="shared" si="288"/>
        <v/>
      </c>
      <c r="BRY33" t="str">
        <f t="shared" si="288"/>
        <v/>
      </c>
      <c r="BRZ33" t="str">
        <f t="shared" si="288"/>
        <v/>
      </c>
      <c r="BSA33" t="str">
        <f t="shared" si="288"/>
        <v/>
      </c>
      <c r="BSB33" t="str">
        <f t="shared" si="288"/>
        <v/>
      </c>
      <c r="BSC33" t="str">
        <f t="shared" si="288"/>
        <v/>
      </c>
      <c r="BSD33" t="str">
        <f t="shared" si="288"/>
        <v/>
      </c>
      <c r="BSE33" t="str">
        <f t="shared" si="288"/>
        <v/>
      </c>
      <c r="BSF33" t="str">
        <f t="shared" si="288"/>
        <v/>
      </c>
      <c r="BSG33" t="str">
        <f t="shared" si="288"/>
        <v/>
      </c>
      <c r="BSH33" t="str">
        <f t="shared" si="288"/>
        <v/>
      </c>
      <c r="BSI33" t="str">
        <f t="shared" si="288"/>
        <v/>
      </c>
      <c r="BSJ33" t="str">
        <f t="shared" si="288"/>
        <v/>
      </c>
      <c r="BSK33" t="str">
        <f t="shared" si="288"/>
        <v/>
      </c>
      <c r="BSL33" t="str">
        <f t="shared" si="288"/>
        <v/>
      </c>
      <c r="BSM33" t="str">
        <f t="shared" si="288"/>
        <v/>
      </c>
      <c r="BSN33" t="str">
        <f t="shared" si="288"/>
        <v/>
      </c>
      <c r="BSO33" t="str">
        <f t="shared" si="288"/>
        <v/>
      </c>
      <c r="BSP33" t="str">
        <f t="shared" si="288"/>
        <v/>
      </c>
      <c r="BSQ33" t="str">
        <f t="shared" si="288"/>
        <v/>
      </c>
      <c r="BSR33" t="str">
        <f t="shared" si="288"/>
        <v/>
      </c>
      <c r="BSS33" t="str">
        <f t="shared" si="288"/>
        <v/>
      </c>
      <c r="BST33" t="str">
        <f t="shared" si="288"/>
        <v/>
      </c>
      <c r="BSU33" t="str">
        <f t="shared" si="288"/>
        <v/>
      </c>
      <c r="BSV33" t="str">
        <f t="shared" si="288"/>
        <v/>
      </c>
      <c r="BSW33" t="str">
        <f t="shared" ref="BSW33:BVH33" si="289">TRIM(BTN17)</f>
        <v/>
      </c>
      <c r="BSX33" t="str">
        <f t="shared" si="289"/>
        <v/>
      </c>
      <c r="BSY33" t="str">
        <f t="shared" si="289"/>
        <v/>
      </c>
      <c r="BSZ33" t="str">
        <f t="shared" si="289"/>
        <v/>
      </c>
      <c r="BTA33" t="str">
        <f t="shared" si="289"/>
        <v/>
      </c>
      <c r="BTB33" t="str">
        <f t="shared" si="289"/>
        <v/>
      </c>
      <c r="BTC33" t="str">
        <f t="shared" si="289"/>
        <v/>
      </c>
      <c r="BTD33" t="str">
        <f t="shared" si="289"/>
        <v/>
      </c>
      <c r="BTE33" t="str">
        <f t="shared" si="289"/>
        <v/>
      </c>
      <c r="BTF33" t="str">
        <f t="shared" si="289"/>
        <v/>
      </c>
      <c r="BTG33" t="str">
        <f t="shared" si="289"/>
        <v/>
      </c>
      <c r="BTH33" t="str">
        <f t="shared" si="289"/>
        <v/>
      </c>
      <c r="BTI33" t="str">
        <f t="shared" si="289"/>
        <v/>
      </c>
      <c r="BTJ33" t="str">
        <f t="shared" si="289"/>
        <v/>
      </c>
      <c r="BTK33" t="str">
        <f t="shared" si="289"/>
        <v/>
      </c>
      <c r="BTL33" t="str">
        <f t="shared" si="289"/>
        <v/>
      </c>
      <c r="BTM33" t="str">
        <f t="shared" si="289"/>
        <v/>
      </c>
      <c r="BTN33" t="str">
        <f t="shared" si="289"/>
        <v/>
      </c>
      <c r="BTO33" t="str">
        <f t="shared" si="289"/>
        <v/>
      </c>
      <c r="BTP33" t="str">
        <f t="shared" si="289"/>
        <v/>
      </c>
      <c r="BTQ33" t="str">
        <f t="shared" si="289"/>
        <v/>
      </c>
      <c r="BTR33" t="str">
        <f t="shared" si="289"/>
        <v/>
      </c>
      <c r="BTS33" t="str">
        <f t="shared" si="289"/>
        <v/>
      </c>
      <c r="BTT33" t="str">
        <f t="shared" si="289"/>
        <v/>
      </c>
      <c r="BTU33" t="str">
        <f t="shared" si="289"/>
        <v/>
      </c>
      <c r="BTV33" t="str">
        <f t="shared" si="289"/>
        <v/>
      </c>
      <c r="BTW33" t="str">
        <f t="shared" si="289"/>
        <v/>
      </c>
      <c r="BTX33" t="str">
        <f t="shared" si="289"/>
        <v/>
      </c>
      <c r="BTY33" t="str">
        <f t="shared" si="289"/>
        <v/>
      </c>
      <c r="BTZ33" t="str">
        <f t="shared" si="289"/>
        <v/>
      </c>
      <c r="BUA33" t="str">
        <f t="shared" si="289"/>
        <v/>
      </c>
      <c r="BUB33" t="str">
        <f t="shared" si="289"/>
        <v/>
      </c>
      <c r="BUC33" t="str">
        <f t="shared" si="289"/>
        <v/>
      </c>
      <c r="BUD33" t="str">
        <f t="shared" si="289"/>
        <v/>
      </c>
      <c r="BUE33" t="str">
        <f t="shared" si="289"/>
        <v/>
      </c>
      <c r="BUF33" t="str">
        <f t="shared" si="289"/>
        <v/>
      </c>
      <c r="BUG33" t="str">
        <f t="shared" si="289"/>
        <v/>
      </c>
      <c r="BUH33" t="str">
        <f t="shared" si="289"/>
        <v/>
      </c>
      <c r="BUI33" t="str">
        <f t="shared" si="289"/>
        <v/>
      </c>
      <c r="BUJ33" t="str">
        <f t="shared" si="289"/>
        <v/>
      </c>
      <c r="BUK33" t="str">
        <f t="shared" si="289"/>
        <v/>
      </c>
      <c r="BUL33" t="str">
        <f t="shared" si="289"/>
        <v/>
      </c>
      <c r="BUM33" t="str">
        <f t="shared" si="289"/>
        <v/>
      </c>
      <c r="BUN33" t="str">
        <f t="shared" si="289"/>
        <v/>
      </c>
      <c r="BUO33" t="str">
        <f t="shared" si="289"/>
        <v/>
      </c>
      <c r="BUP33" t="str">
        <f t="shared" si="289"/>
        <v/>
      </c>
      <c r="BUQ33" t="str">
        <f t="shared" si="289"/>
        <v/>
      </c>
      <c r="BUR33" t="str">
        <f t="shared" si="289"/>
        <v/>
      </c>
      <c r="BUS33" t="str">
        <f t="shared" si="289"/>
        <v/>
      </c>
      <c r="BUT33" t="str">
        <f t="shared" si="289"/>
        <v/>
      </c>
      <c r="BUU33" t="str">
        <f t="shared" si="289"/>
        <v/>
      </c>
      <c r="BUV33" t="str">
        <f t="shared" si="289"/>
        <v/>
      </c>
      <c r="BUW33" t="str">
        <f t="shared" si="289"/>
        <v/>
      </c>
      <c r="BUX33" t="str">
        <f t="shared" si="289"/>
        <v/>
      </c>
      <c r="BUY33" t="str">
        <f t="shared" si="289"/>
        <v/>
      </c>
      <c r="BUZ33" t="str">
        <f t="shared" si="289"/>
        <v/>
      </c>
      <c r="BVA33" t="str">
        <f t="shared" si="289"/>
        <v/>
      </c>
      <c r="BVB33" t="str">
        <f t="shared" si="289"/>
        <v/>
      </c>
      <c r="BVC33" t="str">
        <f t="shared" si="289"/>
        <v/>
      </c>
      <c r="BVD33" t="str">
        <f t="shared" si="289"/>
        <v/>
      </c>
      <c r="BVE33" t="str">
        <f t="shared" si="289"/>
        <v/>
      </c>
      <c r="BVF33" t="str">
        <f t="shared" si="289"/>
        <v/>
      </c>
      <c r="BVG33" t="str">
        <f t="shared" si="289"/>
        <v/>
      </c>
      <c r="BVH33" t="str">
        <f t="shared" si="289"/>
        <v/>
      </c>
      <c r="BVI33" t="str">
        <f t="shared" ref="BVI33:BXT33" si="290">TRIM(BVZ17)</f>
        <v/>
      </c>
      <c r="BVJ33" t="str">
        <f t="shared" si="290"/>
        <v/>
      </c>
      <c r="BVK33" t="str">
        <f t="shared" si="290"/>
        <v/>
      </c>
      <c r="BVL33" t="str">
        <f t="shared" si="290"/>
        <v/>
      </c>
      <c r="BVM33" t="str">
        <f t="shared" si="290"/>
        <v/>
      </c>
      <c r="BVN33" t="str">
        <f t="shared" si="290"/>
        <v/>
      </c>
      <c r="BVO33" t="str">
        <f t="shared" si="290"/>
        <v/>
      </c>
      <c r="BVP33" t="str">
        <f t="shared" si="290"/>
        <v/>
      </c>
      <c r="BVQ33" t="str">
        <f t="shared" si="290"/>
        <v/>
      </c>
      <c r="BVR33" t="str">
        <f t="shared" si="290"/>
        <v/>
      </c>
      <c r="BVS33" t="str">
        <f t="shared" si="290"/>
        <v/>
      </c>
      <c r="BVT33" t="str">
        <f t="shared" si="290"/>
        <v/>
      </c>
      <c r="BVU33" t="str">
        <f t="shared" si="290"/>
        <v/>
      </c>
      <c r="BVV33" t="str">
        <f t="shared" si="290"/>
        <v/>
      </c>
      <c r="BVW33" t="str">
        <f t="shared" si="290"/>
        <v/>
      </c>
      <c r="BVX33" t="str">
        <f t="shared" si="290"/>
        <v/>
      </c>
      <c r="BVY33" t="str">
        <f t="shared" si="290"/>
        <v/>
      </c>
      <c r="BVZ33" t="str">
        <f t="shared" si="290"/>
        <v/>
      </c>
      <c r="BWA33" t="str">
        <f t="shared" si="290"/>
        <v/>
      </c>
      <c r="BWB33" t="str">
        <f t="shared" si="290"/>
        <v/>
      </c>
      <c r="BWC33" t="str">
        <f t="shared" si="290"/>
        <v/>
      </c>
      <c r="BWD33" t="str">
        <f t="shared" si="290"/>
        <v/>
      </c>
      <c r="BWE33" t="str">
        <f t="shared" si="290"/>
        <v/>
      </c>
      <c r="BWF33" t="str">
        <f t="shared" si="290"/>
        <v/>
      </c>
      <c r="BWG33" t="str">
        <f t="shared" si="290"/>
        <v/>
      </c>
      <c r="BWH33" t="str">
        <f t="shared" si="290"/>
        <v/>
      </c>
      <c r="BWI33" t="str">
        <f t="shared" si="290"/>
        <v/>
      </c>
      <c r="BWJ33" t="str">
        <f t="shared" si="290"/>
        <v/>
      </c>
      <c r="BWK33" t="str">
        <f t="shared" si="290"/>
        <v/>
      </c>
      <c r="BWL33" t="str">
        <f t="shared" si="290"/>
        <v/>
      </c>
      <c r="BWM33" t="str">
        <f t="shared" si="290"/>
        <v/>
      </c>
      <c r="BWN33" t="str">
        <f t="shared" si="290"/>
        <v/>
      </c>
      <c r="BWO33" t="str">
        <f t="shared" si="290"/>
        <v/>
      </c>
      <c r="BWP33" t="str">
        <f t="shared" si="290"/>
        <v/>
      </c>
      <c r="BWQ33" t="str">
        <f t="shared" si="290"/>
        <v/>
      </c>
      <c r="BWR33" t="str">
        <f t="shared" si="290"/>
        <v/>
      </c>
      <c r="BWS33" t="str">
        <f t="shared" si="290"/>
        <v/>
      </c>
      <c r="BWT33" t="str">
        <f t="shared" si="290"/>
        <v/>
      </c>
      <c r="BWU33" t="str">
        <f t="shared" si="290"/>
        <v/>
      </c>
      <c r="BWV33" t="str">
        <f t="shared" si="290"/>
        <v/>
      </c>
      <c r="BWW33" t="str">
        <f t="shared" si="290"/>
        <v/>
      </c>
      <c r="BWX33" t="str">
        <f t="shared" si="290"/>
        <v/>
      </c>
      <c r="BWY33" t="str">
        <f t="shared" si="290"/>
        <v/>
      </c>
      <c r="BWZ33" t="str">
        <f t="shared" si="290"/>
        <v/>
      </c>
      <c r="BXA33" t="str">
        <f t="shared" si="290"/>
        <v/>
      </c>
      <c r="BXB33" t="str">
        <f t="shared" si="290"/>
        <v/>
      </c>
      <c r="BXC33" t="str">
        <f t="shared" si="290"/>
        <v/>
      </c>
      <c r="BXD33" t="str">
        <f t="shared" si="290"/>
        <v/>
      </c>
      <c r="BXE33" t="str">
        <f t="shared" si="290"/>
        <v/>
      </c>
      <c r="BXF33" t="str">
        <f t="shared" si="290"/>
        <v/>
      </c>
      <c r="BXG33" t="str">
        <f t="shared" si="290"/>
        <v/>
      </c>
      <c r="BXH33" t="str">
        <f t="shared" si="290"/>
        <v/>
      </c>
      <c r="BXI33" t="str">
        <f t="shared" si="290"/>
        <v/>
      </c>
      <c r="BXJ33" t="str">
        <f t="shared" si="290"/>
        <v/>
      </c>
      <c r="BXK33" t="str">
        <f t="shared" si="290"/>
        <v/>
      </c>
      <c r="BXL33" t="str">
        <f t="shared" si="290"/>
        <v/>
      </c>
      <c r="BXM33" t="str">
        <f t="shared" si="290"/>
        <v/>
      </c>
      <c r="BXN33" t="str">
        <f t="shared" si="290"/>
        <v/>
      </c>
      <c r="BXO33" t="str">
        <f t="shared" si="290"/>
        <v/>
      </c>
      <c r="BXP33" t="str">
        <f t="shared" si="290"/>
        <v/>
      </c>
      <c r="BXQ33" t="str">
        <f t="shared" si="290"/>
        <v/>
      </c>
      <c r="BXR33" t="str">
        <f t="shared" si="290"/>
        <v/>
      </c>
      <c r="BXS33" t="str">
        <f t="shared" si="290"/>
        <v/>
      </c>
      <c r="BXT33" t="str">
        <f t="shared" si="290"/>
        <v/>
      </c>
      <c r="BXU33" t="str">
        <f t="shared" ref="BXU33:CAF33" si="291">TRIM(BYL17)</f>
        <v/>
      </c>
      <c r="BXV33" t="str">
        <f t="shared" si="291"/>
        <v/>
      </c>
      <c r="BXW33" t="str">
        <f t="shared" si="291"/>
        <v/>
      </c>
      <c r="BXX33" t="str">
        <f t="shared" si="291"/>
        <v/>
      </c>
      <c r="BXY33" t="str">
        <f t="shared" si="291"/>
        <v/>
      </c>
      <c r="BXZ33" t="str">
        <f t="shared" si="291"/>
        <v/>
      </c>
      <c r="BYA33" t="str">
        <f t="shared" si="291"/>
        <v/>
      </c>
      <c r="BYB33" t="str">
        <f t="shared" si="291"/>
        <v/>
      </c>
      <c r="BYC33" t="str">
        <f t="shared" si="291"/>
        <v/>
      </c>
      <c r="BYD33" t="str">
        <f t="shared" si="291"/>
        <v/>
      </c>
      <c r="BYE33" t="str">
        <f t="shared" si="291"/>
        <v/>
      </c>
      <c r="BYF33" t="str">
        <f t="shared" si="291"/>
        <v/>
      </c>
      <c r="BYG33" t="str">
        <f t="shared" si="291"/>
        <v/>
      </c>
      <c r="BYH33" t="str">
        <f t="shared" si="291"/>
        <v/>
      </c>
      <c r="BYI33" t="str">
        <f t="shared" si="291"/>
        <v/>
      </c>
      <c r="BYJ33" t="str">
        <f t="shared" si="291"/>
        <v/>
      </c>
      <c r="BYK33" t="str">
        <f t="shared" si="291"/>
        <v/>
      </c>
      <c r="BYL33" t="str">
        <f t="shared" si="291"/>
        <v/>
      </c>
      <c r="BYM33" t="str">
        <f t="shared" si="291"/>
        <v/>
      </c>
      <c r="BYN33" t="str">
        <f t="shared" si="291"/>
        <v/>
      </c>
      <c r="BYO33" t="str">
        <f t="shared" si="291"/>
        <v/>
      </c>
      <c r="BYP33" t="str">
        <f t="shared" si="291"/>
        <v/>
      </c>
      <c r="BYQ33" t="str">
        <f t="shared" si="291"/>
        <v/>
      </c>
      <c r="BYR33" t="str">
        <f t="shared" si="291"/>
        <v/>
      </c>
      <c r="BYS33" t="str">
        <f t="shared" si="291"/>
        <v/>
      </c>
      <c r="BYT33" t="str">
        <f t="shared" si="291"/>
        <v/>
      </c>
      <c r="BYU33" t="str">
        <f t="shared" si="291"/>
        <v/>
      </c>
      <c r="BYV33" t="str">
        <f t="shared" si="291"/>
        <v/>
      </c>
      <c r="BYW33" t="str">
        <f t="shared" si="291"/>
        <v/>
      </c>
      <c r="BYX33" t="str">
        <f t="shared" si="291"/>
        <v/>
      </c>
      <c r="BYY33" t="str">
        <f t="shared" si="291"/>
        <v/>
      </c>
      <c r="BYZ33" t="str">
        <f t="shared" si="291"/>
        <v/>
      </c>
      <c r="BZA33" t="str">
        <f t="shared" si="291"/>
        <v/>
      </c>
      <c r="BZB33" t="str">
        <f t="shared" si="291"/>
        <v/>
      </c>
      <c r="BZC33" t="str">
        <f t="shared" si="291"/>
        <v/>
      </c>
      <c r="BZD33" t="str">
        <f t="shared" si="291"/>
        <v/>
      </c>
      <c r="BZE33" t="str">
        <f t="shared" si="291"/>
        <v/>
      </c>
      <c r="BZF33" t="str">
        <f t="shared" si="291"/>
        <v/>
      </c>
      <c r="BZG33" t="str">
        <f t="shared" si="291"/>
        <v/>
      </c>
      <c r="BZH33" t="str">
        <f t="shared" si="291"/>
        <v/>
      </c>
      <c r="BZI33" t="str">
        <f t="shared" si="291"/>
        <v/>
      </c>
      <c r="BZJ33" t="str">
        <f t="shared" si="291"/>
        <v/>
      </c>
      <c r="BZK33" t="str">
        <f t="shared" si="291"/>
        <v/>
      </c>
      <c r="BZL33" t="str">
        <f t="shared" si="291"/>
        <v/>
      </c>
      <c r="BZM33" t="str">
        <f t="shared" si="291"/>
        <v/>
      </c>
      <c r="BZN33" t="str">
        <f t="shared" si="291"/>
        <v/>
      </c>
      <c r="BZO33" t="str">
        <f t="shared" si="291"/>
        <v/>
      </c>
      <c r="BZP33" t="str">
        <f t="shared" si="291"/>
        <v/>
      </c>
      <c r="BZQ33" t="str">
        <f t="shared" si="291"/>
        <v/>
      </c>
      <c r="BZR33" t="str">
        <f t="shared" si="291"/>
        <v/>
      </c>
      <c r="BZS33" t="str">
        <f t="shared" si="291"/>
        <v/>
      </c>
      <c r="BZT33" t="str">
        <f t="shared" si="291"/>
        <v/>
      </c>
      <c r="BZU33" t="str">
        <f t="shared" si="291"/>
        <v/>
      </c>
      <c r="BZV33" t="str">
        <f t="shared" si="291"/>
        <v/>
      </c>
      <c r="BZW33" t="str">
        <f t="shared" si="291"/>
        <v/>
      </c>
      <c r="BZX33" t="str">
        <f t="shared" si="291"/>
        <v/>
      </c>
      <c r="BZY33" t="str">
        <f t="shared" si="291"/>
        <v/>
      </c>
      <c r="BZZ33" t="str">
        <f t="shared" si="291"/>
        <v/>
      </c>
      <c r="CAA33" t="str">
        <f t="shared" si="291"/>
        <v/>
      </c>
      <c r="CAB33" t="str">
        <f t="shared" si="291"/>
        <v/>
      </c>
      <c r="CAC33" t="str">
        <f t="shared" si="291"/>
        <v/>
      </c>
      <c r="CAD33" t="str">
        <f t="shared" si="291"/>
        <v/>
      </c>
      <c r="CAE33" t="str">
        <f t="shared" si="291"/>
        <v/>
      </c>
      <c r="CAF33" t="str">
        <f t="shared" si="291"/>
        <v/>
      </c>
      <c r="CAG33" t="str">
        <f t="shared" ref="CAG33:CCR33" si="292">TRIM(CAX17)</f>
        <v/>
      </c>
      <c r="CAH33" t="str">
        <f t="shared" si="292"/>
        <v/>
      </c>
      <c r="CAI33" t="str">
        <f t="shared" si="292"/>
        <v/>
      </c>
      <c r="CAJ33" t="str">
        <f t="shared" si="292"/>
        <v/>
      </c>
      <c r="CAK33" t="str">
        <f t="shared" si="292"/>
        <v/>
      </c>
      <c r="CAL33" t="str">
        <f t="shared" si="292"/>
        <v/>
      </c>
      <c r="CAM33" t="str">
        <f t="shared" si="292"/>
        <v/>
      </c>
      <c r="CAN33" t="str">
        <f t="shared" si="292"/>
        <v/>
      </c>
      <c r="CAO33" t="str">
        <f t="shared" si="292"/>
        <v/>
      </c>
      <c r="CAP33" t="str">
        <f t="shared" si="292"/>
        <v/>
      </c>
      <c r="CAQ33" t="str">
        <f t="shared" si="292"/>
        <v/>
      </c>
      <c r="CAR33" t="str">
        <f t="shared" si="292"/>
        <v/>
      </c>
      <c r="CAS33" t="str">
        <f t="shared" si="292"/>
        <v/>
      </c>
      <c r="CAT33" t="str">
        <f t="shared" si="292"/>
        <v/>
      </c>
      <c r="CAU33" t="str">
        <f t="shared" si="292"/>
        <v/>
      </c>
      <c r="CAV33" t="str">
        <f t="shared" si="292"/>
        <v/>
      </c>
      <c r="CAW33" t="str">
        <f t="shared" si="292"/>
        <v/>
      </c>
      <c r="CAX33" t="str">
        <f t="shared" si="292"/>
        <v/>
      </c>
      <c r="CAY33" t="str">
        <f t="shared" si="292"/>
        <v/>
      </c>
      <c r="CAZ33" t="str">
        <f t="shared" si="292"/>
        <v/>
      </c>
      <c r="CBA33" t="str">
        <f t="shared" si="292"/>
        <v/>
      </c>
      <c r="CBB33" t="str">
        <f t="shared" si="292"/>
        <v/>
      </c>
      <c r="CBC33" t="str">
        <f t="shared" si="292"/>
        <v/>
      </c>
      <c r="CBD33" t="str">
        <f t="shared" si="292"/>
        <v/>
      </c>
      <c r="CBE33" t="str">
        <f t="shared" si="292"/>
        <v/>
      </c>
      <c r="CBF33" t="str">
        <f t="shared" si="292"/>
        <v/>
      </c>
      <c r="CBG33" t="str">
        <f t="shared" si="292"/>
        <v/>
      </c>
      <c r="CBH33" t="str">
        <f t="shared" si="292"/>
        <v/>
      </c>
      <c r="CBI33" t="str">
        <f t="shared" si="292"/>
        <v/>
      </c>
      <c r="CBJ33" t="str">
        <f t="shared" si="292"/>
        <v/>
      </c>
      <c r="CBK33" t="str">
        <f t="shared" si="292"/>
        <v/>
      </c>
      <c r="CBL33" t="str">
        <f t="shared" si="292"/>
        <v/>
      </c>
      <c r="CBM33" t="str">
        <f t="shared" si="292"/>
        <v/>
      </c>
      <c r="CBN33" t="str">
        <f t="shared" si="292"/>
        <v/>
      </c>
      <c r="CBO33" t="str">
        <f t="shared" si="292"/>
        <v/>
      </c>
      <c r="CBP33" t="str">
        <f t="shared" si="292"/>
        <v/>
      </c>
      <c r="CBQ33" t="str">
        <f t="shared" si="292"/>
        <v/>
      </c>
      <c r="CBR33" t="str">
        <f t="shared" si="292"/>
        <v/>
      </c>
      <c r="CBS33" t="str">
        <f t="shared" si="292"/>
        <v/>
      </c>
      <c r="CBT33" t="str">
        <f t="shared" si="292"/>
        <v/>
      </c>
      <c r="CBU33" t="str">
        <f t="shared" si="292"/>
        <v/>
      </c>
      <c r="CBV33" t="str">
        <f t="shared" si="292"/>
        <v/>
      </c>
      <c r="CBW33" t="str">
        <f t="shared" si="292"/>
        <v/>
      </c>
      <c r="CBX33" t="str">
        <f t="shared" si="292"/>
        <v/>
      </c>
      <c r="CBY33" t="str">
        <f t="shared" si="292"/>
        <v/>
      </c>
      <c r="CBZ33" t="str">
        <f t="shared" si="292"/>
        <v/>
      </c>
      <c r="CCA33" t="str">
        <f t="shared" si="292"/>
        <v/>
      </c>
      <c r="CCB33" t="str">
        <f t="shared" si="292"/>
        <v/>
      </c>
      <c r="CCC33" t="str">
        <f t="shared" si="292"/>
        <v/>
      </c>
      <c r="CCD33" t="str">
        <f t="shared" si="292"/>
        <v/>
      </c>
      <c r="CCE33" t="str">
        <f t="shared" si="292"/>
        <v/>
      </c>
      <c r="CCF33" t="str">
        <f t="shared" si="292"/>
        <v/>
      </c>
      <c r="CCG33" t="str">
        <f t="shared" si="292"/>
        <v/>
      </c>
      <c r="CCH33" t="str">
        <f t="shared" si="292"/>
        <v/>
      </c>
      <c r="CCI33" t="str">
        <f t="shared" si="292"/>
        <v/>
      </c>
      <c r="CCJ33" t="str">
        <f t="shared" si="292"/>
        <v/>
      </c>
      <c r="CCK33" t="str">
        <f t="shared" si="292"/>
        <v/>
      </c>
      <c r="CCL33" t="str">
        <f t="shared" si="292"/>
        <v/>
      </c>
      <c r="CCM33" t="str">
        <f t="shared" si="292"/>
        <v/>
      </c>
      <c r="CCN33" t="str">
        <f t="shared" si="292"/>
        <v/>
      </c>
      <c r="CCO33" t="str">
        <f t="shared" si="292"/>
        <v/>
      </c>
      <c r="CCP33" t="str">
        <f t="shared" si="292"/>
        <v/>
      </c>
      <c r="CCQ33" t="str">
        <f t="shared" si="292"/>
        <v/>
      </c>
      <c r="CCR33" t="str">
        <f t="shared" si="292"/>
        <v/>
      </c>
      <c r="CCS33" t="str">
        <f t="shared" ref="CCS33:CFD33" si="293">TRIM(CDJ17)</f>
        <v/>
      </c>
      <c r="CCT33" t="str">
        <f t="shared" si="293"/>
        <v/>
      </c>
      <c r="CCU33" t="str">
        <f t="shared" si="293"/>
        <v/>
      </c>
      <c r="CCV33" t="str">
        <f t="shared" si="293"/>
        <v/>
      </c>
      <c r="CCW33" t="str">
        <f t="shared" si="293"/>
        <v/>
      </c>
      <c r="CCX33" t="str">
        <f t="shared" si="293"/>
        <v/>
      </c>
      <c r="CCY33" t="str">
        <f t="shared" si="293"/>
        <v/>
      </c>
      <c r="CCZ33" t="str">
        <f t="shared" si="293"/>
        <v/>
      </c>
      <c r="CDA33" t="str">
        <f t="shared" si="293"/>
        <v/>
      </c>
      <c r="CDB33" t="str">
        <f t="shared" si="293"/>
        <v/>
      </c>
      <c r="CDC33" t="str">
        <f t="shared" si="293"/>
        <v/>
      </c>
      <c r="CDD33" t="str">
        <f t="shared" si="293"/>
        <v/>
      </c>
      <c r="CDE33" t="str">
        <f t="shared" si="293"/>
        <v/>
      </c>
      <c r="CDF33" t="str">
        <f t="shared" si="293"/>
        <v/>
      </c>
      <c r="CDG33" t="str">
        <f t="shared" si="293"/>
        <v/>
      </c>
      <c r="CDH33" t="str">
        <f t="shared" si="293"/>
        <v/>
      </c>
      <c r="CDI33" t="str">
        <f t="shared" si="293"/>
        <v/>
      </c>
      <c r="CDJ33" t="str">
        <f t="shared" si="293"/>
        <v/>
      </c>
      <c r="CDK33" t="str">
        <f t="shared" si="293"/>
        <v/>
      </c>
      <c r="CDL33" t="str">
        <f t="shared" si="293"/>
        <v/>
      </c>
      <c r="CDM33" t="str">
        <f t="shared" si="293"/>
        <v/>
      </c>
      <c r="CDN33" t="str">
        <f t="shared" si="293"/>
        <v/>
      </c>
      <c r="CDO33" t="str">
        <f t="shared" si="293"/>
        <v/>
      </c>
      <c r="CDP33" t="str">
        <f t="shared" si="293"/>
        <v/>
      </c>
      <c r="CDQ33" t="str">
        <f t="shared" si="293"/>
        <v/>
      </c>
      <c r="CDR33" t="str">
        <f t="shared" si="293"/>
        <v/>
      </c>
      <c r="CDS33" t="str">
        <f t="shared" si="293"/>
        <v/>
      </c>
      <c r="CDT33" t="str">
        <f t="shared" si="293"/>
        <v/>
      </c>
      <c r="CDU33" t="str">
        <f t="shared" si="293"/>
        <v/>
      </c>
      <c r="CDV33" t="str">
        <f t="shared" si="293"/>
        <v/>
      </c>
      <c r="CDW33" t="str">
        <f t="shared" si="293"/>
        <v/>
      </c>
      <c r="CDX33" t="str">
        <f t="shared" si="293"/>
        <v/>
      </c>
      <c r="CDY33" t="str">
        <f t="shared" si="293"/>
        <v/>
      </c>
      <c r="CDZ33" t="str">
        <f t="shared" si="293"/>
        <v/>
      </c>
      <c r="CEA33" t="str">
        <f t="shared" si="293"/>
        <v/>
      </c>
      <c r="CEB33" t="str">
        <f t="shared" si="293"/>
        <v/>
      </c>
      <c r="CEC33" t="str">
        <f t="shared" si="293"/>
        <v/>
      </c>
      <c r="CED33" t="str">
        <f t="shared" si="293"/>
        <v/>
      </c>
      <c r="CEE33" t="str">
        <f t="shared" si="293"/>
        <v/>
      </c>
      <c r="CEF33" t="str">
        <f t="shared" si="293"/>
        <v/>
      </c>
      <c r="CEG33" t="str">
        <f t="shared" si="293"/>
        <v/>
      </c>
      <c r="CEH33" t="str">
        <f t="shared" si="293"/>
        <v/>
      </c>
      <c r="CEI33" t="str">
        <f t="shared" si="293"/>
        <v/>
      </c>
      <c r="CEJ33" t="str">
        <f t="shared" si="293"/>
        <v/>
      </c>
      <c r="CEK33" t="str">
        <f t="shared" si="293"/>
        <v/>
      </c>
      <c r="CEL33" t="str">
        <f t="shared" si="293"/>
        <v/>
      </c>
      <c r="CEM33" t="str">
        <f t="shared" si="293"/>
        <v/>
      </c>
      <c r="CEN33" t="str">
        <f t="shared" si="293"/>
        <v/>
      </c>
      <c r="CEO33" t="str">
        <f t="shared" si="293"/>
        <v/>
      </c>
      <c r="CEP33" t="str">
        <f t="shared" si="293"/>
        <v/>
      </c>
      <c r="CEQ33" t="str">
        <f t="shared" si="293"/>
        <v/>
      </c>
      <c r="CER33" t="str">
        <f t="shared" si="293"/>
        <v/>
      </c>
      <c r="CES33" t="str">
        <f t="shared" si="293"/>
        <v/>
      </c>
      <c r="CET33" t="str">
        <f t="shared" si="293"/>
        <v/>
      </c>
      <c r="CEU33" t="str">
        <f t="shared" si="293"/>
        <v/>
      </c>
      <c r="CEV33" t="str">
        <f t="shared" si="293"/>
        <v/>
      </c>
      <c r="CEW33" t="str">
        <f t="shared" si="293"/>
        <v/>
      </c>
      <c r="CEX33" t="str">
        <f t="shared" si="293"/>
        <v/>
      </c>
      <c r="CEY33" t="str">
        <f t="shared" si="293"/>
        <v/>
      </c>
      <c r="CEZ33" t="str">
        <f t="shared" si="293"/>
        <v/>
      </c>
      <c r="CFA33" t="str">
        <f t="shared" si="293"/>
        <v/>
      </c>
      <c r="CFB33" t="str">
        <f t="shared" si="293"/>
        <v/>
      </c>
      <c r="CFC33" t="str">
        <f t="shared" si="293"/>
        <v/>
      </c>
      <c r="CFD33" t="str">
        <f t="shared" si="293"/>
        <v/>
      </c>
      <c r="CFE33" t="str">
        <f t="shared" ref="CFE33:CHP33" si="294">TRIM(CFV17)</f>
        <v/>
      </c>
      <c r="CFF33" t="str">
        <f t="shared" si="294"/>
        <v/>
      </c>
      <c r="CFG33" t="str">
        <f t="shared" si="294"/>
        <v/>
      </c>
      <c r="CFH33" t="str">
        <f t="shared" si="294"/>
        <v/>
      </c>
      <c r="CFI33" t="str">
        <f t="shared" si="294"/>
        <v/>
      </c>
      <c r="CFJ33" t="str">
        <f t="shared" si="294"/>
        <v/>
      </c>
      <c r="CFK33" t="str">
        <f t="shared" si="294"/>
        <v/>
      </c>
      <c r="CFL33" t="str">
        <f t="shared" si="294"/>
        <v/>
      </c>
      <c r="CFM33" t="str">
        <f t="shared" si="294"/>
        <v/>
      </c>
      <c r="CFN33" t="str">
        <f t="shared" si="294"/>
        <v/>
      </c>
      <c r="CFO33" t="str">
        <f t="shared" si="294"/>
        <v/>
      </c>
      <c r="CFP33" t="str">
        <f t="shared" si="294"/>
        <v/>
      </c>
      <c r="CFQ33" t="str">
        <f t="shared" si="294"/>
        <v/>
      </c>
      <c r="CFR33" t="str">
        <f t="shared" si="294"/>
        <v/>
      </c>
      <c r="CFS33" t="str">
        <f t="shared" si="294"/>
        <v/>
      </c>
      <c r="CFT33" t="str">
        <f t="shared" si="294"/>
        <v/>
      </c>
      <c r="CFU33" t="str">
        <f t="shared" si="294"/>
        <v/>
      </c>
      <c r="CFV33" t="str">
        <f t="shared" si="294"/>
        <v/>
      </c>
      <c r="CFW33" t="str">
        <f t="shared" si="294"/>
        <v/>
      </c>
      <c r="CFX33" t="str">
        <f t="shared" si="294"/>
        <v/>
      </c>
      <c r="CFY33" t="str">
        <f t="shared" si="294"/>
        <v/>
      </c>
      <c r="CFZ33" t="str">
        <f t="shared" si="294"/>
        <v/>
      </c>
      <c r="CGA33" t="str">
        <f t="shared" si="294"/>
        <v/>
      </c>
      <c r="CGB33" t="str">
        <f t="shared" si="294"/>
        <v/>
      </c>
      <c r="CGC33" t="str">
        <f t="shared" si="294"/>
        <v/>
      </c>
      <c r="CGD33" t="str">
        <f t="shared" si="294"/>
        <v/>
      </c>
      <c r="CGE33" t="str">
        <f t="shared" si="294"/>
        <v/>
      </c>
      <c r="CGF33" t="str">
        <f t="shared" si="294"/>
        <v/>
      </c>
      <c r="CGG33" t="str">
        <f t="shared" si="294"/>
        <v/>
      </c>
      <c r="CGH33" t="str">
        <f t="shared" si="294"/>
        <v/>
      </c>
      <c r="CGI33" t="str">
        <f t="shared" si="294"/>
        <v/>
      </c>
      <c r="CGJ33" t="str">
        <f t="shared" si="294"/>
        <v/>
      </c>
      <c r="CGK33" t="str">
        <f t="shared" si="294"/>
        <v/>
      </c>
      <c r="CGL33" t="str">
        <f t="shared" si="294"/>
        <v/>
      </c>
      <c r="CGM33" t="str">
        <f t="shared" si="294"/>
        <v/>
      </c>
      <c r="CGN33" t="str">
        <f t="shared" si="294"/>
        <v/>
      </c>
      <c r="CGO33" t="str">
        <f t="shared" si="294"/>
        <v/>
      </c>
      <c r="CGP33" t="str">
        <f t="shared" si="294"/>
        <v/>
      </c>
      <c r="CGQ33" t="str">
        <f t="shared" si="294"/>
        <v/>
      </c>
      <c r="CGR33" t="str">
        <f t="shared" si="294"/>
        <v/>
      </c>
      <c r="CGS33" t="str">
        <f t="shared" si="294"/>
        <v/>
      </c>
      <c r="CGT33" t="str">
        <f t="shared" si="294"/>
        <v/>
      </c>
      <c r="CGU33" t="str">
        <f t="shared" si="294"/>
        <v/>
      </c>
      <c r="CGV33" t="str">
        <f t="shared" si="294"/>
        <v/>
      </c>
      <c r="CGW33" t="str">
        <f t="shared" si="294"/>
        <v/>
      </c>
      <c r="CGX33" t="str">
        <f t="shared" si="294"/>
        <v/>
      </c>
      <c r="CGY33" t="str">
        <f t="shared" si="294"/>
        <v/>
      </c>
      <c r="CGZ33" t="str">
        <f t="shared" si="294"/>
        <v/>
      </c>
      <c r="CHA33" t="str">
        <f t="shared" si="294"/>
        <v/>
      </c>
      <c r="CHB33" t="str">
        <f t="shared" si="294"/>
        <v/>
      </c>
      <c r="CHC33" t="str">
        <f t="shared" si="294"/>
        <v/>
      </c>
      <c r="CHD33" t="str">
        <f t="shared" si="294"/>
        <v/>
      </c>
      <c r="CHE33" t="str">
        <f t="shared" si="294"/>
        <v/>
      </c>
      <c r="CHF33" t="str">
        <f t="shared" si="294"/>
        <v/>
      </c>
      <c r="CHG33" t="str">
        <f t="shared" si="294"/>
        <v/>
      </c>
      <c r="CHH33" t="str">
        <f t="shared" si="294"/>
        <v/>
      </c>
      <c r="CHI33" t="str">
        <f t="shared" si="294"/>
        <v/>
      </c>
      <c r="CHJ33" t="str">
        <f t="shared" si="294"/>
        <v/>
      </c>
      <c r="CHK33" t="str">
        <f t="shared" si="294"/>
        <v/>
      </c>
      <c r="CHL33" t="str">
        <f t="shared" si="294"/>
        <v/>
      </c>
      <c r="CHM33" t="str">
        <f t="shared" si="294"/>
        <v/>
      </c>
      <c r="CHN33" t="str">
        <f t="shared" si="294"/>
        <v/>
      </c>
      <c r="CHO33" t="str">
        <f t="shared" si="294"/>
        <v/>
      </c>
      <c r="CHP33" t="str">
        <f t="shared" si="294"/>
        <v/>
      </c>
      <c r="CHQ33" t="str">
        <f t="shared" ref="CHQ33:CKB33" si="295">TRIM(CIH17)</f>
        <v/>
      </c>
      <c r="CHR33" t="str">
        <f t="shared" si="295"/>
        <v/>
      </c>
      <c r="CHS33" t="str">
        <f t="shared" si="295"/>
        <v/>
      </c>
      <c r="CHT33" t="str">
        <f t="shared" si="295"/>
        <v/>
      </c>
      <c r="CHU33" t="str">
        <f t="shared" si="295"/>
        <v/>
      </c>
      <c r="CHV33" t="str">
        <f t="shared" si="295"/>
        <v/>
      </c>
      <c r="CHW33" t="str">
        <f t="shared" si="295"/>
        <v/>
      </c>
      <c r="CHX33" t="str">
        <f t="shared" si="295"/>
        <v/>
      </c>
      <c r="CHY33" t="str">
        <f t="shared" si="295"/>
        <v/>
      </c>
      <c r="CHZ33" t="str">
        <f t="shared" si="295"/>
        <v/>
      </c>
      <c r="CIA33" t="str">
        <f t="shared" si="295"/>
        <v/>
      </c>
      <c r="CIB33" t="str">
        <f t="shared" si="295"/>
        <v/>
      </c>
      <c r="CIC33" t="str">
        <f t="shared" si="295"/>
        <v/>
      </c>
      <c r="CID33" t="str">
        <f t="shared" si="295"/>
        <v/>
      </c>
      <c r="CIE33" t="str">
        <f t="shared" si="295"/>
        <v/>
      </c>
      <c r="CIF33" t="str">
        <f t="shared" si="295"/>
        <v/>
      </c>
      <c r="CIG33" t="str">
        <f t="shared" si="295"/>
        <v/>
      </c>
      <c r="CIH33" t="str">
        <f t="shared" si="295"/>
        <v/>
      </c>
      <c r="CII33" t="str">
        <f t="shared" si="295"/>
        <v/>
      </c>
      <c r="CIJ33" t="str">
        <f t="shared" si="295"/>
        <v/>
      </c>
      <c r="CIK33" t="str">
        <f t="shared" si="295"/>
        <v/>
      </c>
      <c r="CIL33" t="str">
        <f t="shared" si="295"/>
        <v/>
      </c>
      <c r="CIM33" t="str">
        <f t="shared" si="295"/>
        <v/>
      </c>
      <c r="CIN33" t="str">
        <f t="shared" si="295"/>
        <v/>
      </c>
      <c r="CIO33" t="str">
        <f t="shared" si="295"/>
        <v/>
      </c>
      <c r="CIP33" t="str">
        <f t="shared" si="295"/>
        <v/>
      </c>
      <c r="CIQ33" t="str">
        <f t="shared" si="295"/>
        <v/>
      </c>
      <c r="CIR33" t="str">
        <f t="shared" si="295"/>
        <v/>
      </c>
      <c r="CIS33" t="str">
        <f t="shared" si="295"/>
        <v/>
      </c>
      <c r="CIT33" t="str">
        <f t="shared" si="295"/>
        <v/>
      </c>
      <c r="CIU33" t="str">
        <f t="shared" si="295"/>
        <v/>
      </c>
      <c r="CIV33" t="str">
        <f t="shared" si="295"/>
        <v/>
      </c>
      <c r="CIW33" t="str">
        <f t="shared" si="295"/>
        <v/>
      </c>
      <c r="CIX33" t="str">
        <f t="shared" si="295"/>
        <v/>
      </c>
      <c r="CIY33" t="str">
        <f t="shared" si="295"/>
        <v/>
      </c>
      <c r="CIZ33" t="str">
        <f t="shared" si="295"/>
        <v/>
      </c>
      <c r="CJA33" t="str">
        <f t="shared" si="295"/>
        <v/>
      </c>
      <c r="CJB33" t="str">
        <f t="shared" si="295"/>
        <v/>
      </c>
      <c r="CJC33" t="str">
        <f t="shared" si="295"/>
        <v/>
      </c>
      <c r="CJD33" t="str">
        <f t="shared" si="295"/>
        <v/>
      </c>
      <c r="CJE33" t="str">
        <f t="shared" si="295"/>
        <v/>
      </c>
      <c r="CJF33" t="str">
        <f t="shared" si="295"/>
        <v/>
      </c>
      <c r="CJG33" t="str">
        <f t="shared" si="295"/>
        <v/>
      </c>
      <c r="CJH33" t="str">
        <f t="shared" si="295"/>
        <v/>
      </c>
      <c r="CJI33" t="str">
        <f t="shared" si="295"/>
        <v/>
      </c>
      <c r="CJJ33" t="str">
        <f t="shared" si="295"/>
        <v/>
      </c>
      <c r="CJK33" t="str">
        <f t="shared" si="295"/>
        <v/>
      </c>
      <c r="CJL33" t="str">
        <f t="shared" si="295"/>
        <v/>
      </c>
      <c r="CJM33" t="str">
        <f t="shared" si="295"/>
        <v/>
      </c>
      <c r="CJN33" t="str">
        <f t="shared" si="295"/>
        <v/>
      </c>
      <c r="CJO33" t="str">
        <f t="shared" si="295"/>
        <v/>
      </c>
      <c r="CJP33" t="str">
        <f t="shared" si="295"/>
        <v/>
      </c>
      <c r="CJQ33" t="str">
        <f t="shared" si="295"/>
        <v/>
      </c>
      <c r="CJR33" t="str">
        <f t="shared" si="295"/>
        <v/>
      </c>
      <c r="CJS33" t="str">
        <f t="shared" si="295"/>
        <v/>
      </c>
      <c r="CJT33" t="str">
        <f t="shared" si="295"/>
        <v/>
      </c>
      <c r="CJU33" t="str">
        <f t="shared" si="295"/>
        <v/>
      </c>
      <c r="CJV33" t="str">
        <f t="shared" si="295"/>
        <v/>
      </c>
      <c r="CJW33" t="str">
        <f t="shared" si="295"/>
        <v/>
      </c>
      <c r="CJX33" t="str">
        <f t="shared" si="295"/>
        <v/>
      </c>
      <c r="CJY33" t="str">
        <f t="shared" si="295"/>
        <v/>
      </c>
      <c r="CJZ33" t="str">
        <f t="shared" si="295"/>
        <v/>
      </c>
      <c r="CKA33" t="str">
        <f t="shared" si="295"/>
        <v/>
      </c>
      <c r="CKB33" t="str">
        <f t="shared" si="295"/>
        <v/>
      </c>
      <c r="CKC33" t="str">
        <f t="shared" ref="CKC33:CMN33" si="296">TRIM(CKT17)</f>
        <v/>
      </c>
      <c r="CKD33" t="str">
        <f t="shared" si="296"/>
        <v/>
      </c>
      <c r="CKE33" t="str">
        <f t="shared" si="296"/>
        <v/>
      </c>
      <c r="CKF33" t="str">
        <f t="shared" si="296"/>
        <v/>
      </c>
      <c r="CKG33" t="str">
        <f t="shared" si="296"/>
        <v/>
      </c>
      <c r="CKH33" t="str">
        <f t="shared" si="296"/>
        <v/>
      </c>
      <c r="CKI33" t="str">
        <f t="shared" si="296"/>
        <v/>
      </c>
      <c r="CKJ33" t="str">
        <f t="shared" si="296"/>
        <v/>
      </c>
      <c r="CKK33" t="str">
        <f t="shared" si="296"/>
        <v/>
      </c>
      <c r="CKL33" t="str">
        <f t="shared" si="296"/>
        <v/>
      </c>
      <c r="CKM33" t="str">
        <f t="shared" si="296"/>
        <v/>
      </c>
      <c r="CKN33" t="str">
        <f t="shared" si="296"/>
        <v/>
      </c>
      <c r="CKO33" t="str">
        <f t="shared" si="296"/>
        <v/>
      </c>
      <c r="CKP33" t="str">
        <f t="shared" si="296"/>
        <v/>
      </c>
      <c r="CKQ33" t="str">
        <f t="shared" si="296"/>
        <v/>
      </c>
      <c r="CKR33" t="str">
        <f t="shared" si="296"/>
        <v/>
      </c>
      <c r="CKS33" t="str">
        <f t="shared" si="296"/>
        <v/>
      </c>
      <c r="CKT33" t="str">
        <f t="shared" si="296"/>
        <v/>
      </c>
      <c r="CKU33" t="str">
        <f t="shared" si="296"/>
        <v/>
      </c>
      <c r="CKV33" t="str">
        <f t="shared" si="296"/>
        <v/>
      </c>
      <c r="CKW33" t="str">
        <f t="shared" si="296"/>
        <v/>
      </c>
      <c r="CKX33" t="str">
        <f t="shared" si="296"/>
        <v/>
      </c>
      <c r="CKY33" t="str">
        <f t="shared" si="296"/>
        <v/>
      </c>
      <c r="CKZ33" t="str">
        <f t="shared" si="296"/>
        <v/>
      </c>
      <c r="CLA33" t="str">
        <f t="shared" si="296"/>
        <v/>
      </c>
      <c r="CLB33" t="str">
        <f t="shared" si="296"/>
        <v/>
      </c>
      <c r="CLC33" t="str">
        <f t="shared" si="296"/>
        <v/>
      </c>
      <c r="CLD33" t="str">
        <f t="shared" si="296"/>
        <v/>
      </c>
      <c r="CLE33" t="str">
        <f t="shared" si="296"/>
        <v/>
      </c>
      <c r="CLF33" t="str">
        <f t="shared" si="296"/>
        <v/>
      </c>
      <c r="CLG33" t="str">
        <f t="shared" si="296"/>
        <v/>
      </c>
      <c r="CLH33" t="str">
        <f t="shared" si="296"/>
        <v/>
      </c>
      <c r="CLI33" t="str">
        <f t="shared" si="296"/>
        <v/>
      </c>
      <c r="CLJ33" t="str">
        <f t="shared" si="296"/>
        <v/>
      </c>
      <c r="CLK33" t="str">
        <f t="shared" si="296"/>
        <v/>
      </c>
      <c r="CLL33" t="str">
        <f t="shared" si="296"/>
        <v/>
      </c>
      <c r="CLM33" t="str">
        <f t="shared" si="296"/>
        <v/>
      </c>
      <c r="CLN33" t="str">
        <f t="shared" si="296"/>
        <v/>
      </c>
      <c r="CLO33" t="str">
        <f t="shared" si="296"/>
        <v/>
      </c>
      <c r="CLP33" t="str">
        <f t="shared" si="296"/>
        <v/>
      </c>
      <c r="CLQ33" t="str">
        <f t="shared" si="296"/>
        <v/>
      </c>
      <c r="CLR33" t="str">
        <f t="shared" si="296"/>
        <v/>
      </c>
      <c r="CLS33" t="str">
        <f t="shared" si="296"/>
        <v/>
      </c>
      <c r="CLT33" t="str">
        <f t="shared" si="296"/>
        <v/>
      </c>
      <c r="CLU33" t="str">
        <f t="shared" si="296"/>
        <v/>
      </c>
      <c r="CLV33" t="str">
        <f t="shared" si="296"/>
        <v/>
      </c>
      <c r="CLW33" t="str">
        <f t="shared" si="296"/>
        <v/>
      </c>
      <c r="CLX33" t="str">
        <f t="shared" si="296"/>
        <v/>
      </c>
      <c r="CLY33" t="str">
        <f t="shared" si="296"/>
        <v/>
      </c>
      <c r="CLZ33" t="str">
        <f t="shared" si="296"/>
        <v/>
      </c>
      <c r="CMA33" t="str">
        <f t="shared" si="296"/>
        <v/>
      </c>
      <c r="CMB33" t="str">
        <f t="shared" si="296"/>
        <v/>
      </c>
      <c r="CMC33" t="str">
        <f t="shared" si="296"/>
        <v/>
      </c>
      <c r="CMD33" t="str">
        <f t="shared" si="296"/>
        <v/>
      </c>
      <c r="CME33" t="str">
        <f t="shared" si="296"/>
        <v/>
      </c>
      <c r="CMF33" t="str">
        <f t="shared" si="296"/>
        <v/>
      </c>
      <c r="CMG33" t="str">
        <f t="shared" si="296"/>
        <v/>
      </c>
      <c r="CMH33" t="str">
        <f t="shared" si="296"/>
        <v/>
      </c>
      <c r="CMI33" t="str">
        <f t="shared" si="296"/>
        <v/>
      </c>
      <c r="CMJ33" t="str">
        <f t="shared" si="296"/>
        <v/>
      </c>
      <c r="CMK33" t="str">
        <f t="shared" si="296"/>
        <v/>
      </c>
      <c r="CML33" t="str">
        <f t="shared" si="296"/>
        <v/>
      </c>
      <c r="CMM33" t="str">
        <f t="shared" si="296"/>
        <v/>
      </c>
      <c r="CMN33" t="str">
        <f t="shared" si="296"/>
        <v/>
      </c>
      <c r="CMO33" t="str">
        <f t="shared" ref="CMO33:COZ33" si="297">TRIM(CNF17)</f>
        <v/>
      </c>
      <c r="CMP33" t="str">
        <f t="shared" si="297"/>
        <v/>
      </c>
      <c r="CMQ33" t="str">
        <f t="shared" si="297"/>
        <v/>
      </c>
      <c r="CMR33" t="str">
        <f t="shared" si="297"/>
        <v/>
      </c>
      <c r="CMS33" t="str">
        <f t="shared" si="297"/>
        <v/>
      </c>
      <c r="CMT33" t="str">
        <f t="shared" si="297"/>
        <v/>
      </c>
      <c r="CMU33" t="str">
        <f t="shared" si="297"/>
        <v/>
      </c>
      <c r="CMV33" t="str">
        <f t="shared" si="297"/>
        <v/>
      </c>
      <c r="CMW33" t="str">
        <f t="shared" si="297"/>
        <v/>
      </c>
      <c r="CMX33" t="str">
        <f t="shared" si="297"/>
        <v/>
      </c>
      <c r="CMY33" t="str">
        <f t="shared" si="297"/>
        <v/>
      </c>
      <c r="CMZ33" t="str">
        <f t="shared" si="297"/>
        <v/>
      </c>
      <c r="CNA33" t="str">
        <f t="shared" si="297"/>
        <v/>
      </c>
      <c r="CNB33" t="str">
        <f t="shared" si="297"/>
        <v/>
      </c>
      <c r="CNC33" t="str">
        <f t="shared" si="297"/>
        <v/>
      </c>
      <c r="CND33" t="str">
        <f t="shared" si="297"/>
        <v/>
      </c>
      <c r="CNE33" t="str">
        <f t="shared" si="297"/>
        <v/>
      </c>
      <c r="CNF33" t="str">
        <f t="shared" si="297"/>
        <v/>
      </c>
      <c r="CNG33" t="str">
        <f t="shared" si="297"/>
        <v/>
      </c>
      <c r="CNH33" t="str">
        <f t="shared" si="297"/>
        <v/>
      </c>
      <c r="CNI33" t="str">
        <f t="shared" si="297"/>
        <v/>
      </c>
      <c r="CNJ33" t="str">
        <f t="shared" si="297"/>
        <v/>
      </c>
      <c r="CNK33" t="str">
        <f t="shared" si="297"/>
        <v/>
      </c>
      <c r="CNL33" t="str">
        <f t="shared" si="297"/>
        <v/>
      </c>
      <c r="CNM33" t="str">
        <f t="shared" si="297"/>
        <v/>
      </c>
      <c r="CNN33" t="str">
        <f t="shared" si="297"/>
        <v/>
      </c>
      <c r="CNO33" t="str">
        <f t="shared" si="297"/>
        <v/>
      </c>
      <c r="CNP33" t="str">
        <f t="shared" si="297"/>
        <v/>
      </c>
      <c r="CNQ33" t="str">
        <f t="shared" si="297"/>
        <v/>
      </c>
      <c r="CNR33" t="str">
        <f t="shared" si="297"/>
        <v/>
      </c>
      <c r="CNS33" t="str">
        <f t="shared" si="297"/>
        <v/>
      </c>
      <c r="CNT33" t="str">
        <f t="shared" si="297"/>
        <v/>
      </c>
      <c r="CNU33" t="str">
        <f t="shared" si="297"/>
        <v/>
      </c>
      <c r="CNV33" t="str">
        <f t="shared" si="297"/>
        <v/>
      </c>
      <c r="CNW33" t="str">
        <f t="shared" si="297"/>
        <v/>
      </c>
      <c r="CNX33" t="str">
        <f t="shared" si="297"/>
        <v/>
      </c>
      <c r="CNY33" t="str">
        <f t="shared" si="297"/>
        <v/>
      </c>
      <c r="CNZ33" t="str">
        <f t="shared" si="297"/>
        <v/>
      </c>
      <c r="COA33" t="str">
        <f t="shared" si="297"/>
        <v/>
      </c>
      <c r="COB33" t="str">
        <f t="shared" si="297"/>
        <v/>
      </c>
      <c r="COC33" t="str">
        <f t="shared" si="297"/>
        <v/>
      </c>
      <c r="COD33" t="str">
        <f t="shared" si="297"/>
        <v/>
      </c>
      <c r="COE33" t="str">
        <f t="shared" si="297"/>
        <v/>
      </c>
      <c r="COF33" t="str">
        <f t="shared" si="297"/>
        <v/>
      </c>
      <c r="COG33" t="str">
        <f t="shared" si="297"/>
        <v/>
      </c>
      <c r="COH33" t="str">
        <f t="shared" si="297"/>
        <v/>
      </c>
      <c r="COI33" t="str">
        <f t="shared" si="297"/>
        <v/>
      </c>
      <c r="COJ33" t="str">
        <f t="shared" si="297"/>
        <v/>
      </c>
      <c r="COK33" t="str">
        <f t="shared" si="297"/>
        <v/>
      </c>
      <c r="COL33" t="str">
        <f t="shared" si="297"/>
        <v/>
      </c>
      <c r="COM33" t="str">
        <f t="shared" si="297"/>
        <v/>
      </c>
      <c r="CON33" t="str">
        <f t="shared" si="297"/>
        <v/>
      </c>
      <c r="COO33" t="str">
        <f t="shared" si="297"/>
        <v/>
      </c>
      <c r="COP33" t="str">
        <f t="shared" si="297"/>
        <v/>
      </c>
      <c r="COQ33" t="str">
        <f t="shared" si="297"/>
        <v/>
      </c>
      <c r="COR33" t="str">
        <f t="shared" si="297"/>
        <v/>
      </c>
      <c r="COS33" t="str">
        <f t="shared" si="297"/>
        <v/>
      </c>
      <c r="COT33" t="str">
        <f t="shared" si="297"/>
        <v/>
      </c>
      <c r="COU33" t="str">
        <f t="shared" si="297"/>
        <v/>
      </c>
      <c r="COV33" t="str">
        <f t="shared" si="297"/>
        <v/>
      </c>
      <c r="COW33" t="str">
        <f t="shared" si="297"/>
        <v/>
      </c>
      <c r="COX33" t="str">
        <f t="shared" si="297"/>
        <v/>
      </c>
      <c r="COY33" t="str">
        <f t="shared" si="297"/>
        <v/>
      </c>
      <c r="COZ33" t="str">
        <f t="shared" si="297"/>
        <v/>
      </c>
      <c r="CPA33" t="str">
        <f t="shared" ref="CPA33:CRL33" si="298">TRIM(CPR17)</f>
        <v/>
      </c>
      <c r="CPB33" t="str">
        <f t="shared" si="298"/>
        <v/>
      </c>
      <c r="CPC33" t="str">
        <f t="shared" si="298"/>
        <v/>
      </c>
      <c r="CPD33" t="str">
        <f t="shared" si="298"/>
        <v/>
      </c>
      <c r="CPE33" t="str">
        <f t="shared" si="298"/>
        <v/>
      </c>
      <c r="CPF33" t="str">
        <f t="shared" si="298"/>
        <v/>
      </c>
      <c r="CPG33" t="str">
        <f t="shared" si="298"/>
        <v/>
      </c>
      <c r="CPH33" t="str">
        <f t="shared" si="298"/>
        <v/>
      </c>
      <c r="CPI33" t="str">
        <f t="shared" si="298"/>
        <v/>
      </c>
      <c r="CPJ33" t="str">
        <f t="shared" si="298"/>
        <v/>
      </c>
      <c r="CPK33" t="str">
        <f t="shared" si="298"/>
        <v/>
      </c>
      <c r="CPL33" t="str">
        <f t="shared" si="298"/>
        <v/>
      </c>
      <c r="CPM33" t="str">
        <f t="shared" si="298"/>
        <v/>
      </c>
      <c r="CPN33" t="str">
        <f t="shared" si="298"/>
        <v/>
      </c>
      <c r="CPO33" t="str">
        <f t="shared" si="298"/>
        <v/>
      </c>
      <c r="CPP33" t="str">
        <f t="shared" si="298"/>
        <v/>
      </c>
      <c r="CPQ33" t="str">
        <f t="shared" si="298"/>
        <v/>
      </c>
      <c r="CPR33" t="str">
        <f t="shared" si="298"/>
        <v/>
      </c>
      <c r="CPS33" t="str">
        <f t="shared" si="298"/>
        <v/>
      </c>
      <c r="CPT33" t="str">
        <f t="shared" si="298"/>
        <v/>
      </c>
      <c r="CPU33" t="str">
        <f t="shared" si="298"/>
        <v/>
      </c>
      <c r="CPV33" t="str">
        <f t="shared" si="298"/>
        <v/>
      </c>
      <c r="CPW33" t="str">
        <f t="shared" si="298"/>
        <v/>
      </c>
      <c r="CPX33" t="str">
        <f t="shared" si="298"/>
        <v/>
      </c>
      <c r="CPY33" t="str">
        <f t="shared" si="298"/>
        <v/>
      </c>
      <c r="CPZ33" t="str">
        <f t="shared" si="298"/>
        <v/>
      </c>
      <c r="CQA33" t="str">
        <f t="shared" si="298"/>
        <v/>
      </c>
      <c r="CQB33" t="str">
        <f t="shared" si="298"/>
        <v/>
      </c>
      <c r="CQC33" t="str">
        <f t="shared" si="298"/>
        <v/>
      </c>
      <c r="CQD33" t="str">
        <f t="shared" si="298"/>
        <v/>
      </c>
      <c r="CQE33" t="str">
        <f t="shared" si="298"/>
        <v/>
      </c>
      <c r="CQF33" t="str">
        <f t="shared" si="298"/>
        <v/>
      </c>
      <c r="CQG33" t="str">
        <f t="shared" si="298"/>
        <v/>
      </c>
      <c r="CQH33" t="str">
        <f t="shared" si="298"/>
        <v/>
      </c>
      <c r="CQI33" t="str">
        <f t="shared" si="298"/>
        <v/>
      </c>
      <c r="CQJ33" t="str">
        <f t="shared" si="298"/>
        <v/>
      </c>
      <c r="CQK33" t="str">
        <f t="shared" si="298"/>
        <v/>
      </c>
      <c r="CQL33" t="str">
        <f t="shared" si="298"/>
        <v/>
      </c>
      <c r="CQM33" t="str">
        <f t="shared" si="298"/>
        <v/>
      </c>
      <c r="CQN33" t="str">
        <f t="shared" si="298"/>
        <v/>
      </c>
      <c r="CQO33" t="str">
        <f t="shared" si="298"/>
        <v/>
      </c>
      <c r="CQP33" t="str">
        <f t="shared" si="298"/>
        <v/>
      </c>
      <c r="CQQ33" t="str">
        <f t="shared" si="298"/>
        <v/>
      </c>
      <c r="CQR33" t="str">
        <f t="shared" si="298"/>
        <v/>
      </c>
      <c r="CQS33" t="str">
        <f t="shared" si="298"/>
        <v/>
      </c>
      <c r="CQT33" t="str">
        <f t="shared" si="298"/>
        <v/>
      </c>
      <c r="CQU33" t="str">
        <f t="shared" si="298"/>
        <v/>
      </c>
      <c r="CQV33" t="str">
        <f t="shared" si="298"/>
        <v/>
      </c>
      <c r="CQW33" t="str">
        <f t="shared" si="298"/>
        <v/>
      </c>
      <c r="CQX33" t="str">
        <f t="shared" si="298"/>
        <v/>
      </c>
      <c r="CQY33" t="str">
        <f t="shared" si="298"/>
        <v/>
      </c>
      <c r="CQZ33" t="str">
        <f t="shared" si="298"/>
        <v/>
      </c>
      <c r="CRA33" t="str">
        <f t="shared" si="298"/>
        <v/>
      </c>
      <c r="CRB33" t="str">
        <f t="shared" si="298"/>
        <v/>
      </c>
      <c r="CRC33" t="str">
        <f t="shared" si="298"/>
        <v/>
      </c>
      <c r="CRD33" t="str">
        <f t="shared" si="298"/>
        <v/>
      </c>
      <c r="CRE33" t="str">
        <f t="shared" si="298"/>
        <v/>
      </c>
      <c r="CRF33" t="str">
        <f t="shared" si="298"/>
        <v/>
      </c>
      <c r="CRG33" t="str">
        <f t="shared" si="298"/>
        <v/>
      </c>
      <c r="CRH33" t="str">
        <f t="shared" si="298"/>
        <v/>
      </c>
      <c r="CRI33" t="str">
        <f t="shared" si="298"/>
        <v/>
      </c>
      <c r="CRJ33" t="str">
        <f t="shared" si="298"/>
        <v/>
      </c>
      <c r="CRK33" t="str">
        <f t="shared" si="298"/>
        <v/>
      </c>
      <c r="CRL33" t="str">
        <f t="shared" si="298"/>
        <v/>
      </c>
      <c r="CRM33" t="str">
        <f t="shared" ref="CRM33:CTX33" si="299">TRIM(CSD17)</f>
        <v/>
      </c>
      <c r="CRN33" t="str">
        <f t="shared" si="299"/>
        <v/>
      </c>
      <c r="CRO33" t="str">
        <f t="shared" si="299"/>
        <v/>
      </c>
      <c r="CRP33" t="str">
        <f t="shared" si="299"/>
        <v/>
      </c>
      <c r="CRQ33" t="str">
        <f t="shared" si="299"/>
        <v/>
      </c>
      <c r="CRR33" t="str">
        <f t="shared" si="299"/>
        <v/>
      </c>
      <c r="CRS33" t="str">
        <f t="shared" si="299"/>
        <v/>
      </c>
      <c r="CRT33" t="str">
        <f t="shared" si="299"/>
        <v/>
      </c>
      <c r="CRU33" t="str">
        <f t="shared" si="299"/>
        <v/>
      </c>
      <c r="CRV33" t="str">
        <f t="shared" si="299"/>
        <v/>
      </c>
      <c r="CRW33" t="str">
        <f t="shared" si="299"/>
        <v/>
      </c>
      <c r="CRX33" t="str">
        <f t="shared" si="299"/>
        <v/>
      </c>
      <c r="CRY33" t="str">
        <f t="shared" si="299"/>
        <v/>
      </c>
      <c r="CRZ33" t="str">
        <f t="shared" si="299"/>
        <v/>
      </c>
      <c r="CSA33" t="str">
        <f t="shared" si="299"/>
        <v/>
      </c>
      <c r="CSB33" t="str">
        <f t="shared" si="299"/>
        <v/>
      </c>
      <c r="CSC33" t="str">
        <f t="shared" si="299"/>
        <v/>
      </c>
      <c r="CSD33" t="str">
        <f t="shared" si="299"/>
        <v/>
      </c>
      <c r="CSE33" t="str">
        <f t="shared" si="299"/>
        <v/>
      </c>
      <c r="CSF33" t="str">
        <f t="shared" si="299"/>
        <v/>
      </c>
      <c r="CSG33" t="str">
        <f t="shared" si="299"/>
        <v/>
      </c>
      <c r="CSH33" t="str">
        <f t="shared" si="299"/>
        <v/>
      </c>
      <c r="CSI33" t="str">
        <f t="shared" si="299"/>
        <v/>
      </c>
      <c r="CSJ33" t="str">
        <f t="shared" si="299"/>
        <v/>
      </c>
      <c r="CSK33" t="str">
        <f t="shared" si="299"/>
        <v/>
      </c>
      <c r="CSL33" t="str">
        <f t="shared" si="299"/>
        <v/>
      </c>
      <c r="CSM33" t="str">
        <f t="shared" si="299"/>
        <v/>
      </c>
      <c r="CSN33" t="str">
        <f t="shared" si="299"/>
        <v/>
      </c>
      <c r="CSO33" t="str">
        <f t="shared" si="299"/>
        <v/>
      </c>
      <c r="CSP33" t="str">
        <f t="shared" si="299"/>
        <v/>
      </c>
      <c r="CSQ33" t="str">
        <f t="shared" si="299"/>
        <v/>
      </c>
      <c r="CSR33" t="str">
        <f t="shared" si="299"/>
        <v/>
      </c>
      <c r="CSS33" t="str">
        <f t="shared" si="299"/>
        <v/>
      </c>
      <c r="CST33" t="str">
        <f t="shared" si="299"/>
        <v/>
      </c>
      <c r="CSU33" t="str">
        <f t="shared" si="299"/>
        <v/>
      </c>
      <c r="CSV33" t="str">
        <f t="shared" si="299"/>
        <v/>
      </c>
      <c r="CSW33" t="str">
        <f t="shared" si="299"/>
        <v/>
      </c>
      <c r="CSX33" t="str">
        <f t="shared" si="299"/>
        <v/>
      </c>
      <c r="CSY33" t="str">
        <f t="shared" si="299"/>
        <v/>
      </c>
      <c r="CSZ33" t="str">
        <f t="shared" si="299"/>
        <v/>
      </c>
      <c r="CTA33" t="str">
        <f t="shared" si="299"/>
        <v/>
      </c>
      <c r="CTB33" t="str">
        <f t="shared" si="299"/>
        <v/>
      </c>
      <c r="CTC33" t="str">
        <f t="shared" si="299"/>
        <v/>
      </c>
      <c r="CTD33" t="str">
        <f t="shared" si="299"/>
        <v/>
      </c>
      <c r="CTE33" t="str">
        <f t="shared" si="299"/>
        <v/>
      </c>
      <c r="CTF33" t="str">
        <f t="shared" si="299"/>
        <v/>
      </c>
      <c r="CTG33" t="str">
        <f t="shared" si="299"/>
        <v/>
      </c>
      <c r="CTH33" t="str">
        <f t="shared" si="299"/>
        <v/>
      </c>
      <c r="CTI33" t="str">
        <f t="shared" si="299"/>
        <v/>
      </c>
      <c r="CTJ33" t="str">
        <f t="shared" si="299"/>
        <v/>
      </c>
      <c r="CTK33" t="str">
        <f t="shared" si="299"/>
        <v/>
      </c>
      <c r="CTL33" t="str">
        <f t="shared" si="299"/>
        <v/>
      </c>
      <c r="CTM33" t="str">
        <f t="shared" si="299"/>
        <v/>
      </c>
      <c r="CTN33" t="str">
        <f t="shared" si="299"/>
        <v/>
      </c>
      <c r="CTO33" t="str">
        <f t="shared" si="299"/>
        <v/>
      </c>
      <c r="CTP33" t="str">
        <f t="shared" si="299"/>
        <v/>
      </c>
      <c r="CTQ33" t="str">
        <f t="shared" si="299"/>
        <v/>
      </c>
      <c r="CTR33" t="str">
        <f t="shared" si="299"/>
        <v/>
      </c>
      <c r="CTS33" t="str">
        <f t="shared" si="299"/>
        <v/>
      </c>
      <c r="CTT33" t="str">
        <f t="shared" si="299"/>
        <v/>
      </c>
      <c r="CTU33" t="str">
        <f t="shared" si="299"/>
        <v/>
      </c>
      <c r="CTV33" t="str">
        <f t="shared" si="299"/>
        <v/>
      </c>
      <c r="CTW33" t="str">
        <f t="shared" si="299"/>
        <v/>
      </c>
      <c r="CTX33" t="str">
        <f t="shared" si="299"/>
        <v/>
      </c>
      <c r="CTY33" t="str">
        <f t="shared" ref="CTY33:CWJ33" si="300">TRIM(CUP17)</f>
        <v/>
      </c>
      <c r="CTZ33" t="str">
        <f t="shared" si="300"/>
        <v/>
      </c>
      <c r="CUA33" t="str">
        <f t="shared" si="300"/>
        <v/>
      </c>
      <c r="CUB33" t="str">
        <f t="shared" si="300"/>
        <v/>
      </c>
      <c r="CUC33" t="str">
        <f t="shared" si="300"/>
        <v/>
      </c>
      <c r="CUD33" t="str">
        <f t="shared" si="300"/>
        <v/>
      </c>
      <c r="CUE33" t="str">
        <f t="shared" si="300"/>
        <v/>
      </c>
      <c r="CUF33" t="str">
        <f t="shared" si="300"/>
        <v/>
      </c>
      <c r="CUG33" t="str">
        <f t="shared" si="300"/>
        <v/>
      </c>
      <c r="CUH33" t="str">
        <f t="shared" si="300"/>
        <v/>
      </c>
      <c r="CUI33" t="str">
        <f t="shared" si="300"/>
        <v/>
      </c>
      <c r="CUJ33" t="str">
        <f t="shared" si="300"/>
        <v/>
      </c>
      <c r="CUK33" t="str">
        <f t="shared" si="300"/>
        <v/>
      </c>
      <c r="CUL33" t="str">
        <f t="shared" si="300"/>
        <v/>
      </c>
      <c r="CUM33" t="str">
        <f t="shared" si="300"/>
        <v/>
      </c>
      <c r="CUN33" t="str">
        <f t="shared" si="300"/>
        <v/>
      </c>
      <c r="CUO33" t="str">
        <f t="shared" si="300"/>
        <v/>
      </c>
      <c r="CUP33" t="str">
        <f t="shared" si="300"/>
        <v/>
      </c>
      <c r="CUQ33" t="str">
        <f t="shared" si="300"/>
        <v/>
      </c>
      <c r="CUR33" t="str">
        <f t="shared" si="300"/>
        <v/>
      </c>
      <c r="CUS33" t="str">
        <f t="shared" si="300"/>
        <v/>
      </c>
      <c r="CUT33" t="str">
        <f t="shared" si="300"/>
        <v/>
      </c>
      <c r="CUU33" t="str">
        <f t="shared" si="300"/>
        <v/>
      </c>
      <c r="CUV33" t="str">
        <f t="shared" si="300"/>
        <v/>
      </c>
      <c r="CUW33" t="str">
        <f t="shared" si="300"/>
        <v/>
      </c>
      <c r="CUX33" t="str">
        <f t="shared" si="300"/>
        <v/>
      </c>
      <c r="CUY33" t="str">
        <f t="shared" si="300"/>
        <v/>
      </c>
      <c r="CUZ33" t="str">
        <f t="shared" si="300"/>
        <v/>
      </c>
      <c r="CVA33" t="str">
        <f t="shared" si="300"/>
        <v/>
      </c>
      <c r="CVB33" t="str">
        <f t="shared" si="300"/>
        <v/>
      </c>
      <c r="CVC33" t="str">
        <f t="shared" si="300"/>
        <v/>
      </c>
      <c r="CVD33" t="str">
        <f t="shared" si="300"/>
        <v/>
      </c>
      <c r="CVE33" t="str">
        <f t="shared" si="300"/>
        <v/>
      </c>
      <c r="CVF33" t="str">
        <f t="shared" si="300"/>
        <v/>
      </c>
      <c r="CVG33" t="str">
        <f t="shared" si="300"/>
        <v/>
      </c>
      <c r="CVH33" t="str">
        <f t="shared" si="300"/>
        <v/>
      </c>
      <c r="CVI33" t="str">
        <f t="shared" si="300"/>
        <v/>
      </c>
      <c r="CVJ33" t="str">
        <f t="shared" si="300"/>
        <v/>
      </c>
      <c r="CVK33" t="str">
        <f t="shared" si="300"/>
        <v/>
      </c>
      <c r="CVL33" t="str">
        <f t="shared" si="300"/>
        <v/>
      </c>
      <c r="CVM33" t="str">
        <f t="shared" si="300"/>
        <v/>
      </c>
      <c r="CVN33" t="str">
        <f t="shared" si="300"/>
        <v/>
      </c>
      <c r="CVO33" t="str">
        <f t="shared" si="300"/>
        <v/>
      </c>
      <c r="CVP33" t="str">
        <f t="shared" si="300"/>
        <v/>
      </c>
      <c r="CVQ33" t="str">
        <f t="shared" si="300"/>
        <v/>
      </c>
      <c r="CVR33" t="str">
        <f t="shared" si="300"/>
        <v/>
      </c>
      <c r="CVS33" t="str">
        <f t="shared" si="300"/>
        <v/>
      </c>
      <c r="CVT33" t="str">
        <f t="shared" si="300"/>
        <v/>
      </c>
      <c r="CVU33" t="str">
        <f t="shared" si="300"/>
        <v/>
      </c>
      <c r="CVV33" t="str">
        <f t="shared" si="300"/>
        <v/>
      </c>
      <c r="CVW33" t="str">
        <f t="shared" si="300"/>
        <v/>
      </c>
      <c r="CVX33" t="str">
        <f t="shared" si="300"/>
        <v/>
      </c>
      <c r="CVY33" t="str">
        <f t="shared" si="300"/>
        <v/>
      </c>
      <c r="CVZ33" t="str">
        <f t="shared" si="300"/>
        <v/>
      </c>
      <c r="CWA33" t="str">
        <f t="shared" si="300"/>
        <v/>
      </c>
      <c r="CWB33" t="str">
        <f t="shared" si="300"/>
        <v/>
      </c>
      <c r="CWC33" t="str">
        <f t="shared" si="300"/>
        <v/>
      </c>
      <c r="CWD33" t="str">
        <f t="shared" si="300"/>
        <v/>
      </c>
      <c r="CWE33" t="str">
        <f t="shared" si="300"/>
        <v/>
      </c>
      <c r="CWF33" t="str">
        <f t="shared" si="300"/>
        <v/>
      </c>
      <c r="CWG33" t="str">
        <f t="shared" si="300"/>
        <v/>
      </c>
      <c r="CWH33" t="str">
        <f t="shared" si="300"/>
        <v/>
      </c>
      <c r="CWI33" t="str">
        <f t="shared" si="300"/>
        <v/>
      </c>
      <c r="CWJ33" t="str">
        <f t="shared" si="300"/>
        <v/>
      </c>
      <c r="CWK33" t="str">
        <f t="shared" ref="CWK33:CYV33" si="301">TRIM(CXB17)</f>
        <v/>
      </c>
      <c r="CWL33" t="str">
        <f t="shared" si="301"/>
        <v/>
      </c>
      <c r="CWM33" t="str">
        <f t="shared" si="301"/>
        <v/>
      </c>
      <c r="CWN33" t="str">
        <f t="shared" si="301"/>
        <v/>
      </c>
      <c r="CWO33" t="str">
        <f t="shared" si="301"/>
        <v/>
      </c>
      <c r="CWP33" t="str">
        <f t="shared" si="301"/>
        <v/>
      </c>
      <c r="CWQ33" t="str">
        <f t="shared" si="301"/>
        <v/>
      </c>
      <c r="CWR33" t="str">
        <f t="shared" si="301"/>
        <v/>
      </c>
      <c r="CWS33" t="str">
        <f t="shared" si="301"/>
        <v/>
      </c>
      <c r="CWT33" t="str">
        <f t="shared" si="301"/>
        <v/>
      </c>
      <c r="CWU33" t="str">
        <f t="shared" si="301"/>
        <v/>
      </c>
      <c r="CWV33" t="str">
        <f t="shared" si="301"/>
        <v/>
      </c>
      <c r="CWW33" t="str">
        <f t="shared" si="301"/>
        <v/>
      </c>
      <c r="CWX33" t="str">
        <f t="shared" si="301"/>
        <v/>
      </c>
      <c r="CWY33" t="str">
        <f t="shared" si="301"/>
        <v/>
      </c>
      <c r="CWZ33" t="str">
        <f t="shared" si="301"/>
        <v/>
      </c>
      <c r="CXA33" t="str">
        <f t="shared" si="301"/>
        <v/>
      </c>
      <c r="CXB33" t="str">
        <f t="shared" si="301"/>
        <v/>
      </c>
      <c r="CXC33" t="str">
        <f t="shared" si="301"/>
        <v/>
      </c>
      <c r="CXD33" t="str">
        <f t="shared" si="301"/>
        <v/>
      </c>
      <c r="CXE33" t="str">
        <f t="shared" si="301"/>
        <v/>
      </c>
      <c r="CXF33" t="str">
        <f t="shared" si="301"/>
        <v/>
      </c>
      <c r="CXG33" t="str">
        <f t="shared" si="301"/>
        <v/>
      </c>
      <c r="CXH33" t="str">
        <f t="shared" si="301"/>
        <v/>
      </c>
      <c r="CXI33" t="str">
        <f t="shared" si="301"/>
        <v/>
      </c>
      <c r="CXJ33" t="str">
        <f t="shared" si="301"/>
        <v/>
      </c>
      <c r="CXK33" t="str">
        <f t="shared" si="301"/>
        <v/>
      </c>
      <c r="CXL33" t="str">
        <f t="shared" si="301"/>
        <v/>
      </c>
      <c r="CXM33" t="str">
        <f t="shared" si="301"/>
        <v/>
      </c>
      <c r="CXN33" t="str">
        <f t="shared" si="301"/>
        <v/>
      </c>
      <c r="CXO33" t="str">
        <f t="shared" si="301"/>
        <v/>
      </c>
      <c r="CXP33" t="str">
        <f t="shared" si="301"/>
        <v/>
      </c>
      <c r="CXQ33" t="str">
        <f t="shared" si="301"/>
        <v/>
      </c>
      <c r="CXR33" t="str">
        <f t="shared" si="301"/>
        <v/>
      </c>
      <c r="CXS33" t="str">
        <f t="shared" si="301"/>
        <v/>
      </c>
      <c r="CXT33" t="str">
        <f t="shared" si="301"/>
        <v/>
      </c>
      <c r="CXU33" t="str">
        <f t="shared" si="301"/>
        <v/>
      </c>
      <c r="CXV33" t="str">
        <f t="shared" si="301"/>
        <v/>
      </c>
      <c r="CXW33" t="str">
        <f t="shared" si="301"/>
        <v/>
      </c>
      <c r="CXX33" t="str">
        <f t="shared" si="301"/>
        <v/>
      </c>
      <c r="CXY33" t="str">
        <f t="shared" si="301"/>
        <v/>
      </c>
      <c r="CXZ33" t="str">
        <f t="shared" si="301"/>
        <v/>
      </c>
      <c r="CYA33" t="str">
        <f t="shared" si="301"/>
        <v/>
      </c>
      <c r="CYB33" t="str">
        <f t="shared" si="301"/>
        <v/>
      </c>
      <c r="CYC33" t="str">
        <f t="shared" si="301"/>
        <v/>
      </c>
      <c r="CYD33" t="str">
        <f t="shared" si="301"/>
        <v/>
      </c>
      <c r="CYE33" t="str">
        <f t="shared" si="301"/>
        <v/>
      </c>
      <c r="CYF33" t="str">
        <f t="shared" si="301"/>
        <v/>
      </c>
      <c r="CYG33" t="str">
        <f t="shared" si="301"/>
        <v/>
      </c>
      <c r="CYH33" t="str">
        <f t="shared" si="301"/>
        <v/>
      </c>
      <c r="CYI33" t="str">
        <f t="shared" si="301"/>
        <v/>
      </c>
      <c r="CYJ33" t="str">
        <f t="shared" si="301"/>
        <v/>
      </c>
      <c r="CYK33" t="str">
        <f t="shared" si="301"/>
        <v/>
      </c>
      <c r="CYL33" t="str">
        <f t="shared" si="301"/>
        <v/>
      </c>
      <c r="CYM33" t="str">
        <f t="shared" si="301"/>
        <v/>
      </c>
      <c r="CYN33" t="str">
        <f t="shared" si="301"/>
        <v/>
      </c>
      <c r="CYO33" t="str">
        <f t="shared" si="301"/>
        <v/>
      </c>
      <c r="CYP33" t="str">
        <f t="shared" si="301"/>
        <v/>
      </c>
      <c r="CYQ33" t="str">
        <f t="shared" si="301"/>
        <v/>
      </c>
      <c r="CYR33" t="str">
        <f t="shared" si="301"/>
        <v/>
      </c>
      <c r="CYS33" t="str">
        <f t="shared" si="301"/>
        <v/>
      </c>
      <c r="CYT33" t="str">
        <f t="shared" si="301"/>
        <v/>
      </c>
      <c r="CYU33" t="str">
        <f t="shared" si="301"/>
        <v/>
      </c>
      <c r="CYV33" t="str">
        <f t="shared" si="301"/>
        <v/>
      </c>
      <c r="CYW33" t="str">
        <f t="shared" ref="CYW33:DBH33" si="302">TRIM(CZN17)</f>
        <v/>
      </c>
      <c r="CYX33" t="str">
        <f t="shared" si="302"/>
        <v/>
      </c>
      <c r="CYY33" t="str">
        <f t="shared" si="302"/>
        <v/>
      </c>
      <c r="CYZ33" t="str">
        <f t="shared" si="302"/>
        <v/>
      </c>
      <c r="CZA33" t="str">
        <f t="shared" si="302"/>
        <v/>
      </c>
      <c r="CZB33" t="str">
        <f t="shared" si="302"/>
        <v/>
      </c>
      <c r="CZC33" t="str">
        <f t="shared" si="302"/>
        <v/>
      </c>
      <c r="CZD33" t="str">
        <f t="shared" si="302"/>
        <v/>
      </c>
      <c r="CZE33" t="str">
        <f t="shared" si="302"/>
        <v/>
      </c>
      <c r="CZF33" t="str">
        <f t="shared" si="302"/>
        <v/>
      </c>
      <c r="CZG33" t="str">
        <f t="shared" si="302"/>
        <v/>
      </c>
      <c r="CZH33" t="str">
        <f t="shared" si="302"/>
        <v/>
      </c>
      <c r="CZI33" t="str">
        <f t="shared" si="302"/>
        <v/>
      </c>
      <c r="CZJ33" t="str">
        <f t="shared" si="302"/>
        <v/>
      </c>
      <c r="CZK33" t="str">
        <f t="shared" si="302"/>
        <v/>
      </c>
      <c r="CZL33" t="str">
        <f t="shared" si="302"/>
        <v/>
      </c>
      <c r="CZM33" t="str">
        <f t="shared" si="302"/>
        <v/>
      </c>
      <c r="CZN33" t="str">
        <f t="shared" si="302"/>
        <v/>
      </c>
      <c r="CZO33" t="str">
        <f t="shared" si="302"/>
        <v/>
      </c>
      <c r="CZP33" t="str">
        <f t="shared" si="302"/>
        <v/>
      </c>
      <c r="CZQ33" t="str">
        <f t="shared" si="302"/>
        <v/>
      </c>
      <c r="CZR33" t="str">
        <f t="shared" si="302"/>
        <v/>
      </c>
      <c r="CZS33" t="str">
        <f t="shared" si="302"/>
        <v/>
      </c>
      <c r="CZT33" t="str">
        <f t="shared" si="302"/>
        <v/>
      </c>
      <c r="CZU33" t="str">
        <f t="shared" si="302"/>
        <v/>
      </c>
      <c r="CZV33" t="str">
        <f t="shared" si="302"/>
        <v/>
      </c>
      <c r="CZW33" t="str">
        <f t="shared" si="302"/>
        <v/>
      </c>
      <c r="CZX33" t="str">
        <f t="shared" si="302"/>
        <v/>
      </c>
      <c r="CZY33" t="str">
        <f t="shared" si="302"/>
        <v/>
      </c>
      <c r="CZZ33" t="str">
        <f t="shared" si="302"/>
        <v/>
      </c>
      <c r="DAA33" t="str">
        <f t="shared" si="302"/>
        <v/>
      </c>
      <c r="DAB33" t="str">
        <f t="shared" si="302"/>
        <v/>
      </c>
      <c r="DAC33" t="str">
        <f t="shared" si="302"/>
        <v/>
      </c>
      <c r="DAD33" t="str">
        <f t="shared" si="302"/>
        <v/>
      </c>
      <c r="DAE33" t="str">
        <f t="shared" si="302"/>
        <v/>
      </c>
      <c r="DAF33" t="str">
        <f t="shared" si="302"/>
        <v/>
      </c>
      <c r="DAG33" t="str">
        <f t="shared" si="302"/>
        <v/>
      </c>
      <c r="DAH33" t="str">
        <f t="shared" si="302"/>
        <v/>
      </c>
      <c r="DAI33" t="str">
        <f t="shared" si="302"/>
        <v/>
      </c>
      <c r="DAJ33" t="str">
        <f t="shared" si="302"/>
        <v/>
      </c>
      <c r="DAK33" t="str">
        <f t="shared" si="302"/>
        <v/>
      </c>
      <c r="DAL33" t="str">
        <f t="shared" si="302"/>
        <v/>
      </c>
      <c r="DAM33" t="str">
        <f t="shared" si="302"/>
        <v/>
      </c>
      <c r="DAN33" t="str">
        <f t="shared" si="302"/>
        <v/>
      </c>
      <c r="DAO33" t="str">
        <f t="shared" si="302"/>
        <v/>
      </c>
      <c r="DAP33" t="str">
        <f t="shared" si="302"/>
        <v/>
      </c>
      <c r="DAQ33" t="str">
        <f t="shared" si="302"/>
        <v/>
      </c>
      <c r="DAR33" t="str">
        <f t="shared" si="302"/>
        <v/>
      </c>
      <c r="DAS33" t="str">
        <f t="shared" si="302"/>
        <v/>
      </c>
      <c r="DAT33" t="str">
        <f t="shared" si="302"/>
        <v/>
      </c>
      <c r="DAU33" t="str">
        <f t="shared" si="302"/>
        <v/>
      </c>
      <c r="DAV33" t="str">
        <f t="shared" si="302"/>
        <v/>
      </c>
      <c r="DAW33" t="str">
        <f t="shared" si="302"/>
        <v/>
      </c>
      <c r="DAX33" t="str">
        <f t="shared" si="302"/>
        <v/>
      </c>
      <c r="DAY33" t="str">
        <f t="shared" si="302"/>
        <v/>
      </c>
      <c r="DAZ33" t="str">
        <f t="shared" si="302"/>
        <v/>
      </c>
      <c r="DBA33" t="str">
        <f t="shared" si="302"/>
        <v/>
      </c>
      <c r="DBB33" t="str">
        <f t="shared" si="302"/>
        <v/>
      </c>
      <c r="DBC33" t="str">
        <f t="shared" si="302"/>
        <v/>
      </c>
      <c r="DBD33" t="str">
        <f t="shared" si="302"/>
        <v/>
      </c>
      <c r="DBE33" t="str">
        <f t="shared" si="302"/>
        <v/>
      </c>
      <c r="DBF33" t="str">
        <f t="shared" si="302"/>
        <v/>
      </c>
      <c r="DBG33" t="str">
        <f t="shared" si="302"/>
        <v/>
      </c>
      <c r="DBH33" t="str">
        <f t="shared" si="302"/>
        <v/>
      </c>
      <c r="DBI33" t="str">
        <f t="shared" ref="DBI33:DDT33" si="303">TRIM(DBZ17)</f>
        <v/>
      </c>
      <c r="DBJ33" t="str">
        <f t="shared" si="303"/>
        <v/>
      </c>
      <c r="DBK33" t="str">
        <f t="shared" si="303"/>
        <v/>
      </c>
      <c r="DBL33" t="str">
        <f t="shared" si="303"/>
        <v/>
      </c>
      <c r="DBM33" t="str">
        <f t="shared" si="303"/>
        <v/>
      </c>
      <c r="DBN33" t="str">
        <f t="shared" si="303"/>
        <v/>
      </c>
      <c r="DBO33" t="str">
        <f t="shared" si="303"/>
        <v/>
      </c>
      <c r="DBP33" t="str">
        <f t="shared" si="303"/>
        <v/>
      </c>
      <c r="DBQ33" t="str">
        <f t="shared" si="303"/>
        <v/>
      </c>
      <c r="DBR33" t="str">
        <f t="shared" si="303"/>
        <v/>
      </c>
      <c r="DBS33" t="str">
        <f t="shared" si="303"/>
        <v/>
      </c>
      <c r="DBT33" t="str">
        <f t="shared" si="303"/>
        <v/>
      </c>
      <c r="DBU33" t="str">
        <f t="shared" si="303"/>
        <v/>
      </c>
      <c r="DBV33" t="str">
        <f t="shared" si="303"/>
        <v/>
      </c>
      <c r="DBW33" t="str">
        <f t="shared" si="303"/>
        <v/>
      </c>
      <c r="DBX33" t="str">
        <f t="shared" si="303"/>
        <v/>
      </c>
      <c r="DBY33" t="str">
        <f t="shared" si="303"/>
        <v/>
      </c>
      <c r="DBZ33" t="str">
        <f t="shared" si="303"/>
        <v/>
      </c>
      <c r="DCA33" t="str">
        <f t="shared" si="303"/>
        <v/>
      </c>
      <c r="DCB33" t="str">
        <f t="shared" si="303"/>
        <v/>
      </c>
      <c r="DCC33" t="str">
        <f t="shared" si="303"/>
        <v/>
      </c>
      <c r="DCD33" t="str">
        <f t="shared" si="303"/>
        <v/>
      </c>
      <c r="DCE33" t="str">
        <f t="shared" si="303"/>
        <v/>
      </c>
      <c r="DCF33" t="str">
        <f t="shared" si="303"/>
        <v/>
      </c>
      <c r="DCG33" t="str">
        <f t="shared" si="303"/>
        <v/>
      </c>
      <c r="DCH33" t="str">
        <f t="shared" si="303"/>
        <v/>
      </c>
      <c r="DCI33" t="str">
        <f t="shared" si="303"/>
        <v/>
      </c>
      <c r="DCJ33" t="str">
        <f t="shared" si="303"/>
        <v/>
      </c>
      <c r="DCK33" t="str">
        <f t="shared" si="303"/>
        <v/>
      </c>
      <c r="DCL33" t="str">
        <f t="shared" si="303"/>
        <v/>
      </c>
      <c r="DCM33" t="str">
        <f t="shared" si="303"/>
        <v/>
      </c>
      <c r="DCN33" t="str">
        <f t="shared" si="303"/>
        <v/>
      </c>
      <c r="DCO33" t="str">
        <f t="shared" si="303"/>
        <v/>
      </c>
      <c r="DCP33" t="str">
        <f t="shared" si="303"/>
        <v/>
      </c>
      <c r="DCQ33" t="str">
        <f t="shared" si="303"/>
        <v/>
      </c>
      <c r="DCR33" t="str">
        <f t="shared" si="303"/>
        <v/>
      </c>
      <c r="DCS33" t="str">
        <f t="shared" si="303"/>
        <v/>
      </c>
      <c r="DCT33" t="str">
        <f t="shared" si="303"/>
        <v/>
      </c>
      <c r="DCU33" t="str">
        <f t="shared" si="303"/>
        <v/>
      </c>
      <c r="DCV33" t="str">
        <f t="shared" si="303"/>
        <v/>
      </c>
      <c r="DCW33" t="str">
        <f t="shared" si="303"/>
        <v/>
      </c>
      <c r="DCX33" t="str">
        <f t="shared" si="303"/>
        <v/>
      </c>
      <c r="DCY33" t="str">
        <f t="shared" si="303"/>
        <v/>
      </c>
      <c r="DCZ33" t="str">
        <f t="shared" si="303"/>
        <v/>
      </c>
      <c r="DDA33" t="str">
        <f t="shared" si="303"/>
        <v/>
      </c>
      <c r="DDB33" t="str">
        <f t="shared" si="303"/>
        <v/>
      </c>
      <c r="DDC33" t="str">
        <f t="shared" si="303"/>
        <v/>
      </c>
      <c r="DDD33" t="str">
        <f t="shared" si="303"/>
        <v/>
      </c>
      <c r="DDE33" t="str">
        <f t="shared" si="303"/>
        <v/>
      </c>
      <c r="DDF33" t="str">
        <f t="shared" si="303"/>
        <v/>
      </c>
      <c r="DDG33" t="str">
        <f t="shared" si="303"/>
        <v/>
      </c>
      <c r="DDH33" t="str">
        <f t="shared" si="303"/>
        <v/>
      </c>
      <c r="DDI33" t="str">
        <f t="shared" si="303"/>
        <v/>
      </c>
      <c r="DDJ33" t="str">
        <f t="shared" si="303"/>
        <v/>
      </c>
      <c r="DDK33" t="str">
        <f t="shared" si="303"/>
        <v/>
      </c>
      <c r="DDL33" t="str">
        <f t="shared" si="303"/>
        <v/>
      </c>
      <c r="DDM33" t="str">
        <f t="shared" si="303"/>
        <v/>
      </c>
      <c r="DDN33" t="str">
        <f t="shared" si="303"/>
        <v/>
      </c>
      <c r="DDO33" t="str">
        <f t="shared" si="303"/>
        <v/>
      </c>
      <c r="DDP33" t="str">
        <f t="shared" si="303"/>
        <v/>
      </c>
      <c r="DDQ33" t="str">
        <f t="shared" si="303"/>
        <v/>
      </c>
      <c r="DDR33" t="str">
        <f t="shared" si="303"/>
        <v/>
      </c>
      <c r="DDS33" t="str">
        <f t="shared" si="303"/>
        <v/>
      </c>
      <c r="DDT33" t="str">
        <f t="shared" si="303"/>
        <v/>
      </c>
      <c r="DDU33" t="str">
        <f t="shared" ref="DDU33:DGF33" si="304">TRIM(DEL17)</f>
        <v/>
      </c>
      <c r="DDV33" t="str">
        <f t="shared" si="304"/>
        <v/>
      </c>
      <c r="DDW33" t="str">
        <f t="shared" si="304"/>
        <v/>
      </c>
      <c r="DDX33" t="str">
        <f t="shared" si="304"/>
        <v/>
      </c>
      <c r="DDY33" t="str">
        <f t="shared" si="304"/>
        <v/>
      </c>
      <c r="DDZ33" t="str">
        <f t="shared" si="304"/>
        <v/>
      </c>
      <c r="DEA33" t="str">
        <f t="shared" si="304"/>
        <v/>
      </c>
      <c r="DEB33" t="str">
        <f t="shared" si="304"/>
        <v/>
      </c>
      <c r="DEC33" t="str">
        <f t="shared" si="304"/>
        <v/>
      </c>
      <c r="DED33" t="str">
        <f t="shared" si="304"/>
        <v/>
      </c>
      <c r="DEE33" t="str">
        <f t="shared" si="304"/>
        <v/>
      </c>
      <c r="DEF33" t="str">
        <f t="shared" si="304"/>
        <v/>
      </c>
      <c r="DEG33" t="str">
        <f t="shared" si="304"/>
        <v/>
      </c>
      <c r="DEH33" t="str">
        <f t="shared" si="304"/>
        <v/>
      </c>
      <c r="DEI33" t="str">
        <f t="shared" si="304"/>
        <v/>
      </c>
      <c r="DEJ33" t="str">
        <f t="shared" si="304"/>
        <v/>
      </c>
      <c r="DEK33" t="str">
        <f t="shared" si="304"/>
        <v/>
      </c>
      <c r="DEL33" t="str">
        <f t="shared" si="304"/>
        <v/>
      </c>
      <c r="DEM33" t="str">
        <f t="shared" si="304"/>
        <v/>
      </c>
      <c r="DEN33" t="str">
        <f t="shared" si="304"/>
        <v/>
      </c>
      <c r="DEO33" t="str">
        <f t="shared" si="304"/>
        <v/>
      </c>
      <c r="DEP33" t="str">
        <f t="shared" si="304"/>
        <v/>
      </c>
      <c r="DEQ33" t="str">
        <f t="shared" si="304"/>
        <v/>
      </c>
      <c r="DER33" t="str">
        <f t="shared" si="304"/>
        <v/>
      </c>
      <c r="DES33" t="str">
        <f t="shared" si="304"/>
        <v/>
      </c>
      <c r="DET33" t="str">
        <f t="shared" si="304"/>
        <v/>
      </c>
      <c r="DEU33" t="str">
        <f t="shared" si="304"/>
        <v/>
      </c>
      <c r="DEV33" t="str">
        <f t="shared" si="304"/>
        <v/>
      </c>
      <c r="DEW33" t="str">
        <f t="shared" si="304"/>
        <v/>
      </c>
      <c r="DEX33" t="str">
        <f t="shared" si="304"/>
        <v/>
      </c>
      <c r="DEY33" t="str">
        <f t="shared" si="304"/>
        <v/>
      </c>
      <c r="DEZ33" t="str">
        <f t="shared" si="304"/>
        <v/>
      </c>
      <c r="DFA33" t="str">
        <f t="shared" si="304"/>
        <v/>
      </c>
      <c r="DFB33" t="str">
        <f t="shared" si="304"/>
        <v/>
      </c>
      <c r="DFC33" t="str">
        <f t="shared" si="304"/>
        <v/>
      </c>
      <c r="DFD33" t="str">
        <f t="shared" si="304"/>
        <v/>
      </c>
      <c r="DFE33" t="str">
        <f t="shared" si="304"/>
        <v/>
      </c>
      <c r="DFF33" t="str">
        <f t="shared" si="304"/>
        <v/>
      </c>
      <c r="DFG33" t="str">
        <f t="shared" si="304"/>
        <v/>
      </c>
      <c r="DFH33" t="str">
        <f t="shared" si="304"/>
        <v/>
      </c>
      <c r="DFI33" t="str">
        <f t="shared" si="304"/>
        <v/>
      </c>
      <c r="DFJ33" t="str">
        <f t="shared" si="304"/>
        <v/>
      </c>
      <c r="DFK33" t="str">
        <f t="shared" si="304"/>
        <v/>
      </c>
      <c r="DFL33" t="str">
        <f t="shared" si="304"/>
        <v/>
      </c>
      <c r="DFM33" t="str">
        <f t="shared" si="304"/>
        <v/>
      </c>
      <c r="DFN33" t="str">
        <f t="shared" si="304"/>
        <v/>
      </c>
      <c r="DFO33" t="str">
        <f t="shared" si="304"/>
        <v/>
      </c>
      <c r="DFP33" t="str">
        <f t="shared" si="304"/>
        <v/>
      </c>
      <c r="DFQ33" t="str">
        <f t="shared" si="304"/>
        <v/>
      </c>
      <c r="DFR33" t="str">
        <f t="shared" si="304"/>
        <v/>
      </c>
      <c r="DFS33" t="str">
        <f t="shared" si="304"/>
        <v/>
      </c>
      <c r="DFT33" t="str">
        <f t="shared" si="304"/>
        <v/>
      </c>
      <c r="DFU33" t="str">
        <f t="shared" si="304"/>
        <v/>
      </c>
      <c r="DFV33" t="str">
        <f t="shared" si="304"/>
        <v/>
      </c>
      <c r="DFW33" t="str">
        <f t="shared" si="304"/>
        <v/>
      </c>
      <c r="DFX33" t="str">
        <f t="shared" si="304"/>
        <v/>
      </c>
      <c r="DFY33" t="str">
        <f t="shared" si="304"/>
        <v/>
      </c>
      <c r="DFZ33" t="str">
        <f t="shared" si="304"/>
        <v/>
      </c>
      <c r="DGA33" t="str">
        <f t="shared" si="304"/>
        <v/>
      </c>
      <c r="DGB33" t="str">
        <f t="shared" si="304"/>
        <v/>
      </c>
      <c r="DGC33" t="str">
        <f t="shared" si="304"/>
        <v/>
      </c>
      <c r="DGD33" t="str">
        <f t="shared" si="304"/>
        <v/>
      </c>
      <c r="DGE33" t="str">
        <f t="shared" si="304"/>
        <v/>
      </c>
      <c r="DGF33" t="str">
        <f t="shared" si="304"/>
        <v/>
      </c>
      <c r="DGG33" t="str">
        <f t="shared" ref="DGG33:DIR33" si="305">TRIM(DGX17)</f>
        <v/>
      </c>
      <c r="DGH33" t="str">
        <f t="shared" si="305"/>
        <v/>
      </c>
      <c r="DGI33" t="str">
        <f t="shared" si="305"/>
        <v/>
      </c>
      <c r="DGJ33" t="str">
        <f t="shared" si="305"/>
        <v/>
      </c>
      <c r="DGK33" t="str">
        <f t="shared" si="305"/>
        <v/>
      </c>
      <c r="DGL33" t="str">
        <f t="shared" si="305"/>
        <v/>
      </c>
      <c r="DGM33" t="str">
        <f t="shared" si="305"/>
        <v/>
      </c>
      <c r="DGN33" t="str">
        <f t="shared" si="305"/>
        <v/>
      </c>
      <c r="DGO33" t="str">
        <f t="shared" si="305"/>
        <v/>
      </c>
      <c r="DGP33" t="str">
        <f t="shared" si="305"/>
        <v/>
      </c>
      <c r="DGQ33" t="str">
        <f t="shared" si="305"/>
        <v/>
      </c>
      <c r="DGR33" t="str">
        <f t="shared" si="305"/>
        <v/>
      </c>
      <c r="DGS33" t="str">
        <f t="shared" si="305"/>
        <v/>
      </c>
      <c r="DGT33" t="str">
        <f t="shared" si="305"/>
        <v/>
      </c>
      <c r="DGU33" t="str">
        <f t="shared" si="305"/>
        <v/>
      </c>
      <c r="DGV33" t="str">
        <f t="shared" si="305"/>
        <v/>
      </c>
      <c r="DGW33" t="str">
        <f t="shared" si="305"/>
        <v/>
      </c>
      <c r="DGX33" t="str">
        <f t="shared" si="305"/>
        <v/>
      </c>
      <c r="DGY33" t="str">
        <f t="shared" si="305"/>
        <v/>
      </c>
      <c r="DGZ33" t="str">
        <f t="shared" si="305"/>
        <v/>
      </c>
      <c r="DHA33" t="str">
        <f t="shared" si="305"/>
        <v/>
      </c>
      <c r="DHB33" t="str">
        <f t="shared" si="305"/>
        <v/>
      </c>
      <c r="DHC33" t="str">
        <f t="shared" si="305"/>
        <v/>
      </c>
      <c r="DHD33" t="str">
        <f t="shared" si="305"/>
        <v/>
      </c>
      <c r="DHE33" t="str">
        <f t="shared" si="305"/>
        <v/>
      </c>
      <c r="DHF33" t="str">
        <f t="shared" si="305"/>
        <v/>
      </c>
      <c r="DHG33" t="str">
        <f t="shared" si="305"/>
        <v/>
      </c>
      <c r="DHH33" t="str">
        <f t="shared" si="305"/>
        <v/>
      </c>
      <c r="DHI33" t="str">
        <f t="shared" si="305"/>
        <v/>
      </c>
      <c r="DHJ33" t="str">
        <f t="shared" si="305"/>
        <v/>
      </c>
      <c r="DHK33" t="str">
        <f t="shared" si="305"/>
        <v/>
      </c>
      <c r="DHL33" t="str">
        <f t="shared" si="305"/>
        <v/>
      </c>
      <c r="DHM33" t="str">
        <f t="shared" si="305"/>
        <v/>
      </c>
      <c r="DHN33" t="str">
        <f t="shared" si="305"/>
        <v/>
      </c>
      <c r="DHO33" t="str">
        <f t="shared" si="305"/>
        <v/>
      </c>
      <c r="DHP33" t="str">
        <f t="shared" si="305"/>
        <v/>
      </c>
      <c r="DHQ33" t="str">
        <f t="shared" si="305"/>
        <v/>
      </c>
      <c r="DHR33" t="str">
        <f t="shared" si="305"/>
        <v/>
      </c>
      <c r="DHS33" t="str">
        <f t="shared" si="305"/>
        <v/>
      </c>
      <c r="DHT33" t="str">
        <f t="shared" si="305"/>
        <v/>
      </c>
      <c r="DHU33" t="str">
        <f t="shared" si="305"/>
        <v/>
      </c>
      <c r="DHV33" t="str">
        <f t="shared" si="305"/>
        <v/>
      </c>
      <c r="DHW33" t="str">
        <f t="shared" si="305"/>
        <v/>
      </c>
      <c r="DHX33" t="str">
        <f t="shared" si="305"/>
        <v/>
      </c>
      <c r="DHY33" t="str">
        <f t="shared" si="305"/>
        <v/>
      </c>
      <c r="DHZ33" t="str">
        <f t="shared" si="305"/>
        <v/>
      </c>
      <c r="DIA33" t="str">
        <f t="shared" si="305"/>
        <v/>
      </c>
      <c r="DIB33" t="str">
        <f t="shared" si="305"/>
        <v/>
      </c>
      <c r="DIC33" t="str">
        <f t="shared" si="305"/>
        <v/>
      </c>
      <c r="DID33" t="str">
        <f t="shared" si="305"/>
        <v/>
      </c>
      <c r="DIE33" t="str">
        <f t="shared" si="305"/>
        <v/>
      </c>
      <c r="DIF33" t="str">
        <f t="shared" si="305"/>
        <v/>
      </c>
      <c r="DIG33" t="str">
        <f t="shared" si="305"/>
        <v/>
      </c>
      <c r="DIH33" t="str">
        <f t="shared" si="305"/>
        <v/>
      </c>
      <c r="DII33" t="str">
        <f t="shared" si="305"/>
        <v/>
      </c>
      <c r="DIJ33" t="str">
        <f t="shared" si="305"/>
        <v/>
      </c>
      <c r="DIK33" t="str">
        <f t="shared" si="305"/>
        <v/>
      </c>
      <c r="DIL33" t="str">
        <f t="shared" si="305"/>
        <v/>
      </c>
      <c r="DIM33" t="str">
        <f t="shared" si="305"/>
        <v/>
      </c>
      <c r="DIN33" t="str">
        <f t="shared" si="305"/>
        <v/>
      </c>
      <c r="DIO33" t="str">
        <f t="shared" si="305"/>
        <v/>
      </c>
      <c r="DIP33" t="str">
        <f t="shared" si="305"/>
        <v/>
      </c>
      <c r="DIQ33" t="str">
        <f t="shared" si="305"/>
        <v/>
      </c>
      <c r="DIR33" t="str">
        <f t="shared" si="305"/>
        <v/>
      </c>
      <c r="DIS33" t="str">
        <f t="shared" ref="DIS33:DLD33" si="306">TRIM(DJJ17)</f>
        <v/>
      </c>
      <c r="DIT33" t="str">
        <f t="shared" si="306"/>
        <v/>
      </c>
      <c r="DIU33" t="str">
        <f t="shared" si="306"/>
        <v/>
      </c>
      <c r="DIV33" t="str">
        <f t="shared" si="306"/>
        <v/>
      </c>
      <c r="DIW33" t="str">
        <f t="shared" si="306"/>
        <v/>
      </c>
      <c r="DIX33" t="str">
        <f t="shared" si="306"/>
        <v/>
      </c>
      <c r="DIY33" t="str">
        <f t="shared" si="306"/>
        <v/>
      </c>
      <c r="DIZ33" t="str">
        <f t="shared" si="306"/>
        <v/>
      </c>
      <c r="DJA33" t="str">
        <f t="shared" si="306"/>
        <v/>
      </c>
      <c r="DJB33" t="str">
        <f t="shared" si="306"/>
        <v/>
      </c>
      <c r="DJC33" t="str">
        <f t="shared" si="306"/>
        <v/>
      </c>
      <c r="DJD33" t="str">
        <f t="shared" si="306"/>
        <v/>
      </c>
      <c r="DJE33" t="str">
        <f t="shared" si="306"/>
        <v/>
      </c>
      <c r="DJF33" t="str">
        <f t="shared" si="306"/>
        <v/>
      </c>
      <c r="DJG33" t="str">
        <f t="shared" si="306"/>
        <v/>
      </c>
      <c r="DJH33" t="str">
        <f t="shared" si="306"/>
        <v/>
      </c>
      <c r="DJI33" t="str">
        <f t="shared" si="306"/>
        <v/>
      </c>
      <c r="DJJ33" t="str">
        <f t="shared" si="306"/>
        <v/>
      </c>
      <c r="DJK33" t="str">
        <f t="shared" si="306"/>
        <v/>
      </c>
      <c r="DJL33" t="str">
        <f t="shared" si="306"/>
        <v/>
      </c>
      <c r="DJM33" t="str">
        <f t="shared" si="306"/>
        <v/>
      </c>
      <c r="DJN33" t="str">
        <f t="shared" si="306"/>
        <v/>
      </c>
      <c r="DJO33" t="str">
        <f t="shared" si="306"/>
        <v/>
      </c>
      <c r="DJP33" t="str">
        <f t="shared" si="306"/>
        <v/>
      </c>
      <c r="DJQ33" t="str">
        <f t="shared" si="306"/>
        <v/>
      </c>
      <c r="DJR33" t="str">
        <f t="shared" si="306"/>
        <v/>
      </c>
      <c r="DJS33" t="str">
        <f t="shared" si="306"/>
        <v/>
      </c>
      <c r="DJT33" t="str">
        <f t="shared" si="306"/>
        <v/>
      </c>
      <c r="DJU33" t="str">
        <f t="shared" si="306"/>
        <v/>
      </c>
      <c r="DJV33" t="str">
        <f t="shared" si="306"/>
        <v/>
      </c>
      <c r="DJW33" t="str">
        <f t="shared" si="306"/>
        <v/>
      </c>
      <c r="DJX33" t="str">
        <f t="shared" si="306"/>
        <v/>
      </c>
      <c r="DJY33" t="str">
        <f t="shared" si="306"/>
        <v/>
      </c>
      <c r="DJZ33" t="str">
        <f t="shared" si="306"/>
        <v/>
      </c>
      <c r="DKA33" t="str">
        <f t="shared" si="306"/>
        <v/>
      </c>
      <c r="DKB33" t="str">
        <f t="shared" si="306"/>
        <v/>
      </c>
      <c r="DKC33" t="str">
        <f t="shared" si="306"/>
        <v/>
      </c>
      <c r="DKD33" t="str">
        <f t="shared" si="306"/>
        <v/>
      </c>
      <c r="DKE33" t="str">
        <f t="shared" si="306"/>
        <v/>
      </c>
      <c r="DKF33" t="str">
        <f t="shared" si="306"/>
        <v/>
      </c>
      <c r="DKG33" t="str">
        <f t="shared" si="306"/>
        <v/>
      </c>
      <c r="DKH33" t="str">
        <f t="shared" si="306"/>
        <v/>
      </c>
      <c r="DKI33" t="str">
        <f t="shared" si="306"/>
        <v/>
      </c>
      <c r="DKJ33" t="str">
        <f t="shared" si="306"/>
        <v/>
      </c>
      <c r="DKK33" t="str">
        <f t="shared" si="306"/>
        <v/>
      </c>
      <c r="DKL33" t="str">
        <f t="shared" si="306"/>
        <v/>
      </c>
      <c r="DKM33" t="str">
        <f t="shared" si="306"/>
        <v/>
      </c>
      <c r="DKN33" t="str">
        <f t="shared" si="306"/>
        <v/>
      </c>
      <c r="DKO33" t="str">
        <f t="shared" si="306"/>
        <v/>
      </c>
      <c r="DKP33" t="str">
        <f t="shared" si="306"/>
        <v/>
      </c>
      <c r="DKQ33" t="str">
        <f t="shared" si="306"/>
        <v/>
      </c>
      <c r="DKR33" t="str">
        <f t="shared" si="306"/>
        <v/>
      </c>
      <c r="DKS33" t="str">
        <f t="shared" si="306"/>
        <v/>
      </c>
      <c r="DKT33" t="str">
        <f t="shared" si="306"/>
        <v/>
      </c>
      <c r="DKU33" t="str">
        <f t="shared" si="306"/>
        <v/>
      </c>
      <c r="DKV33" t="str">
        <f t="shared" si="306"/>
        <v/>
      </c>
      <c r="DKW33" t="str">
        <f t="shared" si="306"/>
        <v/>
      </c>
      <c r="DKX33" t="str">
        <f t="shared" si="306"/>
        <v/>
      </c>
      <c r="DKY33" t="str">
        <f t="shared" si="306"/>
        <v/>
      </c>
      <c r="DKZ33" t="str">
        <f t="shared" si="306"/>
        <v/>
      </c>
      <c r="DLA33" t="str">
        <f t="shared" si="306"/>
        <v/>
      </c>
      <c r="DLB33" t="str">
        <f t="shared" si="306"/>
        <v/>
      </c>
      <c r="DLC33" t="str">
        <f t="shared" si="306"/>
        <v/>
      </c>
      <c r="DLD33" t="str">
        <f t="shared" si="306"/>
        <v/>
      </c>
      <c r="DLE33" t="str">
        <f t="shared" ref="DLE33:DNP33" si="307">TRIM(DLV17)</f>
        <v/>
      </c>
      <c r="DLF33" t="str">
        <f t="shared" si="307"/>
        <v/>
      </c>
      <c r="DLG33" t="str">
        <f t="shared" si="307"/>
        <v/>
      </c>
      <c r="DLH33" t="str">
        <f t="shared" si="307"/>
        <v/>
      </c>
      <c r="DLI33" t="str">
        <f t="shared" si="307"/>
        <v/>
      </c>
      <c r="DLJ33" t="str">
        <f t="shared" si="307"/>
        <v/>
      </c>
      <c r="DLK33" t="str">
        <f t="shared" si="307"/>
        <v/>
      </c>
      <c r="DLL33" t="str">
        <f t="shared" si="307"/>
        <v/>
      </c>
      <c r="DLM33" t="str">
        <f t="shared" si="307"/>
        <v/>
      </c>
      <c r="DLN33" t="str">
        <f t="shared" si="307"/>
        <v/>
      </c>
      <c r="DLO33" t="str">
        <f t="shared" si="307"/>
        <v/>
      </c>
      <c r="DLP33" t="str">
        <f t="shared" si="307"/>
        <v/>
      </c>
      <c r="DLQ33" t="str">
        <f t="shared" si="307"/>
        <v/>
      </c>
      <c r="DLR33" t="str">
        <f t="shared" si="307"/>
        <v/>
      </c>
      <c r="DLS33" t="str">
        <f t="shared" si="307"/>
        <v/>
      </c>
      <c r="DLT33" t="str">
        <f t="shared" si="307"/>
        <v/>
      </c>
      <c r="DLU33" t="str">
        <f t="shared" si="307"/>
        <v/>
      </c>
      <c r="DLV33" t="str">
        <f t="shared" si="307"/>
        <v/>
      </c>
      <c r="DLW33" t="str">
        <f t="shared" si="307"/>
        <v/>
      </c>
      <c r="DLX33" t="str">
        <f t="shared" si="307"/>
        <v/>
      </c>
      <c r="DLY33" t="str">
        <f t="shared" si="307"/>
        <v/>
      </c>
      <c r="DLZ33" t="str">
        <f t="shared" si="307"/>
        <v/>
      </c>
      <c r="DMA33" t="str">
        <f t="shared" si="307"/>
        <v/>
      </c>
      <c r="DMB33" t="str">
        <f t="shared" si="307"/>
        <v/>
      </c>
      <c r="DMC33" t="str">
        <f t="shared" si="307"/>
        <v/>
      </c>
      <c r="DMD33" t="str">
        <f t="shared" si="307"/>
        <v/>
      </c>
      <c r="DME33" t="str">
        <f t="shared" si="307"/>
        <v/>
      </c>
      <c r="DMF33" t="str">
        <f t="shared" si="307"/>
        <v/>
      </c>
      <c r="DMG33" t="str">
        <f t="shared" si="307"/>
        <v/>
      </c>
      <c r="DMH33" t="str">
        <f t="shared" si="307"/>
        <v/>
      </c>
      <c r="DMI33" t="str">
        <f t="shared" si="307"/>
        <v/>
      </c>
      <c r="DMJ33" t="str">
        <f t="shared" si="307"/>
        <v/>
      </c>
      <c r="DMK33" t="str">
        <f t="shared" si="307"/>
        <v/>
      </c>
      <c r="DML33" t="str">
        <f t="shared" si="307"/>
        <v/>
      </c>
      <c r="DMM33" t="str">
        <f t="shared" si="307"/>
        <v/>
      </c>
      <c r="DMN33" t="str">
        <f t="shared" si="307"/>
        <v/>
      </c>
      <c r="DMO33" t="str">
        <f t="shared" si="307"/>
        <v/>
      </c>
      <c r="DMP33" t="str">
        <f t="shared" si="307"/>
        <v/>
      </c>
      <c r="DMQ33" t="str">
        <f t="shared" si="307"/>
        <v/>
      </c>
      <c r="DMR33" t="str">
        <f t="shared" si="307"/>
        <v/>
      </c>
      <c r="DMS33" t="str">
        <f t="shared" si="307"/>
        <v/>
      </c>
      <c r="DMT33" t="str">
        <f t="shared" si="307"/>
        <v/>
      </c>
      <c r="DMU33" t="str">
        <f t="shared" si="307"/>
        <v/>
      </c>
      <c r="DMV33" t="str">
        <f t="shared" si="307"/>
        <v/>
      </c>
      <c r="DMW33" t="str">
        <f t="shared" si="307"/>
        <v/>
      </c>
      <c r="DMX33" t="str">
        <f t="shared" si="307"/>
        <v/>
      </c>
      <c r="DMY33" t="str">
        <f t="shared" si="307"/>
        <v/>
      </c>
      <c r="DMZ33" t="str">
        <f t="shared" si="307"/>
        <v/>
      </c>
      <c r="DNA33" t="str">
        <f t="shared" si="307"/>
        <v/>
      </c>
      <c r="DNB33" t="str">
        <f t="shared" si="307"/>
        <v/>
      </c>
      <c r="DNC33" t="str">
        <f t="shared" si="307"/>
        <v/>
      </c>
      <c r="DND33" t="str">
        <f t="shared" si="307"/>
        <v/>
      </c>
      <c r="DNE33" t="str">
        <f t="shared" si="307"/>
        <v/>
      </c>
      <c r="DNF33" t="str">
        <f t="shared" si="307"/>
        <v/>
      </c>
      <c r="DNG33" t="str">
        <f t="shared" si="307"/>
        <v/>
      </c>
      <c r="DNH33" t="str">
        <f t="shared" si="307"/>
        <v/>
      </c>
      <c r="DNI33" t="str">
        <f t="shared" si="307"/>
        <v/>
      </c>
      <c r="DNJ33" t="str">
        <f t="shared" si="307"/>
        <v/>
      </c>
      <c r="DNK33" t="str">
        <f t="shared" si="307"/>
        <v/>
      </c>
      <c r="DNL33" t="str">
        <f t="shared" si="307"/>
        <v/>
      </c>
      <c r="DNM33" t="str">
        <f t="shared" si="307"/>
        <v/>
      </c>
      <c r="DNN33" t="str">
        <f t="shared" si="307"/>
        <v/>
      </c>
      <c r="DNO33" t="str">
        <f t="shared" si="307"/>
        <v/>
      </c>
      <c r="DNP33" t="str">
        <f t="shared" si="307"/>
        <v/>
      </c>
      <c r="DNQ33" t="str">
        <f t="shared" ref="DNQ33:DQB33" si="308">TRIM(DOH17)</f>
        <v/>
      </c>
      <c r="DNR33" t="str">
        <f t="shared" si="308"/>
        <v/>
      </c>
      <c r="DNS33" t="str">
        <f t="shared" si="308"/>
        <v/>
      </c>
      <c r="DNT33" t="str">
        <f t="shared" si="308"/>
        <v/>
      </c>
      <c r="DNU33" t="str">
        <f t="shared" si="308"/>
        <v/>
      </c>
      <c r="DNV33" t="str">
        <f t="shared" si="308"/>
        <v/>
      </c>
      <c r="DNW33" t="str">
        <f t="shared" si="308"/>
        <v/>
      </c>
      <c r="DNX33" t="str">
        <f t="shared" si="308"/>
        <v/>
      </c>
      <c r="DNY33" t="str">
        <f t="shared" si="308"/>
        <v/>
      </c>
      <c r="DNZ33" t="str">
        <f t="shared" si="308"/>
        <v/>
      </c>
      <c r="DOA33" t="str">
        <f t="shared" si="308"/>
        <v/>
      </c>
      <c r="DOB33" t="str">
        <f t="shared" si="308"/>
        <v/>
      </c>
      <c r="DOC33" t="str">
        <f t="shared" si="308"/>
        <v/>
      </c>
      <c r="DOD33" t="str">
        <f t="shared" si="308"/>
        <v/>
      </c>
      <c r="DOE33" t="str">
        <f t="shared" si="308"/>
        <v/>
      </c>
      <c r="DOF33" t="str">
        <f t="shared" si="308"/>
        <v/>
      </c>
      <c r="DOG33" t="str">
        <f t="shared" si="308"/>
        <v/>
      </c>
      <c r="DOH33" t="str">
        <f t="shared" si="308"/>
        <v/>
      </c>
      <c r="DOI33" t="str">
        <f t="shared" si="308"/>
        <v/>
      </c>
      <c r="DOJ33" t="str">
        <f t="shared" si="308"/>
        <v/>
      </c>
      <c r="DOK33" t="str">
        <f t="shared" si="308"/>
        <v/>
      </c>
      <c r="DOL33" t="str">
        <f t="shared" si="308"/>
        <v/>
      </c>
      <c r="DOM33" t="str">
        <f t="shared" si="308"/>
        <v/>
      </c>
      <c r="DON33" t="str">
        <f t="shared" si="308"/>
        <v/>
      </c>
      <c r="DOO33" t="str">
        <f t="shared" si="308"/>
        <v/>
      </c>
      <c r="DOP33" t="str">
        <f t="shared" si="308"/>
        <v/>
      </c>
      <c r="DOQ33" t="str">
        <f t="shared" si="308"/>
        <v/>
      </c>
      <c r="DOR33" t="str">
        <f t="shared" si="308"/>
        <v/>
      </c>
      <c r="DOS33" t="str">
        <f t="shared" si="308"/>
        <v/>
      </c>
      <c r="DOT33" t="str">
        <f t="shared" si="308"/>
        <v/>
      </c>
      <c r="DOU33" t="str">
        <f t="shared" si="308"/>
        <v/>
      </c>
      <c r="DOV33" t="str">
        <f t="shared" si="308"/>
        <v/>
      </c>
      <c r="DOW33" t="str">
        <f t="shared" si="308"/>
        <v/>
      </c>
      <c r="DOX33" t="str">
        <f t="shared" si="308"/>
        <v/>
      </c>
      <c r="DOY33" t="str">
        <f t="shared" si="308"/>
        <v/>
      </c>
      <c r="DOZ33" t="str">
        <f t="shared" si="308"/>
        <v/>
      </c>
      <c r="DPA33" t="str">
        <f t="shared" si="308"/>
        <v/>
      </c>
      <c r="DPB33" t="str">
        <f t="shared" si="308"/>
        <v/>
      </c>
      <c r="DPC33" t="str">
        <f t="shared" si="308"/>
        <v/>
      </c>
      <c r="DPD33" t="str">
        <f t="shared" si="308"/>
        <v/>
      </c>
      <c r="DPE33" t="str">
        <f t="shared" si="308"/>
        <v/>
      </c>
      <c r="DPF33" t="str">
        <f t="shared" si="308"/>
        <v/>
      </c>
      <c r="DPG33" t="str">
        <f t="shared" si="308"/>
        <v/>
      </c>
      <c r="DPH33" t="str">
        <f t="shared" si="308"/>
        <v/>
      </c>
      <c r="DPI33" t="str">
        <f t="shared" si="308"/>
        <v/>
      </c>
      <c r="DPJ33" t="str">
        <f t="shared" si="308"/>
        <v/>
      </c>
      <c r="DPK33" t="str">
        <f t="shared" si="308"/>
        <v/>
      </c>
      <c r="DPL33" t="str">
        <f t="shared" si="308"/>
        <v/>
      </c>
      <c r="DPM33" t="str">
        <f t="shared" si="308"/>
        <v/>
      </c>
      <c r="DPN33" t="str">
        <f t="shared" si="308"/>
        <v/>
      </c>
      <c r="DPO33" t="str">
        <f t="shared" si="308"/>
        <v/>
      </c>
      <c r="DPP33" t="str">
        <f t="shared" si="308"/>
        <v/>
      </c>
      <c r="DPQ33" t="str">
        <f t="shared" si="308"/>
        <v/>
      </c>
      <c r="DPR33" t="str">
        <f t="shared" si="308"/>
        <v/>
      </c>
      <c r="DPS33" t="str">
        <f t="shared" si="308"/>
        <v/>
      </c>
      <c r="DPT33" t="str">
        <f t="shared" si="308"/>
        <v/>
      </c>
      <c r="DPU33" t="str">
        <f t="shared" si="308"/>
        <v/>
      </c>
      <c r="DPV33" t="str">
        <f t="shared" si="308"/>
        <v/>
      </c>
      <c r="DPW33" t="str">
        <f t="shared" si="308"/>
        <v/>
      </c>
      <c r="DPX33" t="str">
        <f t="shared" si="308"/>
        <v/>
      </c>
      <c r="DPY33" t="str">
        <f t="shared" si="308"/>
        <v/>
      </c>
      <c r="DPZ33" t="str">
        <f t="shared" si="308"/>
        <v/>
      </c>
      <c r="DQA33" t="str">
        <f t="shared" si="308"/>
        <v/>
      </c>
      <c r="DQB33" t="str">
        <f t="shared" si="308"/>
        <v/>
      </c>
      <c r="DQC33" t="str">
        <f t="shared" ref="DQC33:DSN33" si="309">TRIM(DQT17)</f>
        <v/>
      </c>
      <c r="DQD33" t="str">
        <f t="shared" si="309"/>
        <v/>
      </c>
      <c r="DQE33" t="str">
        <f t="shared" si="309"/>
        <v/>
      </c>
      <c r="DQF33" t="str">
        <f t="shared" si="309"/>
        <v/>
      </c>
      <c r="DQG33" t="str">
        <f t="shared" si="309"/>
        <v/>
      </c>
      <c r="DQH33" t="str">
        <f t="shared" si="309"/>
        <v/>
      </c>
      <c r="DQI33" t="str">
        <f t="shared" si="309"/>
        <v/>
      </c>
      <c r="DQJ33" t="str">
        <f t="shared" si="309"/>
        <v/>
      </c>
      <c r="DQK33" t="str">
        <f t="shared" si="309"/>
        <v/>
      </c>
      <c r="DQL33" t="str">
        <f t="shared" si="309"/>
        <v/>
      </c>
      <c r="DQM33" t="str">
        <f t="shared" si="309"/>
        <v/>
      </c>
      <c r="DQN33" t="str">
        <f t="shared" si="309"/>
        <v/>
      </c>
      <c r="DQO33" t="str">
        <f t="shared" si="309"/>
        <v/>
      </c>
      <c r="DQP33" t="str">
        <f t="shared" si="309"/>
        <v/>
      </c>
      <c r="DQQ33" t="str">
        <f t="shared" si="309"/>
        <v/>
      </c>
      <c r="DQR33" t="str">
        <f t="shared" si="309"/>
        <v/>
      </c>
      <c r="DQS33" t="str">
        <f t="shared" si="309"/>
        <v/>
      </c>
      <c r="DQT33" t="str">
        <f t="shared" si="309"/>
        <v/>
      </c>
      <c r="DQU33" t="str">
        <f t="shared" si="309"/>
        <v/>
      </c>
      <c r="DQV33" t="str">
        <f t="shared" si="309"/>
        <v/>
      </c>
      <c r="DQW33" t="str">
        <f t="shared" si="309"/>
        <v/>
      </c>
      <c r="DQX33" t="str">
        <f t="shared" si="309"/>
        <v/>
      </c>
      <c r="DQY33" t="str">
        <f t="shared" si="309"/>
        <v/>
      </c>
      <c r="DQZ33" t="str">
        <f t="shared" si="309"/>
        <v/>
      </c>
      <c r="DRA33" t="str">
        <f t="shared" si="309"/>
        <v/>
      </c>
      <c r="DRB33" t="str">
        <f t="shared" si="309"/>
        <v/>
      </c>
      <c r="DRC33" t="str">
        <f t="shared" si="309"/>
        <v/>
      </c>
      <c r="DRD33" t="str">
        <f t="shared" si="309"/>
        <v/>
      </c>
      <c r="DRE33" t="str">
        <f t="shared" si="309"/>
        <v/>
      </c>
      <c r="DRF33" t="str">
        <f t="shared" si="309"/>
        <v/>
      </c>
      <c r="DRG33" t="str">
        <f t="shared" si="309"/>
        <v/>
      </c>
      <c r="DRH33" t="str">
        <f t="shared" si="309"/>
        <v/>
      </c>
      <c r="DRI33" t="str">
        <f t="shared" si="309"/>
        <v/>
      </c>
      <c r="DRJ33" t="str">
        <f t="shared" si="309"/>
        <v/>
      </c>
      <c r="DRK33" t="str">
        <f t="shared" si="309"/>
        <v/>
      </c>
      <c r="DRL33" t="str">
        <f t="shared" si="309"/>
        <v/>
      </c>
      <c r="DRM33" t="str">
        <f t="shared" si="309"/>
        <v/>
      </c>
      <c r="DRN33" t="str">
        <f t="shared" si="309"/>
        <v/>
      </c>
      <c r="DRO33" t="str">
        <f t="shared" si="309"/>
        <v/>
      </c>
      <c r="DRP33" t="str">
        <f t="shared" si="309"/>
        <v/>
      </c>
      <c r="DRQ33" t="str">
        <f t="shared" si="309"/>
        <v/>
      </c>
      <c r="DRR33" t="str">
        <f t="shared" si="309"/>
        <v/>
      </c>
      <c r="DRS33" t="str">
        <f t="shared" si="309"/>
        <v/>
      </c>
      <c r="DRT33" t="str">
        <f t="shared" si="309"/>
        <v/>
      </c>
      <c r="DRU33" t="str">
        <f t="shared" si="309"/>
        <v/>
      </c>
      <c r="DRV33" t="str">
        <f t="shared" si="309"/>
        <v/>
      </c>
      <c r="DRW33" t="str">
        <f t="shared" si="309"/>
        <v/>
      </c>
      <c r="DRX33" t="str">
        <f t="shared" si="309"/>
        <v/>
      </c>
      <c r="DRY33" t="str">
        <f t="shared" si="309"/>
        <v/>
      </c>
      <c r="DRZ33" t="str">
        <f t="shared" si="309"/>
        <v/>
      </c>
      <c r="DSA33" t="str">
        <f t="shared" si="309"/>
        <v/>
      </c>
      <c r="DSB33" t="str">
        <f t="shared" si="309"/>
        <v/>
      </c>
      <c r="DSC33" t="str">
        <f t="shared" si="309"/>
        <v/>
      </c>
      <c r="DSD33" t="str">
        <f t="shared" si="309"/>
        <v/>
      </c>
      <c r="DSE33" t="str">
        <f t="shared" si="309"/>
        <v/>
      </c>
      <c r="DSF33" t="str">
        <f t="shared" si="309"/>
        <v/>
      </c>
      <c r="DSG33" t="str">
        <f t="shared" si="309"/>
        <v/>
      </c>
      <c r="DSH33" t="str">
        <f t="shared" si="309"/>
        <v/>
      </c>
      <c r="DSI33" t="str">
        <f t="shared" si="309"/>
        <v/>
      </c>
      <c r="DSJ33" t="str">
        <f t="shared" si="309"/>
        <v/>
      </c>
      <c r="DSK33" t="str">
        <f t="shared" si="309"/>
        <v/>
      </c>
      <c r="DSL33" t="str">
        <f t="shared" si="309"/>
        <v/>
      </c>
      <c r="DSM33" t="str">
        <f t="shared" si="309"/>
        <v/>
      </c>
      <c r="DSN33" t="str">
        <f t="shared" si="309"/>
        <v/>
      </c>
      <c r="DSO33" t="str">
        <f t="shared" ref="DSO33:DUZ33" si="310">TRIM(DTF17)</f>
        <v/>
      </c>
      <c r="DSP33" t="str">
        <f t="shared" si="310"/>
        <v/>
      </c>
      <c r="DSQ33" t="str">
        <f t="shared" si="310"/>
        <v/>
      </c>
      <c r="DSR33" t="str">
        <f t="shared" si="310"/>
        <v/>
      </c>
      <c r="DSS33" t="str">
        <f t="shared" si="310"/>
        <v/>
      </c>
      <c r="DST33" t="str">
        <f t="shared" si="310"/>
        <v/>
      </c>
      <c r="DSU33" t="str">
        <f t="shared" si="310"/>
        <v/>
      </c>
      <c r="DSV33" t="str">
        <f t="shared" si="310"/>
        <v/>
      </c>
      <c r="DSW33" t="str">
        <f t="shared" si="310"/>
        <v/>
      </c>
      <c r="DSX33" t="str">
        <f t="shared" si="310"/>
        <v/>
      </c>
      <c r="DSY33" t="str">
        <f t="shared" si="310"/>
        <v/>
      </c>
      <c r="DSZ33" t="str">
        <f t="shared" si="310"/>
        <v/>
      </c>
      <c r="DTA33" t="str">
        <f t="shared" si="310"/>
        <v/>
      </c>
      <c r="DTB33" t="str">
        <f t="shared" si="310"/>
        <v/>
      </c>
      <c r="DTC33" t="str">
        <f t="shared" si="310"/>
        <v/>
      </c>
      <c r="DTD33" t="str">
        <f t="shared" si="310"/>
        <v/>
      </c>
      <c r="DTE33" t="str">
        <f t="shared" si="310"/>
        <v/>
      </c>
      <c r="DTF33" t="str">
        <f t="shared" si="310"/>
        <v/>
      </c>
      <c r="DTG33" t="str">
        <f t="shared" si="310"/>
        <v/>
      </c>
      <c r="DTH33" t="str">
        <f t="shared" si="310"/>
        <v/>
      </c>
      <c r="DTI33" t="str">
        <f t="shared" si="310"/>
        <v/>
      </c>
      <c r="DTJ33" t="str">
        <f t="shared" si="310"/>
        <v/>
      </c>
      <c r="DTK33" t="str">
        <f t="shared" si="310"/>
        <v/>
      </c>
      <c r="DTL33" t="str">
        <f t="shared" si="310"/>
        <v/>
      </c>
      <c r="DTM33" t="str">
        <f t="shared" si="310"/>
        <v/>
      </c>
      <c r="DTN33" t="str">
        <f t="shared" si="310"/>
        <v/>
      </c>
      <c r="DTO33" t="str">
        <f t="shared" si="310"/>
        <v/>
      </c>
      <c r="DTP33" t="str">
        <f t="shared" si="310"/>
        <v/>
      </c>
      <c r="DTQ33" t="str">
        <f t="shared" si="310"/>
        <v/>
      </c>
      <c r="DTR33" t="str">
        <f t="shared" si="310"/>
        <v/>
      </c>
      <c r="DTS33" t="str">
        <f t="shared" si="310"/>
        <v/>
      </c>
      <c r="DTT33" t="str">
        <f t="shared" si="310"/>
        <v/>
      </c>
      <c r="DTU33" t="str">
        <f t="shared" si="310"/>
        <v/>
      </c>
      <c r="DTV33" t="str">
        <f t="shared" si="310"/>
        <v/>
      </c>
      <c r="DTW33" t="str">
        <f t="shared" si="310"/>
        <v/>
      </c>
      <c r="DTX33" t="str">
        <f t="shared" si="310"/>
        <v/>
      </c>
      <c r="DTY33" t="str">
        <f t="shared" si="310"/>
        <v/>
      </c>
      <c r="DTZ33" t="str">
        <f t="shared" si="310"/>
        <v/>
      </c>
      <c r="DUA33" t="str">
        <f t="shared" si="310"/>
        <v/>
      </c>
      <c r="DUB33" t="str">
        <f t="shared" si="310"/>
        <v/>
      </c>
      <c r="DUC33" t="str">
        <f t="shared" si="310"/>
        <v/>
      </c>
      <c r="DUD33" t="str">
        <f t="shared" si="310"/>
        <v/>
      </c>
      <c r="DUE33" t="str">
        <f t="shared" si="310"/>
        <v/>
      </c>
      <c r="DUF33" t="str">
        <f t="shared" si="310"/>
        <v/>
      </c>
      <c r="DUG33" t="str">
        <f t="shared" si="310"/>
        <v/>
      </c>
      <c r="DUH33" t="str">
        <f t="shared" si="310"/>
        <v/>
      </c>
      <c r="DUI33" t="str">
        <f t="shared" si="310"/>
        <v/>
      </c>
      <c r="DUJ33" t="str">
        <f t="shared" si="310"/>
        <v/>
      </c>
      <c r="DUK33" t="str">
        <f t="shared" si="310"/>
        <v/>
      </c>
      <c r="DUL33" t="str">
        <f t="shared" si="310"/>
        <v/>
      </c>
      <c r="DUM33" t="str">
        <f t="shared" si="310"/>
        <v/>
      </c>
      <c r="DUN33" t="str">
        <f t="shared" si="310"/>
        <v/>
      </c>
      <c r="DUO33" t="str">
        <f t="shared" si="310"/>
        <v/>
      </c>
      <c r="DUP33" t="str">
        <f t="shared" si="310"/>
        <v/>
      </c>
      <c r="DUQ33" t="str">
        <f t="shared" si="310"/>
        <v/>
      </c>
      <c r="DUR33" t="str">
        <f t="shared" si="310"/>
        <v/>
      </c>
      <c r="DUS33" t="str">
        <f t="shared" si="310"/>
        <v/>
      </c>
      <c r="DUT33" t="str">
        <f t="shared" si="310"/>
        <v/>
      </c>
      <c r="DUU33" t="str">
        <f t="shared" si="310"/>
        <v/>
      </c>
      <c r="DUV33" t="str">
        <f t="shared" si="310"/>
        <v/>
      </c>
      <c r="DUW33" t="str">
        <f t="shared" si="310"/>
        <v/>
      </c>
      <c r="DUX33" t="str">
        <f t="shared" si="310"/>
        <v/>
      </c>
      <c r="DUY33" t="str">
        <f t="shared" si="310"/>
        <v/>
      </c>
      <c r="DUZ33" t="str">
        <f t="shared" si="310"/>
        <v/>
      </c>
      <c r="DVA33" t="str">
        <f t="shared" ref="DVA33:DXL33" si="311">TRIM(DVR17)</f>
        <v/>
      </c>
      <c r="DVB33" t="str">
        <f t="shared" si="311"/>
        <v/>
      </c>
      <c r="DVC33" t="str">
        <f t="shared" si="311"/>
        <v/>
      </c>
      <c r="DVD33" t="str">
        <f t="shared" si="311"/>
        <v/>
      </c>
      <c r="DVE33" t="str">
        <f t="shared" si="311"/>
        <v/>
      </c>
      <c r="DVF33" t="str">
        <f t="shared" si="311"/>
        <v/>
      </c>
      <c r="DVG33" t="str">
        <f t="shared" si="311"/>
        <v/>
      </c>
      <c r="DVH33" t="str">
        <f t="shared" si="311"/>
        <v/>
      </c>
      <c r="DVI33" t="str">
        <f t="shared" si="311"/>
        <v/>
      </c>
      <c r="DVJ33" t="str">
        <f t="shared" si="311"/>
        <v/>
      </c>
      <c r="DVK33" t="str">
        <f t="shared" si="311"/>
        <v/>
      </c>
      <c r="DVL33" t="str">
        <f t="shared" si="311"/>
        <v/>
      </c>
      <c r="DVM33" t="str">
        <f t="shared" si="311"/>
        <v/>
      </c>
      <c r="DVN33" t="str">
        <f t="shared" si="311"/>
        <v/>
      </c>
      <c r="DVO33" t="str">
        <f t="shared" si="311"/>
        <v/>
      </c>
      <c r="DVP33" t="str">
        <f t="shared" si="311"/>
        <v/>
      </c>
      <c r="DVQ33" t="str">
        <f t="shared" si="311"/>
        <v/>
      </c>
      <c r="DVR33" t="str">
        <f t="shared" si="311"/>
        <v/>
      </c>
      <c r="DVS33" t="str">
        <f t="shared" si="311"/>
        <v/>
      </c>
      <c r="DVT33" t="str">
        <f t="shared" si="311"/>
        <v/>
      </c>
      <c r="DVU33" t="str">
        <f t="shared" si="311"/>
        <v/>
      </c>
      <c r="DVV33" t="str">
        <f t="shared" si="311"/>
        <v/>
      </c>
      <c r="DVW33" t="str">
        <f t="shared" si="311"/>
        <v/>
      </c>
      <c r="DVX33" t="str">
        <f t="shared" si="311"/>
        <v/>
      </c>
      <c r="DVY33" t="str">
        <f t="shared" si="311"/>
        <v/>
      </c>
      <c r="DVZ33" t="str">
        <f t="shared" si="311"/>
        <v/>
      </c>
      <c r="DWA33" t="str">
        <f t="shared" si="311"/>
        <v/>
      </c>
      <c r="DWB33" t="str">
        <f t="shared" si="311"/>
        <v/>
      </c>
      <c r="DWC33" t="str">
        <f t="shared" si="311"/>
        <v/>
      </c>
      <c r="DWD33" t="str">
        <f t="shared" si="311"/>
        <v/>
      </c>
      <c r="DWE33" t="str">
        <f t="shared" si="311"/>
        <v/>
      </c>
      <c r="DWF33" t="str">
        <f t="shared" si="311"/>
        <v/>
      </c>
      <c r="DWG33" t="str">
        <f t="shared" si="311"/>
        <v/>
      </c>
      <c r="DWH33" t="str">
        <f t="shared" si="311"/>
        <v/>
      </c>
      <c r="DWI33" t="str">
        <f t="shared" si="311"/>
        <v/>
      </c>
      <c r="DWJ33" t="str">
        <f t="shared" si="311"/>
        <v/>
      </c>
      <c r="DWK33" t="str">
        <f t="shared" si="311"/>
        <v/>
      </c>
      <c r="DWL33" t="str">
        <f t="shared" si="311"/>
        <v/>
      </c>
      <c r="DWM33" t="str">
        <f t="shared" si="311"/>
        <v/>
      </c>
      <c r="DWN33" t="str">
        <f t="shared" si="311"/>
        <v/>
      </c>
      <c r="DWO33" t="str">
        <f t="shared" si="311"/>
        <v/>
      </c>
      <c r="DWP33" t="str">
        <f t="shared" si="311"/>
        <v/>
      </c>
      <c r="DWQ33" t="str">
        <f t="shared" si="311"/>
        <v/>
      </c>
      <c r="DWR33" t="str">
        <f t="shared" si="311"/>
        <v/>
      </c>
      <c r="DWS33" t="str">
        <f t="shared" si="311"/>
        <v/>
      </c>
      <c r="DWT33" t="str">
        <f t="shared" si="311"/>
        <v/>
      </c>
      <c r="DWU33" t="str">
        <f t="shared" si="311"/>
        <v/>
      </c>
      <c r="DWV33" t="str">
        <f t="shared" si="311"/>
        <v/>
      </c>
      <c r="DWW33" t="str">
        <f t="shared" si="311"/>
        <v/>
      </c>
      <c r="DWX33" t="str">
        <f t="shared" si="311"/>
        <v/>
      </c>
      <c r="DWY33" t="str">
        <f t="shared" si="311"/>
        <v/>
      </c>
      <c r="DWZ33" t="str">
        <f t="shared" si="311"/>
        <v/>
      </c>
      <c r="DXA33" t="str">
        <f t="shared" si="311"/>
        <v/>
      </c>
      <c r="DXB33" t="str">
        <f t="shared" si="311"/>
        <v/>
      </c>
      <c r="DXC33" t="str">
        <f t="shared" si="311"/>
        <v/>
      </c>
      <c r="DXD33" t="str">
        <f t="shared" si="311"/>
        <v/>
      </c>
      <c r="DXE33" t="str">
        <f t="shared" si="311"/>
        <v/>
      </c>
      <c r="DXF33" t="str">
        <f t="shared" si="311"/>
        <v/>
      </c>
      <c r="DXG33" t="str">
        <f t="shared" si="311"/>
        <v/>
      </c>
      <c r="DXH33" t="str">
        <f t="shared" si="311"/>
        <v/>
      </c>
      <c r="DXI33" t="str">
        <f t="shared" si="311"/>
        <v/>
      </c>
      <c r="DXJ33" t="str">
        <f t="shared" si="311"/>
        <v/>
      </c>
      <c r="DXK33" t="str">
        <f t="shared" si="311"/>
        <v/>
      </c>
      <c r="DXL33" t="str">
        <f t="shared" si="311"/>
        <v/>
      </c>
      <c r="DXM33" t="str">
        <f t="shared" ref="DXM33:DZX33" si="312">TRIM(DYD17)</f>
        <v/>
      </c>
      <c r="DXN33" t="str">
        <f t="shared" si="312"/>
        <v/>
      </c>
      <c r="DXO33" t="str">
        <f t="shared" si="312"/>
        <v/>
      </c>
      <c r="DXP33" t="str">
        <f t="shared" si="312"/>
        <v/>
      </c>
      <c r="DXQ33" t="str">
        <f t="shared" si="312"/>
        <v/>
      </c>
      <c r="DXR33" t="str">
        <f t="shared" si="312"/>
        <v/>
      </c>
      <c r="DXS33" t="str">
        <f t="shared" si="312"/>
        <v/>
      </c>
      <c r="DXT33" t="str">
        <f t="shared" si="312"/>
        <v/>
      </c>
      <c r="DXU33" t="str">
        <f t="shared" si="312"/>
        <v/>
      </c>
      <c r="DXV33" t="str">
        <f t="shared" si="312"/>
        <v/>
      </c>
      <c r="DXW33" t="str">
        <f t="shared" si="312"/>
        <v/>
      </c>
      <c r="DXX33" t="str">
        <f t="shared" si="312"/>
        <v/>
      </c>
      <c r="DXY33" t="str">
        <f t="shared" si="312"/>
        <v/>
      </c>
      <c r="DXZ33" t="str">
        <f t="shared" si="312"/>
        <v/>
      </c>
      <c r="DYA33" t="str">
        <f t="shared" si="312"/>
        <v/>
      </c>
      <c r="DYB33" t="str">
        <f t="shared" si="312"/>
        <v/>
      </c>
      <c r="DYC33" t="str">
        <f t="shared" si="312"/>
        <v/>
      </c>
      <c r="DYD33" t="str">
        <f t="shared" si="312"/>
        <v/>
      </c>
      <c r="DYE33" t="str">
        <f t="shared" si="312"/>
        <v/>
      </c>
      <c r="DYF33" t="str">
        <f t="shared" si="312"/>
        <v/>
      </c>
      <c r="DYG33" t="str">
        <f t="shared" si="312"/>
        <v/>
      </c>
      <c r="DYH33" t="str">
        <f t="shared" si="312"/>
        <v/>
      </c>
      <c r="DYI33" t="str">
        <f t="shared" si="312"/>
        <v/>
      </c>
      <c r="DYJ33" t="str">
        <f t="shared" si="312"/>
        <v/>
      </c>
      <c r="DYK33" t="str">
        <f t="shared" si="312"/>
        <v/>
      </c>
      <c r="DYL33" t="str">
        <f t="shared" si="312"/>
        <v/>
      </c>
      <c r="DYM33" t="str">
        <f t="shared" si="312"/>
        <v/>
      </c>
      <c r="DYN33" t="str">
        <f t="shared" si="312"/>
        <v/>
      </c>
      <c r="DYO33" t="str">
        <f t="shared" si="312"/>
        <v/>
      </c>
      <c r="DYP33" t="str">
        <f t="shared" si="312"/>
        <v/>
      </c>
      <c r="DYQ33" t="str">
        <f t="shared" si="312"/>
        <v/>
      </c>
      <c r="DYR33" t="str">
        <f t="shared" si="312"/>
        <v/>
      </c>
      <c r="DYS33" t="str">
        <f t="shared" si="312"/>
        <v/>
      </c>
      <c r="DYT33" t="str">
        <f t="shared" si="312"/>
        <v/>
      </c>
      <c r="DYU33" t="str">
        <f t="shared" si="312"/>
        <v/>
      </c>
      <c r="DYV33" t="str">
        <f t="shared" si="312"/>
        <v/>
      </c>
      <c r="DYW33" t="str">
        <f t="shared" si="312"/>
        <v/>
      </c>
      <c r="DYX33" t="str">
        <f t="shared" si="312"/>
        <v/>
      </c>
      <c r="DYY33" t="str">
        <f t="shared" si="312"/>
        <v/>
      </c>
      <c r="DYZ33" t="str">
        <f t="shared" si="312"/>
        <v/>
      </c>
      <c r="DZA33" t="str">
        <f t="shared" si="312"/>
        <v/>
      </c>
      <c r="DZB33" t="str">
        <f t="shared" si="312"/>
        <v/>
      </c>
      <c r="DZC33" t="str">
        <f t="shared" si="312"/>
        <v/>
      </c>
      <c r="DZD33" t="str">
        <f t="shared" si="312"/>
        <v/>
      </c>
      <c r="DZE33" t="str">
        <f t="shared" si="312"/>
        <v/>
      </c>
      <c r="DZF33" t="str">
        <f t="shared" si="312"/>
        <v/>
      </c>
      <c r="DZG33" t="str">
        <f t="shared" si="312"/>
        <v/>
      </c>
      <c r="DZH33" t="str">
        <f t="shared" si="312"/>
        <v/>
      </c>
      <c r="DZI33" t="str">
        <f t="shared" si="312"/>
        <v/>
      </c>
      <c r="DZJ33" t="str">
        <f t="shared" si="312"/>
        <v/>
      </c>
      <c r="DZK33" t="str">
        <f t="shared" si="312"/>
        <v/>
      </c>
      <c r="DZL33" t="str">
        <f t="shared" si="312"/>
        <v/>
      </c>
      <c r="DZM33" t="str">
        <f t="shared" si="312"/>
        <v/>
      </c>
      <c r="DZN33" t="str">
        <f t="shared" si="312"/>
        <v/>
      </c>
      <c r="DZO33" t="str">
        <f t="shared" si="312"/>
        <v/>
      </c>
      <c r="DZP33" t="str">
        <f t="shared" si="312"/>
        <v/>
      </c>
      <c r="DZQ33" t="str">
        <f t="shared" si="312"/>
        <v/>
      </c>
      <c r="DZR33" t="str">
        <f t="shared" si="312"/>
        <v/>
      </c>
      <c r="DZS33" t="str">
        <f t="shared" si="312"/>
        <v/>
      </c>
      <c r="DZT33" t="str">
        <f t="shared" si="312"/>
        <v/>
      </c>
      <c r="DZU33" t="str">
        <f t="shared" si="312"/>
        <v/>
      </c>
      <c r="DZV33" t="str">
        <f t="shared" si="312"/>
        <v/>
      </c>
      <c r="DZW33" t="str">
        <f t="shared" si="312"/>
        <v/>
      </c>
      <c r="DZX33" t="str">
        <f t="shared" si="312"/>
        <v/>
      </c>
      <c r="DZY33" t="str">
        <f t="shared" ref="DZY33:ECJ33" si="313">TRIM(EAP17)</f>
        <v/>
      </c>
      <c r="DZZ33" t="str">
        <f t="shared" si="313"/>
        <v/>
      </c>
      <c r="EAA33" t="str">
        <f t="shared" si="313"/>
        <v/>
      </c>
      <c r="EAB33" t="str">
        <f t="shared" si="313"/>
        <v/>
      </c>
      <c r="EAC33" t="str">
        <f t="shared" si="313"/>
        <v/>
      </c>
      <c r="EAD33" t="str">
        <f t="shared" si="313"/>
        <v/>
      </c>
      <c r="EAE33" t="str">
        <f t="shared" si="313"/>
        <v/>
      </c>
      <c r="EAF33" t="str">
        <f t="shared" si="313"/>
        <v/>
      </c>
      <c r="EAG33" t="str">
        <f t="shared" si="313"/>
        <v/>
      </c>
      <c r="EAH33" t="str">
        <f t="shared" si="313"/>
        <v/>
      </c>
      <c r="EAI33" t="str">
        <f t="shared" si="313"/>
        <v/>
      </c>
      <c r="EAJ33" t="str">
        <f t="shared" si="313"/>
        <v/>
      </c>
      <c r="EAK33" t="str">
        <f t="shared" si="313"/>
        <v/>
      </c>
      <c r="EAL33" t="str">
        <f t="shared" si="313"/>
        <v/>
      </c>
      <c r="EAM33" t="str">
        <f t="shared" si="313"/>
        <v/>
      </c>
      <c r="EAN33" t="str">
        <f t="shared" si="313"/>
        <v/>
      </c>
      <c r="EAO33" t="str">
        <f t="shared" si="313"/>
        <v/>
      </c>
      <c r="EAP33" t="str">
        <f t="shared" si="313"/>
        <v/>
      </c>
      <c r="EAQ33" t="str">
        <f t="shared" si="313"/>
        <v/>
      </c>
      <c r="EAR33" t="str">
        <f t="shared" si="313"/>
        <v/>
      </c>
      <c r="EAS33" t="str">
        <f t="shared" si="313"/>
        <v/>
      </c>
      <c r="EAT33" t="str">
        <f t="shared" si="313"/>
        <v/>
      </c>
      <c r="EAU33" t="str">
        <f t="shared" si="313"/>
        <v/>
      </c>
      <c r="EAV33" t="str">
        <f t="shared" si="313"/>
        <v/>
      </c>
      <c r="EAW33" t="str">
        <f t="shared" si="313"/>
        <v/>
      </c>
      <c r="EAX33" t="str">
        <f t="shared" si="313"/>
        <v/>
      </c>
      <c r="EAY33" t="str">
        <f t="shared" si="313"/>
        <v/>
      </c>
      <c r="EAZ33" t="str">
        <f t="shared" si="313"/>
        <v/>
      </c>
      <c r="EBA33" t="str">
        <f t="shared" si="313"/>
        <v/>
      </c>
      <c r="EBB33" t="str">
        <f t="shared" si="313"/>
        <v/>
      </c>
      <c r="EBC33" t="str">
        <f t="shared" si="313"/>
        <v/>
      </c>
      <c r="EBD33" t="str">
        <f t="shared" si="313"/>
        <v/>
      </c>
      <c r="EBE33" t="str">
        <f t="shared" si="313"/>
        <v/>
      </c>
      <c r="EBF33" t="str">
        <f t="shared" si="313"/>
        <v/>
      </c>
      <c r="EBG33" t="str">
        <f t="shared" si="313"/>
        <v/>
      </c>
      <c r="EBH33" t="str">
        <f t="shared" si="313"/>
        <v/>
      </c>
      <c r="EBI33" t="str">
        <f t="shared" si="313"/>
        <v/>
      </c>
      <c r="EBJ33" t="str">
        <f t="shared" si="313"/>
        <v/>
      </c>
      <c r="EBK33" t="str">
        <f t="shared" si="313"/>
        <v/>
      </c>
      <c r="EBL33" t="str">
        <f t="shared" si="313"/>
        <v/>
      </c>
      <c r="EBM33" t="str">
        <f t="shared" si="313"/>
        <v/>
      </c>
      <c r="EBN33" t="str">
        <f t="shared" si="313"/>
        <v/>
      </c>
      <c r="EBO33" t="str">
        <f t="shared" si="313"/>
        <v/>
      </c>
      <c r="EBP33" t="str">
        <f t="shared" si="313"/>
        <v/>
      </c>
      <c r="EBQ33" t="str">
        <f t="shared" si="313"/>
        <v/>
      </c>
      <c r="EBR33" t="str">
        <f t="shared" si="313"/>
        <v/>
      </c>
      <c r="EBS33" t="str">
        <f t="shared" si="313"/>
        <v/>
      </c>
      <c r="EBT33" t="str">
        <f t="shared" si="313"/>
        <v/>
      </c>
      <c r="EBU33" t="str">
        <f t="shared" si="313"/>
        <v/>
      </c>
      <c r="EBV33" t="str">
        <f t="shared" si="313"/>
        <v/>
      </c>
      <c r="EBW33" t="str">
        <f t="shared" si="313"/>
        <v/>
      </c>
      <c r="EBX33" t="str">
        <f t="shared" si="313"/>
        <v/>
      </c>
      <c r="EBY33" t="str">
        <f t="shared" si="313"/>
        <v/>
      </c>
      <c r="EBZ33" t="str">
        <f t="shared" si="313"/>
        <v/>
      </c>
      <c r="ECA33" t="str">
        <f t="shared" si="313"/>
        <v/>
      </c>
      <c r="ECB33" t="str">
        <f t="shared" si="313"/>
        <v/>
      </c>
      <c r="ECC33" t="str">
        <f t="shared" si="313"/>
        <v/>
      </c>
      <c r="ECD33" t="str">
        <f t="shared" si="313"/>
        <v/>
      </c>
      <c r="ECE33" t="str">
        <f t="shared" si="313"/>
        <v/>
      </c>
      <c r="ECF33" t="str">
        <f t="shared" si="313"/>
        <v/>
      </c>
      <c r="ECG33" t="str">
        <f t="shared" si="313"/>
        <v/>
      </c>
      <c r="ECH33" t="str">
        <f t="shared" si="313"/>
        <v/>
      </c>
      <c r="ECI33" t="str">
        <f t="shared" si="313"/>
        <v/>
      </c>
      <c r="ECJ33" t="str">
        <f t="shared" si="313"/>
        <v/>
      </c>
      <c r="ECK33" t="str">
        <f t="shared" ref="ECK33:EEV33" si="314">TRIM(EDB17)</f>
        <v/>
      </c>
      <c r="ECL33" t="str">
        <f t="shared" si="314"/>
        <v/>
      </c>
      <c r="ECM33" t="str">
        <f t="shared" si="314"/>
        <v/>
      </c>
      <c r="ECN33" t="str">
        <f t="shared" si="314"/>
        <v/>
      </c>
      <c r="ECO33" t="str">
        <f t="shared" si="314"/>
        <v/>
      </c>
      <c r="ECP33" t="str">
        <f t="shared" si="314"/>
        <v/>
      </c>
      <c r="ECQ33" t="str">
        <f t="shared" si="314"/>
        <v/>
      </c>
      <c r="ECR33" t="str">
        <f t="shared" si="314"/>
        <v/>
      </c>
      <c r="ECS33" t="str">
        <f t="shared" si="314"/>
        <v/>
      </c>
      <c r="ECT33" t="str">
        <f t="shared" si="314"/>
        <v/>
      </c>
      <c r="ECU33" t="str">
        <f t="shared" si="314"/>
        <v/>
      </c>
      <c r="ECV33" t="str">
        <f t="shared" si="314"/>
        <v/>
      </c>
      <c r="ECW33" t="str">
        <f t="shared" si="314"/>
        <v/>
      </c>
      <c r="ECX33" t="str">
        <f t="shared" si="314"/>
        <v/>
      </c>
      <c r="ECY33" t="str">
        <f t="shared" si="314"/>
        <v/>
      </c>
      <c r="ECZ33" t="str">
        <f t="shared" si="314"/>
        <v/>
      </c>
      <c r="EDA33" t="str">
        <f t="shared" si="314"/>
        <v/>
      </c>
      <c r="EDB33" t="str">
        <f t="shared" si="314"/>
        <v/>
      </c>
      <c r="EDC33" t="str">
        <f t="shared" si="314"/>
        <v/>
      </c>
      <c r="EDD33" t="str">
        <f t="shared" si="314"/>
        <v/>
      </c>
      <c r="EDE33" t="str">
        <f t="shared" si="314"/>
        <v/>
      </c>
      <c r="EDF33" t="str">
        <f t="shared" si="314"/>
        <v/>
      </c>
      <c r="EDG33" t="str">
        <f t="shared" si="314"/>
        <v/>
      </c>
      <c r="EDH33" t="str">
        <f t="shared" si="314"/>
        <v/>
      </c>
      <c r="EDI33" t="str">
        <f t="shared" si="314"/>
        <v/>
      </c>
      <c r="EDJ33" t="str">
        <f t="shared" si="314"/>
        <v/>
      </c>
      <c r="EDK33" t="str">
        <f t="shared" si="314"/>
        <v/>
      </c>
      <c r="EDL33" t="str">
        <f t="shared" si="314"/>
        <v/>
      </c>
      <c r="EDM33" t="str">
        <f t="shared" si="314"/>
        <v/>
      </c>
      <c r="EDN33" t="str">
        <f t="shared" si="314"/>
        <v/>
      </c>
      <c r="EDO33" t="str">
        <f t="shared" si="314"/>
        <v/>
      </c>
      <c r="EDP33" t="str">
        <f t="shared" si="314"/>
        <v/>
      </c>
      <c r="EDQ33" t="str">
        <f t="shared" si="314"/>
        <v/>
      </c>
      <c r="EDR33" t="str">
        <f t="shared" si="314"/>
        <v/>
      </c>
      <c r="EDS33" t="str">
        <f t="shared" si="314"/>
        <v/>
      </c>
      <c r="EDT33" t="str">
        <f t="shared" si="314"/>
        <v/>
      </c>
      <c r="EDU33" t="str">
        <f t="shared" si="314"/>
        <v/>
      </c>
      <c r="EDV33" t="str">
        <f t="shared" si="314"/>
        <v/>
      </c>
      <c r="EDW33" t="str">
        <f t="shared" si="314"/>
        <v/>
      </c>
      <c r="EDX33" t="str">
        <f t="shared" si="314"/>
        <v/>
      </c>
      <c r="EDY33" t="str">
        <f t="shared" si="314"/>
        <v/>
      </c>
      <c r="EDZ33" t="str">
        <f t="shared" si="314"/>
        <v/>
      </c>
      <c r="EEA33" t="str">
        <f t="shared" si="314"/>
        <v/>
      </c>
      <c r="EEB33" t="str">
        <f t="shared" si="314"/>
        <v/>
      </c>
      <c r="EEC33" t="str">
        <f t="shared" si="314"/>
        <v/>
      </c>
      <c r="EED33" t="str">
        <f t="shared" si="314"/>
        <v/>
      </c>
      <c r="EEE33" t="str">
        <f t="shared" si="314"/>
        <v/>
      </c>
      <c r="EEF33" t="str">
        <f t="shared" si="314"/>
        <v/>
      </c>
      <c r="EEG33" t="str">
        <f t="shared" si="314"/>
        <v/>
      </c>
      <c r="EEH33" t="str">
        <f t="shared" si="314"/>
        <v/>
      </c>
      <c r="EEI33" t="str">
        <f t="shared" si="314"/>
        <v/>
      </c>
      <c r="EEJ33" t="str">
        <f t="shared" si="314"/>
        <v/>
      </c>
      <c r="EEK33" t="str">
        <f t="shared" si="314"/>
        <v/>
      </c>
      <c r="EEL33" t="str">
        <f t="shared" si="314"/>
        <v/>
      </c>
      <c r="EEM33" t="str">
        <f t="shared" si="314"/>
        <v/>
      </c>
      <c r="EEN33" t="str">
        <f t="shared" si="314"/>
        <v/>
      </c>
      <c r="EEO33" t="str">
        <f t="shared" si="314"/>
        <v/>
      </c>
      <c r="EEP33" t="str">
        <f t="shared" si="314"/>
        <v/>
      </c>
      <c r="EEQ33" t="str">
        <f t="shared" si="314"/>
        <v/>
      </c>
      <c r="EER33" t="str">
        <f t="shared" si="314"/>
        <v/>
      </c>
      <c r="EES33" t="str">
        <f t="shared" si="314"/>
        <v/>
      </c>
      <c r="EET33" t="str">
        <f t="shared" si="314"/>
        <v/>
      </c>
      <c r="EEU33" t="str">
        <f t="shared" si="314"/>
        <v/>
      </c>
      <c r="EEV33" t="str">
        <f t="shared" si="314"/>
        <v/>
      </c>
      <c r="EEW33" t="str">
        <f t="shared" ref="EEW33:EHH33" si="315">TRIM(EFN17)</f>
        <v/>
      </c>
      <c r="EEX33" t="str">
        <f t="shared" si="315"/>
        <v/>
      </c>
      <c r="EEY33" t="str">
        <f t="shared" si="315"/>
        <v/>
      </c>
      <c r="EEZ33" t="str">
        <f t="shared" si="315"/>
        <v/>
      </c>
      <c r="EFA33" t="str">
        <f t="shared" si="315"/>
        <v/>
      </c>
      <c r="EFB33" t="str">
        <f t="shared" si="315"/>
        <v/>
      </c>
      <c r="EFC33" t="str">
        <f t="shared" si="315"/>
        <v/>
      </c>
      <c r="EFD33" t="str">
        <f t="shared" si="315"/>
        <v/>
      </c>
      <c r="EFE33" t="str">
        <f t="shared" si="315"/>
        <v/>
      </c>
      <c r="EFF33" t="str">
        <f t="shared" si="315"/>
        <v/>
      </c>
      <c r="EFG33" t="str">
        <f t="shared" si="315"/>
        <v/>
      </c>
      <c r="EFH33" t="str">
        <f t="shared" si="315"/>
        <v/>
      </c>
      <c r="EFI33" t="str">
        <f t="shared" si="315"/>
        <v/>
      </c>
      <c r="EFJ33" t="str">
        <f t="shared" si="315"/>
        <v/>
      </c>
      <c r="EFK33" t="str">
        <f t="shared" si="315"/>
        <v/>
      </c>
      <c r="EFL33" t="str">
        <f t="shared" si="315"/>
        <v/>
      </c>
      <c r="EFM33" t="str">
        <f t="shared" si="315"/>
        <v/>
      </c>
      <c r="EFN33" t="str">
        <f t="shared" si="315"/>
        <v/>
      </c>
      <c r="EFO33" t="str">
        <f t="shared" si="315"/>
        <v/>
      </c>
      <c r="EFP33" t="str">
        <f t="shared" si="315"/>
        <v/>
      </c>
      <c r="EFQ33" t="str">
        <f t="shared" si="315"/>
        <v/>
      </c>
      <c r="EFR33" t="str">
        <f t="shared" si="315"/>
        <v/>
      </c>
      <c r="EFS33" t="str">
        <f t="shared" si="315"/>
        <v/>
      </c>
      <c r="EFT33" t="str">
        <f t="shared" si="315"/>
        <v/>
      </c>
      <c r="EFU33" t="str">
        <f t="shared" si="315"/>
        <v/>
      </c>
      <c r="EFV33" t="str">
        <f t="shared" si="315"/>
        <v/>
      </c>
      <c r="EFW33" t="str">
        <f t="shared" si="315"/>
        <v/>
      </c>
      <c r="EFX33" t="str">
        <f t="shared" si="315"/>
        <v/>
      </c>
      <c r="EFY33" t="str">
        <f t="shared" si="315"/>
        <v/>
      </c>
      <c r="EFZ33" t="str">
        <f t="shared" si="315"/>
        <v/>
      </c>
      <c r="EGA33" t="str">
        <f t="shared" si="315"/>
        <v/>
      </c>
      <c r="EGB33" t="str">
        <f t="shared" si="315"/>
        <v/>
      </c>
      <c r="EGC33" t="str">
        <f t="shared" si="315"/>
        <v/>
      </c>
      <c r="EGD33" t="str">
        <f t="shared" si="315"/>
        <v/>
      </c>
      <c r="EGE33" t="str">
        <f t="shared" si="315"/>
        <v/>
      </c>
      <c r="EGF33" t="str">
        <f t="shared" si="315"/>
        <v/>
      </c>
      <c r="EGG33" t="str">
        <f t="shared" si="315"/>
        <v/>
      </c>
      <c r="EGH33" t="str">
        <f t="shared" si="315"/>
        <v/>
      </c>
      <c r="EGI33" t="str">
        <f t="shared" si="315"/>
        <v/>
      </c>
      <c r="EGJ33" t="str">
        <f t="shared" si="315"/>
        <v/>
      </c>
      <c r="EGK33" t="str">
        <f t="shared" si="315"/>
        <v/>
      </c>
      <c r="EGL33" t="str">
        <f t="shared" si="315"/>
        <v/>
      </c>
      <c r="EGM33" t="str">
        <f t="shared" si="315"/>
        <v/>
      </c>
      <c r="EGN33" t="str">
        <f t="shared" si="315"/>
        <v/>
      </c>
      <c r="EGO33" t="str">
        <f t="shared" si="315"/>
        <v/>
      </c>
      <c r="EGP33" t="str">
        <f t="shared" si="315"/>
        <v/>
      </c>
      <c r="EGQ33" t="str">
        <f t="shared" si="315"/>
        <v/>
      </c>
      <c r="EGR33" t="str">
        <f t="shared" si="315"/>
        <v/>
      </c>
      <c r="EGS33" t="str">
        <f t="shared" si="315"/>
        <v/>
      </c>
      <c r="EGT33" t="str">
        <f t="shared" si="315"/>
        <v/>
      </c>
      <c r="EGU33" t="str">
        <f t="shared" si="315"/>
        <v/>
      </c>
      <c r="EGV33" t="str">
        <f t="shared" si="315"/>
        <v/>
      </c>
      <c r="EGW33" t="str">
        <f t="shared" si="315"/>
        <v/>
      </c>
      <c r="EGX33" t="str">
        <f t="shared" si="315"/>
        <v/>
      </c>
      <c r="EGY33" t="str">
        <f t="shared" si="315"/>
        <v/>
      </c>
      <c r="EGZ33" t="str">
        <f t="shared" si="315"/>
        <v/>
      </c>
      <c r="EHA33" t="str">
        <f t="shared" si="315"/>
        <v/>
      </c>
      <c r="EHB33" t="str">
        <f t="shared" si="315"/>
        <v/>
      </c>
      <c r="EHC33" t="str">
        <f t="shared" si="315"/>
        <v/>
      </c>
      <c r="EHD33" t="str">
        <f t="shared" si="315"/>
        <v/>
      </c>
      <c r="EHE33" t="str">
        <f t="shared" si="315"/>
        <v/>
      </c>
      <c r="EHF33" t="str">
        <f t="shared" si="315"/>
        <v/>
      </c>
      <c r="EHG33" t="str">
        <f t="shared" si="315"/>
        <v/>
      </c>
      <c r="EHH33" t="str">
        <f t="shared" si="315"/>
        <v/>
      </c>
      <c r="EHI33" t="str">
        <f t="shared" ref="EHI33:EJT33" si="316">TRIM(EHZ17)</f>
        <v/>
      </c>
      <c r="EHJ33" t="str">
        <f t="shared" si="316"/>
        <v/>
      </c>
      <c r="EHK33" t="str">
        <f t="shared" si="316"/>
        <v/>
      </c>
      <c r="EHL33" t="str">
        <f t="shared" si="316"/>
        <v/>
      </c>
      <c r="EHM33" t="str">
        <f t="shared" si="316"/>
        <v/>
      </c>
      <c r="EHN33" t="str">
        <f t="shared" si="316"/>
        <v/>
      </c>
      <c r="EHO33" t="str">
        <f t="shared" si="316"/>
        <v/>
      </c>
      <c r="EHP33" t="str">
        <f t="shared" si="316"/>
        <v/>
      </c>
      <c r="EHQ33" t="str">
        <f t="shared" si="316"/>
        <v/>
      </c>
      <c r="EHR33" t="str">
        <f t="shared" si="316"/>
        <v/>
      </c>
      <c r="EHS33" t="str">
        <f t="shared" si="316"/>
        <v/>
      </c>
      <c r="EHT33" t="str">
        <f t="shared" si="316"/>
        <v/>
      </c>
      <c r="EHU33" t="str">
        <f t="shared" si="316"/>
        <v/>
      </c>
      <c r="EHV33" t="str">
        <f t="shared" si="316"/>
        <v/>
      </c>
      <c r="EHW33" t="str">
        <f t="shared" si="316"/>
        <v/>
      </c>
      <c r="EHX33" t="str">
        <f t="shared" si="316"/>
        <v/>
      </c>
      <c r="EHY33" t="str">
        <f t="shared" si="316"/>
        <v/>
      </c>
      <c r="EHZ33" t="str">
        <f t="shared" si="316"/>
        <v/>
      </c>
      <c r="EIA33" t="str">
        <f t="shared" si="316"/>
        <v/>
      </c>
      <c r="EIB33" t="str">
        <f t="shared" si="316"/>
        <v/>
      </c>
      <c r="EIC33" t="str">
        <f t="shared" si="316"/>
        <v/>
      </c>
      <c r="EID33" t="str">
        <f t="shared" si="316"/>
        <v/>
      </c>
      <c r="EIE33" t="str">
        <f t="shared" si="316"/>
        <v/>
      </c>
      <c r="EIF33" t="str">
        <f t="shared" si="316"/>
        <v/>
      </c>
      <c r="EIG33" t="str">
        <f t="shared" si="316"/>
        <v/>
      </c>
      <c r="EIH33" t="str">
        <f t="shared" si="316"/>
        <v/>
      </c>
      <c r="EII33" t="str">
        <f t="shared" si="316"/>
        <v/>
      </c>
      <c r="EIJ33" t="str">
        <f t="shared" si="316"/>
        <v/>
      </c>
      <c r="EIK33" t="str">
        <f t="shared" si="316"/>
        <v/>
      </c>
      <c r="EIL33" t="str">
        <f t="shared" si="316"/>
        <v/>
      </c>
      <c r="EIM33" t="str">
        <f t="shared" si="316"/>
        <v/>
      </c>
      <c r="EIN33" t="str">
        <f t="shared" si="316"/>
        <v/>
      </c>
      <c r="EIO33" t="str">
        <f t="shared" si="316"/>
        <v/>
      </c>
      <c r="EIP33" t="str">
        <f t="shared" si="316"/>
        <v/>
      </c>
      <c r="EIQ33" t="str">
        <f t="shared" si="316"/>
        <v/>
      </c>
      <c r="EIR33" t="str">
        <f t="shared" si="316"/>
        <v/>
      </c>
      <c r="EIS33" t="str">
        <f t="shared" si="316"/>
        <v/>
      </c>
      <c r="EIT33" t="str">
        <f t="shared" si="316"/>
        <v/>
      </c>
      <c r="EIU33" t="str">
        <f t="shared" si="316"/>
        <v/>
      </c>
      <c r="EIV33" t="str">
        <f t="shared" si="316"/>
        <v/>
      </c>
      <c r="EIW33" t="str">
        <f t="shared" si="316"/>
        <v/>
      </c>
      <c r="EIX33" t="str">
        <f t="shared" si="316"/>
        <v/>
      </c>
      <c r="EIY33" t="str">
        <f t="shared" si="316"/>
        <v/>
      </c>
      <c r="EIZ33" t="str">
        <f t="shared" si="316"/>
        <v/>
      </c>
      <c r="EJA33" t="str">
        <f t="shared" si="316"/>
        <v/>
      </c>
      <c r="EJB33" t="str">
        <f t="shared" si="316"/>
        <v/>
      </c>
      <c r="EJC33" t="str">
        <f t="shared" si="316"/>
        <v/>
      </c>
      <c r="EJD33" t="str">
        <f t="shared" si="316"/>
        <v/>
      </c>
      <c r="EJE33" t="str">
        <f t="shared" si="316"/>
        <v/>
      </c>
      <c r="EJF33" t="str">
        <f t="shared" si="316"/>
        <v/>
      </c>
      <c r="EJG33" t="str">
        <f t="shared" si="316"/>
        <v/>
      </c>
      <c r="EJH33" t="str">
        <f t="shared" si="316"/>
        <v/>
      </c>
      <c r="EJI33" t="str">
        <f t="shared" si="316"/>
        <v/>
      </c>
      <c r="EJJ33" t="str">
        <f t="shared" si="316"/>
        <v/>
      </c>
      <c r="EJK33" t="str">
        <f t="shared" si="316"/>
        <v/>
      </c>
      <c r="EJL33" t="str">
        <f t="shared" si="316"/>
        <v/>
      </c>
      <c r="EJM33" t="str">
        <f t="shared" si="316"/>
        <v/>
      </c>
      <c r="EJN33" t="str">
        <f t="shared" si="316"/>
        <v/>
      </c>
      <c r="EJO33" t="str">
        <f t="shared" si="316"/>
        <v/>
      </c>
      <c r="EJP33" t="str">
        <f t="shared" si="316"/>
        <v/>
      </c>
      <c r="EJQ33" t="str">
        <f t="shared" si="316"/>
        <v/>
      </c>
      <c r="EJR33" t="str">
        <f t="shared" si="316"/>
        <v/>
      </c>
      <c r="EJS33" t="str">
        <f t="shared" si="316"/>
        <v/>
      </c>
      <c r="EJT33" t="str">
        <f t="shared" si="316"/>
        <v/>
      </c>
      <c r="EJU33" t="str">
        <f t="shared" ref="EJU33:EMF33" si="317">TRIM(EKL17)</f>
        <v/>
      </c>
      <c r="EJV33" t="str">
        <f t="shared" si="317"/>
        <v/>
      </c>
      <c r="EJW33" t="str">
        <f t="shared" si="317"/>
        <v/>
      </c>
      <c r="EJX33" t="str">
        <f t="shared" si="317"/>
        <v/>
      </c>
      <c r="EJY33" t="str">
        <f t="shared" si="317"/>
        <v/>
      </c>
      <c r="EJZ33" t="str">
        <f t="shared" si="317"/>
        <v/>
      </c>
      <c r="EKA33" t="str">
        <f t="shared" si="317"/>
        <v/>
      </c>
      <c r="EKB33" t="str">
        <f t="shared" si="317"/>
        <v/>
      </c>
      <c r="EKC33" t="str">
        <f t="shared" si="317"/>
        <v/>
      </c>
      <c r="EKD33" t="str">
        <f t="shared" si="317"/>
        <v/>
      </c>
      <c r="EKE33" t="str">
        <f t="shared" si="317"/>
        <v/>
      </c>
      <c r="EKF33" t="str">
        <f t="shared" si="317"/>
        <v/>
      </c>
      <c r="EKG33" t="str">
        <f t="shared" si="317"/>
        <v/>
      </c>
      <c r="EKH33" t="str">
        <f t="shared" si="317"/>
        <v/>
      </c>
      <c r="EKI33" t="str">
        <f t="shared" si="317"/>
        <v/>
      </c>
      <c r="EKJ33" t="str">
        <f t="shared" si="317"/>
        <v/>
      </c>
      <c r="EKK33" t="str">
        <f t="shared" si="317"/>
        <v/>
      </c>
      <c r="EKL33" t="str">
        <f t="shared" si="317"/>
        <v/>
      </c>
      <c r="EKM33" t="str">
        <f t="shared" si="317"/>
        <v/>
      </c>
      <c r="EKN33" t="str">
        <f t="shared" si="317"/>
        <v/>
      </c>
      <c r="EKO33" t="str">
        <f t="shared" si="317"/>
        <v/>
      </c>
      <c r="EKP33" t="str">
        <f t="shared" si="317"/>
        <v/>
      </c>
      <c r="EKQ33" t="str">
        <f t="shared" si="317"/>
        <v/>
      </c>
      <c r="EKR33" t="str">
        <f t="shared" si="317"/>
        <v/>
      </c>
      <c r="EKS33" t="str">
        <f t="shared" si="317"/>
        <v/>
      </c>
      <c r="EKT33" t="str">
        <f t="shared" si="317"/>
        <v/>
      </c>
      <c r="EKU33" t="str">
        <f t="shared" si="317"/>
        <v/>
      </c>
      <c r="EKV33" t="str">
        <f t="shared" si="317"/>
        <v/>
      </c>
      <c r="EKW33" t="str">
        <f t="shared" si="317"/>
        <v/>
      </c>
      <c r="EKX33" t="str">
        <f t="shared" si="317"/>
        <v/>
      </c>
      <c r="EKY33" t="str">
        <f t="shared" si="317"/>
        <v/>
      </c>
      <c r="EKZ33" t="str">
        <f t="shared" si="317"/>
        <v/>
      </c>
      <c r="ELA33" t="str">
        <f t="shared" si="317"/>
        <v/>
      </c>
      <c r="ELB33" t="str">
        <f t="shared" si="317"/>
        <v/>
      </c>
      <c r="ELC33" t="str">
        <f t="shared" si="317"/>
        <v/>
      </c>
      <c r="ELD33" t="str">
        <f t="shared" si="317"/>
        <v/>
      </c>
      <c r="ELE33" t="str">
        <f t="shared" si="317"/>
        <v/>
      </c>
      <c r="ELF33" t="str">
        <f t="shared" si="317"/>
        <v/>
      </c>
      <c r="ELG33" t="str">
        <f t="shared" si="317"/>
        <v/>
      </c>
      <c r="ELH33" t="str">
        <f t="shared" si="317"/>
        <v/>
      </c>
      <c r="ELI33" t="str">
        <f t="shared" si="317"/>
        <v/>
      </c>
      <c r="ELJ33" t="str">
        <f t="shared" si="317"/>
        <v/>
      </c>
      <c r="ELK33" t="str">
        <f t="shared" si="317"/>
        <v/>
      </c>
      <c r="ELL33" t="str">
        <f t="shared" si="317"/>
        <v/>
      </c>
      <c r="ELM33" t="str">
        <f t="shared" si="317"/>
        <v/>
      </c>
      <c r="ELN33" t="str">
        <f t="shared" si="317"/>
        <v/>
      </c>
      <c r="ELO33" t="str">
        <f t="shared" si="317"/>
        <v/>
      </c>
      <c r="ELP33" t="str">
        <f t="shared" si="317"/>
        <v/>
      </c>
      <c r="ELQ33" t="str">
        <f t="shared" si="317"/>
        <v/>
      </c>
      <c r="ELR33" t="str">
        <f t="shared" si="317"/>
        <v/>
      </c>
      <c r="ELS33" t="str">
        <f t="shared" si="317"/>
        <v/>
      </c>
      <c r="ELT33" t="str">
        <f t="shared" si="317"/>
        <v/>
      </c>
      <c r="ELU33" t="str">
        <f t="shared" si="317"/>
        <v/>
      </c>
      <c r="ELV33" t="str">
        <f t="shared" si="317"/>
        <v/>
      </c>
      <c r="ELW33" t="str">
        <f t="shared" si="317"/>
        <v/>
      </c>
      <c r="ELX33" t="str">
        <f t="shared" si="317"/>
        <v/>
      </c>
      <c r="ELY33" t="str">
        <f t="shared" si="317"/>
        <v/>
      </c>
      <c r="ELZ33" t="str">
        <f t="shared" si="317"/>
        <v/>
      </c>
      <c r="EMA33" t="str">
        <f t="shared" si="317"/>
        <v/>
      </c>
      <c r="EMB33" t="str">
        <f t="shared" si="317"/>
        <v/>
      </c>
      <c r="EMC33" t="str">
        <f t="shared" si="317"/>
        <v/>
      </c>
      <c r="EMD33" t="str">
        <f t="shared" si="317"/>
        <v/>
      </c>
      <c r="EME33" t="str">
        <f t="shared" si="317"/>
        <v/>
      </c>
      <c r="EMF33" t="str">
        <f t="shared" si="317"/>
        <v/>
      </c>
      <c r="EMG33" t="str">
        <f t="shared" ref="EMG33:EOR33" si="318">TRIM(EMX17)</f>
        <v/>
      </c>
      <c r="EMH33" t="str">
        <f t="shared" si="318"/>
        <v/>
      </c>
      <c r="EMI33" t="str">
        <f t="shared" si="318"/>
        <v/>
      </c>
      <c r="EMJ33" t="str">
        <f t="shared" si="318"/>
        <v/>
      </c>
      <c r="EMK33" t="str">
        <f t="shared" si="318"/>
        <v/>
      </c>
      <c r="EML33" t="str">
        <f t="shared" si="318"/>
        <v/>
      </c>
      <c r="EMM33" t="str">
        <f t="shared" si="318"/>
        <v/>
      </c>
      <c r="EMN33" t="str">
        <f t="shared" si="318"/>
        <v/>
      </c>
      <c r="EMO33" t="str">
        <f t="shared" si="318"/>
        <v/>
      </c>
      <c r="EMP33" t="str">
        <f t="shared" si="318"/>
        <v/>
      </c>
      <c r="EMQ33" t="str">
        <f t="shared" si="318"/>
        <v/>
      </c>
      <c r="EMR33" t="str">
        <f t="shared" si="318"/>
        <v/>
      </c>
      <c r="EMS33" t="str">
        <f t="shared" si="318"/>
        <v/>
      </c>
      <c r="EMT33" t="str">
        <f t="shared" si="318"/>
        <v/>
      </c>
      <c r="EMU33" t="str">
        <f t="shared" si="318"/>
        <v/>
      </c>
      <c r="EMV33" t="str">
        <f t="shared" si="318"/>
        <v/>
      </c>
      <c r="EMW33" t="str">
        <f t="shared" si="318"/>
        <v/>
      </c>
      <c r="EMX33" t="str">
        <f t="shared" si="318"/>
        <v/>
      </c>
      <c r="EMY33" t="str">
        <f t="shared" si="318"/>
        <v/>
      </c>
      <c r="EMZ33" t="str">
        <f t="shared" si="318"/>
        <v/>
      </c>
      <c r="ENA33" t="str">
        <f t="shared" si="318"/>
        <v/>
      </c>
      <c r="ENB33" t="str">
        <f t="shared" si="318"/>
        <v/>
      </c>
      <c r="ENC33" t="str">
        <f t="shared" si="318"/>
        <v/>
      </c>
      <c r="END33" t="str">
        <f t="shared" si="318"/>
        <v/>
      </c>
      <c r="ENE33" t="str">
        <f t="shared" si="318"/>
        <v/>
      </c>
      <c r="ENF33" t="str">
        <f t="shared" si="318"/>
        <v/>
      </c>
      <c r="ENG33" t="str">
        <f t="shared" si="318"/>
        <v/>
      </c>
      <c r="ENH33" t="str">
        <f t="shared" si="318"/>
        <v/>
      </c>
      <c r="ENI33" t="str">
        <f t="shared" si="318"/>
        <v/>
      </c>
      <c r="ENJ33" t="str">
        <f t="shared" si="318"/>
        <v/>
      </c>
      <c r="ENK33" t="str">
        <f t="shared" si="318"/>
        <v/>
      </c>
      <c r="ENL33" t="str">
        <f t="shared" si="318"/>
        <v/>
      </c>
      <c r="ENM33" t="str">
        <f t="shared" si="318"/>
        <v/>
      </c>
      <c r="ENN33" t="str">
        <f t="shared" si="318"/>
        <v/>
      </c>
      <c r="ENO33" t="str">
        <f t="shared" si="318"/>
        <v/>
      </c>
      <c r="ENP33" t="str">
        <f t="shared" si="318"/>
        <v/>
      </c>
      <c r="ENQ33" t="str">
        <f t="shared" si="318"/>
        <v/>
      </c>
      <c r="ENR33" t="str">
        <f t="shared" si="318"/>
        <v/>
      </c>
      <c r="ENS33" t="str">
        <f t="shared" si="318"/>
        <v/>
      </c>
      <c r="ENT33" t="str">
        <f t="shared" si="318"/>
        <v/>
      </c>
      <c r="ENU33" t="str">
        <f t="shared" si="318"/>
        <v/>
      </c>
      <c r="ENV33" t="str">
        <f t="shared" si="318"/>
        <v/>
      </c>
      <c r="ENW33" t="str">
        <f t="shared" si="318"/>
        <v/>
      </c>
      <c r="ENX33" t="str">
        <f t="shared" si="318"/>
        <v/>
      </c>
      <c r="ENY33" t="str">
        <f t="shared" si="318"/>
        <v/>
      </c>
      <c r="ENZ33" t="str">
        <f t="shared" si="318"/>
        <v/>
      </c>
      <c r="EOA33" t="str">
        <f t="shared" si="318"/>
        <v/>
      </c>
      <c r="EOB33" t="str">
        <f t="shared" si="318"/>
        <v/>
      </c>
      <c r="EOC33" t="str">
        <f t="shared" si="318"/>
        <v/>
      </c>
      <c r="EOD33" t="str">
        <f t="shared" si="318"/>
        <v/>
      </c>
      <c r="EOE33" t="str">
        <f t="shared" si="318"/>
        <v/>
      </c>
      <c r="EOF33" t="str">
        <f t="shared" si="318"/>
        <v/>
      </c>
      <c r="EOG33" t="str">
        <f t="shared" si="318"/>
        <v/>
      </c>
      <c r="EOH33" t="str">
        <f t="shared" si="318"/>
        <v/>
      </c>
      <c r="EOI33" t="str">
        <f t="shared" si="318"/>
        <v/>
      </c>
      <c r="EOJ33" t="str">
        <f t="shared" si="318"/>
        <v/>
      </c>
      <c r="EOK33" t="str">
        <f t="shared" si="318"/>
        <v/>
      </c>
      <c r="EOL33" t="str">
        <f t="shared" si="318"/>
        <v/>
      </c>
      <c r="EOM33" t="str">
        <f t="shared" si="318"/>
        <v/>
      </c>
      <c r="EON33" t="str">
        <f t="shared" si="318"/>
        <v/>
      </c>
      <c r="EOO33" t="str">
        <f t="shared" si="318"/>
        <v/>
      </c>
      <c r="EOP33" t="str">
        <f t="shared" si="318"/>
        <v/>
      </c>
      <c r="EOQ33" t="str">
        <f t="shared" si="318"/>
        <v/>
      </c>
      <c r="EOR33" t="str">
        <f t="shared" si="318"/>
        <v/>
      </c>
      <c r="EOS33" t="str">
        <f t="shared" ref="EOS33:ERD33" si="319">TRIM(EPJ17)</f>
        <v/>
      </c>
      <c r="EOT33" t="str">
        <f t="shared" si="319"/>
        <v/>
      </c>
      <c r="EOU33" t="str">
        <f t="shared" si="319"/>
        <v/>
      </c>
      <c r="EOV33" t="str">
        <f t="shared" si="319"/>
        <v/>
      </c>
      <c r="EOW33" t="str">
        <f t="shared" si="319"/>
        <v/>
      </c>
      <c r="EOX33" t="str">
        <f t="shared" si="319"/>
        <v/>
      </c>
      <c r="EOY33" t="str">
        <f t="shared" si="319"/>
        <v/>
      </c>
      <c r="EOZ33" t="str">
        <f t="shared" si="319"/>
        <v/>
      </c>
      <c r="EPA33" t="str">
        <f t="shared" si="319"/>
        <v/>
      </c>
      <c r="EPB33" t="str">
        <f t="shared" si="319"/>
        <v/>
      </c>
      <c r="EPC33" t="str">
        <f t="shared" si="319"/>
        <v/>
      </c>
      <c r="EPD33" t="str">
        <f t="shared" si="319"/>
        <v/>
      </c>
      <c r="EPE33" t="str">
        <f t="shared" si="319"/>
        <v/>
      </c>
      <c r="EPF33" t="str">
        <f t="shared" si="319"/>
        <v/>
      </c>
      <c r="EPG33" t="str">
        <f t="shared" si="319"/>
        <v/>
      </c>
      <c r="EPH33" t="str">
        <f t="shared" si="319"/>
        <v/>
      </c>
      <c r="EPI33" t="str">
        <f t="shared" si="319"/>
        <v/>
      </c>
      <c r="EPJ33" t="str">
        <f t="shared" si="319"/>
        <v/>
      </c>
      <c r="EPK33" t="str">
        <f t="shared" si="319"/>
        <v/>
      </c>
      <c r="EPL33" t="str">
        <f t="shared" si="319"/>
        <v/>
      </c>
      <c r="EPM33" t="str">
        <f t="shared" si="319"/>
        <v/>
      </c>
      <c r="EPN33" t="str">
        <f t="shared" si="319"/>
        <v/>
      </c>
      <c r="EPO33" t="str">
        <f t="shared" si="319"/>
        <v/>
      </c>
      <c r="EPP33" t="str">
        <f t="shared" si="319"/>
        <v/>
      </c>
      <c r="EPQ33" t="str">
        <f t="shared" si="319"/>
        <v/>
      </c>
      <c r="EPR33" t="str">
        <f t="shared" si="319"/>
        <v/>
      </c>
      <c r="EPS33" t="str">
        <f t="shared" si="319"/>
        <v/>
      </c>
      <c r="EPT33" t="str">
        <f t="shared" si="319"/>
        <v/>
      </c>
      <c r="EPU33" t="str">
        <f t="shared" si="319"/>
        <v/>
      </c>
      <c r="EPV33" t="str">
        <f t="shared" si="319"/>
        <v/>
      </c>
      <c r="EPW33" t="str">
        <f t="shared" si="319"/>
        <v/>
      </c>
      <c r="EPX33" t="str">
        <f t="shared" si="319"/>
        <v/>
      </c>
      <c r="EPY33" t="str">
        <f t="shared" si="319"/>
        <v/>
      </c>
      <c r="EPZ33" t="str">
        <f t="shared" si="319"/>
        <v/>
      </c>
      <c r="EQA33" t="str">
        <f t="shared" si="319"/>
        <v/>
      </c>
      <c r="EQB33" t="str">
        <f t="shared" si="319"/>
        <v/>
      </c>
      <c r="EQC33" t="str">
        <f t="shared" si="319"/>
        <v/>
      </c>
      <c r="EQD33" t="str">
        <f t="shared" si="319"/>
        <v/>
      </c>
      <c r="EQE33" t="str">
        <f t="shared" si="319"/>
        <v/>
      </c>
      <c r="EQF33" t="str">
        <f t="shared" si="319"/>
        <v/>
      </c>
      <c r="EQG33" t="str">
        <f t="shared" si="319"/>
        <v/>
      </c>
      <c r="EQH33" t="str">
        <f t="shared" si="319"/>
        <v/>
      </c>
      <c r="EQI33" t="str">
        <f t="shared" si="319"/>
        <v/>
      </c>
      <c r="EQJ33" t="str">
        <f t="shared" si="319"/>
        <v/>
      </c>
      <c r="EQK33" t="str">
        <f t="shared" si="319"/>
        <v/>
      </c>
      <c r="EQL33" t="str">
        <f t="shared" si="319"/>
        <v/>
      </c>
      <c r="EQM33" t="str">
        <f t="shared" si="319"/>
        <v/>
      </c>
      <c r="EQN33" t="str">
        <f t="shared" si="319"/>
        <v/>
      </c>
      <c r="EQO33" t="str">
        <f t="shared" si="319"/>
        <v/>
      </c>
      <c r="EQP33" t="str">
        <f t="shared" si="319"/>
        <v/>
      </c>
      <c r="EQQ33" t="str">
        <f t="shared" si="319"/>
        <v/>
      </c>
      <c r="EQR33" t="str">
        <f t="shared" si="319"/>
        <v/>
      </c>
      <c r="EQS33" t="str">
        <f t="shared" si="319"/>
        <v/>
      </c>
      <c r="EQT33" t="str">
        <f t="shared" si="319"/>
        <v/>
      </c>
      <c r="EQU33" t="str">
        <f t="shared" si="319"/>
        <v/>
      </c>
      <c r="EQV33" t="str">
        <f t="shared" si="319"/>
        <v/>
      </c>
      <c r="EQW33" t="str">
        <f t="shared" si="319"/>
        <v/>
      </c>
      <c r="EQX33" t="str">
        <f t="shared" si="319"/>
        <v/>
      </c>
      <c r="EQY33" t="str">
        <f t="shared" si="319"/>
        <v/>
      </c>
      <c r="EQZ33" t="str">
        <f t="shared" si="319"/>
        <v/>
      </c>
      <c r="ERA33" t="str">
        <f t="shared" si="319"/>
        <v/>
      </c>
      <c r="ERB33" t="str">
        <f t="shared" si="319"/>
        <v/>
      </c>
      <c r="ERC33" t="str">
        <f t="shared" si="319"/>
        <v/>
      </c>
      <c r="ERD33" t="str">
        <f t="shared" si="319"/>
        <v/>
      </c>
      <c r="ERE33" t="str">
        <f t="shared" ref="ERE33:ETP33" si="320">TRIM(ERV17)</f>
        <v/>
      </c>
      <c r="ERF33" t="str">
        <f t="shared" si="320"/>
        <v/>
      </c>
      <c r="ERG33" t="str">
        <f t="shared" si="320"/>
        <v/>
      </c>
      <c r="ERH33" t="str">
        <f t="shared" si="320"/>
        <v/>
      </c>
      <c r="ERI33" t="str">
        <f t="shared" si="320"/>
        <v/>
      </c>
      <c r="ERJ33" t="str">
        <f t="shared" si="320"/>
        <v/>
      </c>
      <c r="ERK33" t="str">
        <f t="shared" si="320"/>
        <v/>
      </c>
      <c r="ERL33" t="str">
        <f t="shared" si="320"/>
        <v/>
      </c>
      <c r="ERM33" t="str">
        <f t="shared" si="320"/>
        <v/>
      </c>
      <c r="ERN33" t="str">
        <f t="shared" si="320"/>
        <v/>
      </c>
      <c r="ERO33" t="str">
        <f t="shared" si="320"/>
        <v/>
      </c>
      <c r="ERP33" t="str">
        <f t="shared" si="320"/>
        <v/>
      </c>
      <c r="ERQ33" t="str">
        <f t="shared" si="320"/>
        <v/>
      </c>
      <c r="ERR33" t="str">
        <f t="shared" si="320"/>
        <v/>
      </c>
      <c r="ERS33" t="str">
        <f t="shared" si="320"/>
        <v/>
      </c>
      <c r="ERT33" t="str">
        <f t="shared" si="320"/>
        <v/>
      </c>
      <c r="ERU33" t="str">
        <f t="shared" si="320"/>
        <v/>
      </c>
      <c r="ERV33" t="str">
        <f t="shared" si="320"/>
        <v/>
      </c>
      <c r="ERW33" t="str">
        <f t="shared" si="320"/>
        <v/>
      </c>
      <c r="ERX33" t="str">
        <f t="shared" si="320"/>
        <v/>
      </c>
      <c r="ERY33" t="str">
        <f t="shared" si="320"/>
        <v/>
      </c>
      <c r="ERZ33" t="str">
        <f t="shared" si="320"/>
        <v/>
      </c>
      <c r="ESA33" t="str">
        <f t="shared" si="320"/>
        <v/>
      </c>
      <c r="ESB33" t="str">
        <f t="shared" si="320"/>
        <v/>
      </c>
      <c r="ESC33" t="str">
        <f t="shared" si="320"/>
        <v/>
      </c>
      <c r="ESD33" t="str">
        <f t="shared" si="320"/>
        <v/>
      </c>
      <c r="ESE33" t="str">
        <f t="shared" si="320"/>
        <v/>
      </c>
      <c r="ESF33" t="str">
        <f t="shared" si="320"/>
        <v/>
      </c>
      <c r="ESG33" t="str">
        <f t="shared" si="320"/>
        <v/>
      </c>
      <c r="ESH33" t="str">
        <f t="shared" si="320"/>
        <v/>
      </c>
      <c r="ESI33" t="str">
        <f t="shared" si="320"/>
        <v/>
      </c>
      <c r="ESJ33" t="str">
        <f t="shared" si="320"/>
        <v/>
      </c>
      <c r="ESK33" t="str">
        <f t="shared" si="320"/>
        <v/>
      </c>
      <c r="ESL33" t="str">
        <f t="shared" si="320"/>
        <v/>
      </c>
      <c r="ESM33" t="str">
        <f t="shared" si="320"/>
        <v/>
      </c>
      <c r="ESN33" t="str">
        <f t="shared" si="320"/>
        <v/>
      </c>
      <c r="ESO33" t="str">
        <f t="shared" si="320"/>
        <v/>
      </c>
      <c r="ESP33" t="str">
        <f t="shared" si="320"/>
        <v/>
      </c>
      <c r="ESQ33" t="str">
        <f t="shared" si="320"/>
        <v/>
      </c>
      <c r="ESR33" t="str">
        <f t="shared" si="320"/>
        <v/>
      </c>
      <c r="ESS33" t="str">
        <f t="shared" si="320"/>
        <v/>
      </c>
      <c r="EST33" t="str">
        <f t="shared" si="320"/>
        <v/>
      </c>
      <c r="ESU33" t="str">
        <f t="shared" si="320"/>
        <v/>
      </c>
      <c r="ESV33" t="str">
        <f t="shared" si="320"/>
        <v/>
      </c>
      <c r="ESW33" t="str">
        <f t="shared" si="320"/>
        <v/>
      </c>
      <c r="ESX33" t="str">
        <f t="shared" si="320"/>
        <v/>
      </c>
      <c r="ESY33" t="str">
        <f t="shared" si="320"/>
        <v/>
      </c>
      <c r="ESZ33" t="str">
        <f t="shared" si="320"/>
        <v/>
      </c>
      <c r="ETA33" t="str">
        <f t="shared" si="320"/>
        <v/>
      </c>
      <c r="ETB33" t="str">
        <f t="shared" si="320"/>
        <v/>
      </c>
      <c r="ETC33" t="str">
        <f t="shared" si="320"/>
        <v/>
      </c>
      <c r="ETD33" t="str">
        <f t="shared" si="320"/>
        <v/>
      </c>
      <c r="ETE33" t="str">
        <f t="shared" si="320"/>
        <v/>
      </c>
      <c r="ETF33" t="str">
        <f t="shared" si="320"/>
        <v/>
      </c>
      <c r="ETG33" t="str">
        <f t="shared" si="320"/>
        <v/>
      </c>
      <c r="ETH33" t="str">
        <f t="shared" si="320"/>
        <v/>
      </c>
      <c r="ETI33" t="str">
        <f t="shared" si="320"/>
        <v/>
      </c>
      <c r="ETJ33" t="str">
        <f t="shared" si="320"/>
        <v/>
      </c>
      <c r="ETK33" t="str">
        <f t="shared" si="320"/>
        <v/>
      </c>
      <c r="ETL33" t="str">
        <f t="shared" si="320"/>
        <v/>
      </c>
      <c r="ETM33" t="str">
        <f t="shared" si="320"/>
        <v/>
      </c>
      <c r="ETN33" t="str">
        <f t="shared" si="320"/>
        <v/>
      </c>
      <c r="ETO33" t="str">
        <f t="shared" si="320"/>
        <v/>
      </c>
      <c r="ETP33" t="str">
        <f t="shared" si="320"/>
        <v/>
      </c>
      <c r="ETQ33" t="str">
        <f t="shared" ref="ETQ33:EWB33" si="321">TRIM(EUH17)</f>
        <v/>
      </c>
      <c r="ETR33" t="str">
        <f t="shared" si="321"/>
        <v/>
      </c>
      <c r="ETS33" t="str">
        <f t="shared" si="321"/>
        <v/>
      </c>
      <c r="ETT33" t="str">
        <f t="shared" si="321"/>
        <v/>
      </c>
      <c r="ETU33" t="str">
        <f t="shared" si="321"/>
        <v/>
      </c>
      <c r="ETV33" t="str">
        <f t="shared" si="321"/>
        <v/>
      </c>
      <c r="ETW33" t="str">
        <f t="shared" si="321"/>
        <v/>
      </c>
      <c r="ETX33" t="str">
        <f t="shared" si="321"/>
        <v/>
      </c>
      <c r="ETY33" t="str">
        <f t="shared" si="321"/>
        <v/>
      </c>
      <c r="ETZ33" t="str">
        <f t="shared" si="321"/>
        <v/>
      </c>
      <c r="EUA33" t="str">
        <f t="shared" si="321"/>
        <v/>
      </c>
      <c r="EUB33" t="str">
        <f t="shared" si="321"/>
        <v/>
      </c>
      <c r="EUC33" t="str">
        <f t="shared" si="321"/>
        <v/>
      </c>
      <c r="EUD33" t="str">
        <f t="shared" si="321"/>
        <v/>
      </c>
      <c r="EUE33" t="str">
        <f t="shared" si="321"/>
        <v/>
      </c>
      <c r="EUF33" t="str">
        <f t="shared" si="321"/>
        <v/>
      </c>
      <c r="EUG33" t="str">
        <f t="shared" si="321"/>
        <v/>
      </c>
      <c r="EUH33" t="str">
        <f t="shared" si="321"/>
        <v/>
      </c>
      <c r="EUI33" t="str">
        <f t="shared" si="321"/>
        <v/>
      </c>
      <c r="EUJ33" t="str">
        <f t="shared" si="321"/>
        <v/>
      </c>
      <c r="EUK33" t="str">
        <f t="shared" si="321"/>
        <v/>
      </c>
      <c r="EUL33" t="str">
        <f t="shared" si="321"/>
        <v/>
      </c>
      <c r="EUM33" t="str">
        <f t="shared" si="321"/>
        <v/>
      </c>
      <c r="EUN33" t="str">
        <f t="shared" si="321"/>
        <v/>
      </c>
      <c r="EUO33" t="str">
        <f t="shared" si="321"/>
        <v/>
      </c>
      <c r="EUP33" t="str">
        <f t="shared" si="321"/>
        <v/>
      </c>
      <c r="EUQ33" t="str">
        <f t="shared" si="321"/>
        <v/>
      </c>
      <c r="EUR33" t="str">
        <f t="shared" si="321"/>
        <v/>
      </c>
      <c r="EUS33" t="str">
        <f t="shared" si="321"/>
        <v/>
      </c>
      <c r="EUT33" t="str">
        <f t="shared" si="321"/>
        <v/>
      </c>
      <c r="EUU33" t="str">
        <f t="shared" si="321"/>
        <v/>
      </c>
      <c r="EUV33" t="str">
        <f t="shared" si="321"/>
        <v/>
      </c>
      <c r="EUW33" t="str">
        <f t="shared" si="321"/>
        <v/>
      </c>
      <c r="EUX33" t="str">
        <f t="shared" si="321"/>
        <v/>
      </c>
      <c r="EUY33" t="str">
        <f t="shared" si="321"/>
        <v/>
      </c>
      <c r="EUZ33" t="str">
        <f t="shared" si="321"/>
        <v/>
      </c>
      <c r="EVA33" t="str">
        <f t="shared" si="321"/>
        <v/>
      </c>
      <c r="EVB33" t="str">
        <f t="shared" si="321"/>
        <v/>
      </c>
      <c r="EVC33" t="str">
        <f t="shared" si="321"/>
        <v/>
      </c>
      <c r="EVD33" t="str">
        <f t="shared" si="321"/>
        <v/>
      </c>
      <c r="EVE33" t="str">
        <f t="shared" si="321"/>
        <v/>
      </c>
      <c r="EVF33" t="str">
        <f t="shared" si="321"/>
        <v/>
      </c>
      <c r="EVG33" t="str">
        <f t="shared" si="321"/>
        <v/>
      </c>
      <c r="EVH33" t="str">
        <f t="shared" si="321"/>
        <v/>
      </c>
      <c r="EVI33" t="str">
        <f t="shared" si="321"/>
        <v/>
      </c>
      <c r="EVJ33" t="str">
        <f t="shared" si="321"/>
        <v/>
      </c>
      <c r="EVK33" t="str">
        <f t="shared" si="321"/>
        <v/>
      </c>
      <c r="EVL33" t="str">
        <f t="shared" si="321"/>
        <v/>
      </c>
      <c r="EVM33" t="str">
        <f t="shared" si="321"/>
        <v/>
      </c>
      <c r="EVN33" t="str">
        <f t="shared" si="321"/>
        <v/>
      </c>
      <c r="EVO33" t="str">
        <f t="shared" si="321"/>
        <v/>
      </c>
      <c r="EVP33" t="str">
        <f t="shared" si="321"/>
        <v/>
      </c>
      <c r="EVQ33" t="str">
        <f t="shared" si="321"/>
        <v/>
      </c>
      <c r="EVR33" t="str">
        <f t="shared" si="321"/>
        <v/>
      </c>
      <c r="EVS33" t="str">
        <f t="shared" si="321"/>
        <v/>
      </c>
      <c r="EVT33" t="str">
        <f t="shared" si="321"/>
        <v/>
      </c>
      <c r="EVU33" t="str">
        <f t="shared" si="321"/>
        <v/>
      </c>
      <c r="EVV33" t="str">
        <f t="shared" si="321"/>
        <v/>
      </c>
      <c r="EVW33" t="str">
        <f t="shared" si="321"/>
        <v/>
      </c>
      <c r="EVX33" t="str">
        <f t="shared" si="321"/>
        <v/>
      </c>
      <c r="EVY33" t="str">
        <f t="shared" si="321"/>
        <v/>
      </c>
      <c r="EVZ33" t="str">
        <f t="shared" si="321"/>
        <v/>
      </c>
      <c r="EWA33" t="str">
        <f t="shared" si="321"/>
        <v/>
      </c>
      <c r="EWB33" t="str">
        <f t="shared" si="321"/>
        <v/>
      </c>
      <c r="EWC33" t="str">
        <f t="shared" ref="EWC33:EYN33" si="322">TRIM(EWT17)</f>
        <v/>
      </c>
      <c r="EWD33" t="str">
        <f t="shared" si="322"/>
        <v/>
      </c>
      <c r="EWE33" t="str">
        <f t="shared" si="322"/>
        <v/>
      </c>
      <c r="EWF33" t="str">
        <f t="shared" si="322"/>
        <v/>
      </c>
      <c r="EWG33" t="str">
        <f t="shared" si="322"/>
        <v/>
      </c>
      <c r="EWH33" t="str">
        <f t="shared" si="322"/>
        <v/>
      </c>
      <c r="EWI33" t="str">
        <f t="shared" si="322"/>
        <v/>
      </c>
      <c r="EWJ33" t="str">
        <f t="shared" si="322"/>
        <v/>
      </c>
      <c r="EWK33" t="str">
        <f t="shared" si="322"/>
        <v/>
      </c>
      <c r="EWL33" t="str">
        <f t="shared" si="322"/>
        <v/>
      </c>
      <c r="EWM33" t="str">
        <f t="shared" si="322"/>
        <v/>
      </c>
      <c r="EWN33" t="str">
        <f t="shared" si="322"/>
        <v/>
      </c>
      <c r="EWO33" t="str">
        <f t="shared" si="322"/>
        <v/>
      </c>
      <c r="EWP33" t="str">
        <f t="shared" si="322"/>
        <v/>
      </c>
      <c r="EWQ33" t="str">
        <f t="shared" si="322"/>
        <v/>
      </c>
      <c r="EWR33" t="str">
        <f t="shared" si="322"/>
        <v/>
      </c>
      <c r="EWS33" t="str">
        <f t="shared" si="322"/>
        <v/>
      </c>
      <c r="EWT33" t="str">
        <f t="shared" si="322"/>
        <v/>
      </c>
      <c r="EWU33" t="str">
        <f t="shared" si="322"/>
        <v/>
      </c>
      <c r="EWV33" t="str">
        <f t="shared" si="322"/>
        <v/>
      </c>
      <c r="EWW33" t="str">
        <f t="shared" si="322"/>
        <v/>
      </c>
      <c r="EWX33" t="str">
        <f t="shared" si="322"/>
        <v/>
      </c>
      <c r="EWY33" t="str">
        <f t="shared" si="322"/>
        <v/>
      </c>
      <c r="EWZ33" t="str">
        <f t="shared" si="322"/>
        <v/>
      </c>
      <c r="EXA33" t="str">
        <f t="shared" si="322"/>
        <v/>
      </c>
      <c r="EXB33" t="str">
        <f t="shared" si="322"/>
        <v/>
      </c>
      <c r="EXC33" t="str">
        <f t="shared" si="322"/>
        <v/>
      </c>
      <c r="EXD33" t="str">
        <f t="shared" si="322"/>
        <v/>
      </c>
      <c r="EXE33" t="str">
        <f t="shared" si="322"/>
        <v/>
      </c>
      <c r="EXF33" t="str">
        <f t="shared" si="322"/>
        <v/>
      </c>
      <c r="EXG33" t="str">
        <f t="shared" si="322"/>
        <v/>
      </c>
      <c r="EXH33" t="str">
        <f t="shared" si="322"/>
        <v/>
      </c>
      <c r="EXI33" t="str">
        <f t="shared" si="322"/>
        <v/>
      </c>
      <c r="EXJ33" t="str">
        <f t="shared" si="322"/>
        <v/>
      </c>
      <c r="EXK33" t="str">
        <f t="shared" si="322"/>
        <v/>
      </c>
      <c r="EXL33" t="str">
        <f t="shared" si="322"/>
        <v/>
      </c>
      <c r="EXM33" t="str">
        <f t="shared" si="322"/>
        <v/>
      </c>
      <c r="EXN33" t="str">
        <f t="shared" si="322"/>
        <v/>
      </c>
      <c r="EXO33" t="str">
        <f t="shared" si="322"/>
        <v/>
      </c>
      <c r="EXP33" t="str">
        <f t="shared" si="322"/>
        <v/>
      </c>
      <c r="EXQ33" t="str">
        <f t="shared" si="322"/>
        <v/>
      </c>
      <c r="EXR33" t="str">
        <f t="shared" si="322"/>
        <v/>
      </c>
      <c r="EXS33" t="str">
        <f t="shared" si="322"/>
        <v/>
      </c>
      <c r="EXT33" t="str">
        <f t="shared" si="322"/>
        <v/>
      </c>
      <c r="EXU33" t="str">
        <f t="shared" si="322"/>
        <v/>
      </c>
      <c r="EXV33" t="str">
        <f t="shared" si="322"/>
        <v/>
      </c>
      <c r="EXW33" t="str">
        <f t="shared" si="322"/>
        <v/>
      </c>
      <c r="EXX33" t="str">
        <f t="shared" si="322"/>
        <v/>
      </c>
      <c r="EXY33" t="str">
        <f t="shared" si="322"/>
        <v/>
      </c>
      <c r="EXZ33" t="str">
        <f t="shared" si="322"/>
        <v/>
      </c>
      <c r="EYA33" t="str">
        <f t="shared" si="322"/>
        <v/>
      </c>
      <c r="EYB33" t="str">
        <f t="shared" si="322"/>
        <v/>
      </c>
      <c r="EYC33" t="str">
        <f t="shared" si="322"/>
        <v/>
      </c>
      <c r="EYD33" t="str">
        <f t="shared" si="322"/>
        <v/>
      </c>
      <c r="EYE33" t="str">
        <f t="shared" si="322"/>
        <v/>
      </c>
      <c r="EYF33" t="str">
        <f t="shared" si="322"/>
        <v/>
      </c>
      <c r="EYG33" t="str">
        <f t="shared" si="322"/>
        <v/>
      </c>
      <c r="EYH33" t="str">
        <f t="shared" si="322"/>
        <v/>
      </c>
      <c r="EYI33" t="str">
        <f t="shared" si="322"/>
        <v/>
      </c>
      <c r="EYJ33" t="str">
        <f t="shared" si="322"/>
        <v/>
      </c>
      <c r="EYK33" t="str">
        <f t="shared" si="322"/>
        <v/>
      </c>
      <c r="EYL33" t="str">
        <f t="shared" si="322"/>
        <v/>
      </c>
      <c r="EYM33" t="str">
        <f t="shared" si="322"/>
        <v/>
      </c>
      <c r="EYN33" t="str">
        <f t="shared" si="322"/>
        <v/>
      </c>
      <c r="EYO33" t="str">
        <f t="shared" ref="EYO33:FAZ33" si="323">TRIM(EZF17)</f>
        <v/>
      </c>
      <c r="EYP33" t="str">
        <f t="shared" si="323"/>
        <v/>
      </c>
      <c r="EYQ33" t="str">
        <f t="shared" si="323"/>
        <v/>
      </c>
      <c r="EYR33" t="str">
        <f t="shared" si="323"/>
        <v/>
      </c>
      <c r="EYS33" t="str">
        <f t="shared" si="323"/>
        <v/>
      </c>
      <c r="EYT33" t="str">
        <f t="shared" si="323"/>
        <v/>
      </c>
      <c r="EYU33" t="str">
        <f t="shared" si="323"/>
        <v/>
      </c>
      <c r="EYV33" t="str">
        <f t="shared" si="323"/>
        <v/>
      </c>
      <c r="EYW33" t="str">
        <f t="shared" si="323"/>
        <v/>
      </c>
      <c r="EYX33" t="str">
        <f t="shared" si="323"/>
        <v/>
      </c>
      <c r="EYY33" t="str">
        <f t="shared" si="323"/>
        <v/>
      </c>
      <c r="EYZ33" t="str">
        <f t="shared" si="323"/>
        <v/>
      </c>
      <c r="EZA33" t="str">
        <f t="shared" si="323"/>
        <v/>
      </c>
      <c r="EZB33" t="str">
        <f t="shared" si="323"/>
        <v/>
      </c>
      <c r="EZC33" t="str">
        <f t="shared" si="323"/>
        <v/>
      </c>
      <c r="EZD33" t="str">
        <f t="shared" si="323"/>
        <v/>
      </c>
      <c r="EZE33" t="str">
        <f t="shared" si="323"/>
        <v/>
      </c>
      <c r="EZF33" t="str">
        <f t="shared" si="323"/>
        <v/>
      </c>
      <c r="EZG33" t="str">
        <f t="shared" si="323"/>
        <v/>
      </c>
      <c r="EZH33" t="str">
        <f t="shared" si="323"/>
        <v/>
      </c>
      <c r="EZI33" t="str">
        <f t="shared" si="323"/>
        <v/>
      </c>
      <c r="EZJ33" t="str">
        <f t="shared" si="323"/>
        <v/>
      </c>
      <c r="EZK33" t="str">
        <f t="shared" si="323"/>
        <v/>
      </c>
      <c r="EZL33" t="str">
        <f t="shared" si="323"/>
        <v/>
      </c>
      <c r="EZM33" t="str">
        <f t="shared" si="323"/>
        <v/>
      </c>
      <c r="EZN33" t="str">
        <f t="shared" si="323"/>
        <v/>
      </c>
      <c r="EZO33" t="str">
        <f t="shared" si="323"/>
        <v/>
      </c>
      <c r="EZP33" t="str">
        <f t="shared" si="323"/>
        <v/>
      </c>
      <c r="EZQ33" t="str">
        <f t="shared" si="323"/>
        <v/>
      </c>
      <c r="EZR33" t="str">
        <f t="shared" si="323"/>
        <v/>
      </c>
      <c r="EZS33" t="str">
        <f t="shared" si="323"/>
        <v/>
      </c>
      <c r="EZT33" t="str">
        <f t="shared" si="323"/>
        <v/>
      </c>
      <c r="EZU33" t="str">
        <f t="shared" si="323"/>
        <v/>
      </c>
      <c r="EZV33" t="str">
        <f t="shared" si="323"/>
        <v/>
      </c>
      <c r="EZW33" t="str">
        <f t="shared" si="323"/>
        <v/>
      </c>
      <c r="EZX33" t="str">
        <f t="shared" si="323"/>
        <v/>
      </c>
      <c r="EZY33" t="str">
        <f t="shared" si="323"/>
        <v/>
      </c>
      <c r="EZZ33" t="str">
        <f t="shared" si="323"/>
        <v/>
      </c>
      <c r="FAA33" t="str">
        <f t="shared" si="323"/>
        <v/>
      </c>
      <c r="FAB33" t="str">
        <f t="shared" si="323"/>
        <v/>
      </c>
      <c r="FAC33" t="str">
        <f t="shared" si="323"/>
        <v/>
      </c>
      <c r="FAD33" t="str">
        <f t="shared" si="323"/>
        <v/>
      </c>
      <c r="FAE33" t="str">
        <f t="shared" si="323"/>
        <v/>
      </c>
      <c r="FAF33" t="str">
        <f t="shared" si="323"/>
        <v/>
      </c>
      <c r="FAG33" t="str">
        <f t="shared" si="323"/>
        <v/>
      </c>
      <c r="FAH33" t="str">
        <f t="shared" si="323"/>
        <v/>
      </c>
      <c r="FAI33" t="str">
        <f t="shared" si="323"/>
        <v/>
      </c>
      <c r="FAJ33" t="str">
        <f t="shared" si="323"/>
        <v/>
      </c>
      <c r="FAK33" t="str">
        <f t="shared" si="323"/>
        <v/>
      </c>
      <c r="FAL33" t="str">
        <f t="shared" si="323"/>
        <v/>
      </c>
      <c r="FAM33" t="str">
        <f t="shared" si="323"/>
        <v/>
      </c>
      <c r="FAN33" t="str">
        <f t="shared" si="323"/>
        <v/>
      </c>
      <c r="FAO33" t="str">
        <f t="shared" si="323"/>
        <v/>
      </c>
      <c r="FAP33" t="str">
        <f t="shared" si="323"/>
        <v/>
      </c>
      <c r="FAQ33" t="str">
        <f t="shared" si="323"/>
        <v/>
      </c>
      <c r="FAR33" t="str">
        <f t="shared" si="323"/>
        <v/>
      </c>
      <c r="FAS33" t="str">
        <f t="shared" si="323"/>
        <v/>
      </c>
      <c r="FAT33" t="str">
        <f t="shared" si="323"/>
        <v/>
      </c>
      <c r="FAU33" t="str">
        <f t="shared" si="323"/>
        <v/>
      </c>
      <c r="FAV33" t="str">
        <f t="shared" si="323"/>
        <v/>
      </c>
      <c r="FAW33" t="str">
        <f t="shared" si="323"/>
        <v/>
      </c>
      <c r="FAX33" t="str">
        <f t="shared" si="323"/>
        <v/>
      </c>
      <c r="FAY33" t="str">
        <f t="shared" si="323"/>
        <v/>
      </c>
      <c r="FAZ33" t="str">
        <f t="shared" si="323"/>
        <v/>
      </c>
      <c r="FBA33" t="str">
        <f t="shared" ref="FBA33:FDL33" si="324">TRIM(FBR17)</f>
        <v/>
      </c>
      <c r="FBB33" t="str">
        <f t="shared" si="324"/>
        <v/>
      </c>
      <c r="FBC33" t="str">
        <f t="shared" si="324"/>
        <v/>
      </c>
      <c r="FBD33" t="str">
        <f t="shared" si="324"/>
        <v/>
      </c>
      <c r="FBE33" t="str">
        <f t="shared" si="324"/>
        <v/>
      </c>
      <c r="FBF33" t="str">
        <f t="shared" si="324"/>
        <v/>
      </c>
      <c r="FBG33" t="str">
        <f t="shared" si="324"/>
        <v/>
      </c>
      <c r="FBH33" t="str">
        <f t="shared" si="324"/>
        <v/>
      </c>
      <c r="FBI33" t="str">
        <f t="shared" si="324"/>
        <v/>
      </c>
      <c r="FBJ33" t="str">
        <f t="shared" si="324"/>
        <v/>
      </c>
      <c r="FBK33" t="str">
        <f t="shared" si="324"/>
        <v/>
      </c>
      <c r="FBL33" t="str">
        <f t="shared" si="324"/>
        <v/>
      </c>
      <c r="FBM33" t="str">
        <f t="shared" si="324"/>
        <v/>
      </c>
      <c r="FBN33" t="str">
        <f t="shared" si="324"/>
        <v/>
      </c>
      <c r="FBO33" t="str">
        <f t="shared" si="324"/>
        <v/>
      </c>
      <c r="FBP33" t="str">
        <f t="shared" si="324"/>
        <v/>
      </c>
      <c r="FBQ33" t="str">
        <f t="shared" si="324"/>
        <v/>
      </c>
      <c r="FBR33" t="str">
        <f t="shared" si="324"/>
        <v/>
      </c>
      <c r="FBS33" t="str">
        <f t="shared" si="324"/>
        <v/>
      </c>
      <c r="FBT33" t="str">
        <f t="shared" si="324"/>
        <v/>
      </c>
      <c r="FBU33" t="str">
        <f t="shared" si="324"/>
        <v/>
      </c>
      <c r="FBV33" t="str">
        <f t="shared" si="324"/>
        <v/>
      </c>
      <c r="FBW33" t="str">
        <f t="shared" si="324"/>
        <v/>
      </c>
      <c r="FBX33" t="str">
        <f t="shared" si="324"/>
        <v/>
      </c>
      <c r="FBY33" t="str">
        <f t="shared" si="324"/>
        <v/>
      </c>
      <c r="FBZ33" t="str">
        <f t="shared" si="324"/>
        <v/>
      </c>
      <c r="FCA33" t="str">
        <f t="shared" si="324"/>
        <v/>
      </c>
      <c r="FCB33" t="str">
        <f t="shared" si="324"/>
        <v/>
      </c>
      <c r="FCC33" t="str">
        <f t="shared" si="324"/>
        <v/>
      </c>
      <c r="FCD33" t="str">
        <f t="shared" si="324"/>
        <v/>
      </c>
      <c r="FCE33" t="str">
        <f t="shared" si="324"/>
        <v/>
      </c>
      <c r="FCF33" t="str">
        <f t="shared" si="324"/>
        <v/>
      </c>
      <c r="FCG33" t="str">
        <f t="shared" si="324"/>
        <v/>
      </c>
      <c r="FCH33" t="str">
        <f t="shared" si="324"/>
        <v/>
      </c>
      <c r="FCI33" t="str">
        <f t="shared" si="324"/>
        <v/>
      </c>
      <c r="FCJ33" t="str">
        <f t="shared" si="324"/>
        <v/>
      </c>
      <c r="FCK33" t="str">
        <f t="shared" si="324"/>
        <v/>
      </c>
      <c r="FCL33" t="str">
        <f t="shared" si="324"/>
        <v/>
      </c>
      <c r="FCM33" t="str">
        <f t="shared" si="324"/>
        <v/>
      </c>
      <c r="FCN33" t="str">
        <f t="shared" si="324"/>
        <v/>
      </c>
      <c r="FCO33" t="str">
        <f t="shared" si="324"/>
        <v/>
      </c>
      <c r="FCP33" t="str">
        <f t="shared" si="324"/>
        <v/>
      </c>
      <c r="FCQ33" t="str">
        <f t="shared" si="324"/>
        <v/>
      </c>
      <c r="FCR33" t="str">
        <f t="shared" si="324"/>
        <v/>
      </c>
      <c r="FCS33" t="str">
        <f t="shared" si="324"/>
        <v/>
      </c>
      <c r="FCT33" t="str">
        <f t="shared" si="324"/>
        <v/>
      </c>
      <c r="FCU33" t="str">
        <f t="shared" si="324"/>
        <v/>
      </c>
      <c r="FCV33" t="str">
        <f t="shared" si="324"/>
        <v/>
      </c>
      <c r="FCW33" t="str">
        <f t="shared" si="324"/>
        <v/>
      </c>
      <c r="FCX33" t="str">
        <f t="shared" si="324"/>
        <v/>
      </c>
      <c r="FCY33" t="str">
        <f t="shared" si="324"/>
        <v/>
      </c>
      <c r="FCZ33" t="str">
        <f t="shared" si="324"/>
        <v/>
      </c>
      <c r="FDA33" t="str">
        <f t="shared" si="324"/>
        <v/>
      </c>
      <c r="FDB33" t="str">
        <f t="shared" si="324"/>
        <v/>
      </c>
      <c r="FDC33" t="str">
        <f t="shared" si="324"/>
        <v/>
      </c>
      <c r="FDD33" t="str">
        <f t="shared" si="324"/>
        <v/>
      </c>
      <c r="FDE33" t="str">
        <f t="shared" si="324"/>
        <v/>
      </c>
      <c r="FDF33" t="str">
        <f t="shared" si="324"/>
        <v/>
      </c>
      <c r="FDG33" t="str">
        <f t="shared" si="324"/>
        <v/>
      </c>
      <c r="FDH33" t="str">
        <f t="shared" si="324"/>
        <v/>
      </c>
      <c r="FDI33" t="str">
        <f t="shared" si="324"/>
        <v/>
      </c>
      <c r="FDJ33" t="str">
        <f t="shared" si="324"/>
        <v/>
      </c>
      <c r="FDK33" t="str">
        <f t="shared" si="324"/>
        <v/>
      </c>
      <c r="FDL33" t="str">
        <f t="shared" si="324"/>
        <v/>
      </c>
      <c r="FDM33" t="str">
        <f t="shared" ref="FDM33:FFX33" si="325">TRIM(FED17)</f>
        <v/>
      </c>
      <c r="FDN33" t="str">
        <f t="shared" si="325"/>
        <v/>
      </c>
      <c r="FDO33" t="str">
        <f t="shared" si="325"/>
        <v/>
      </c>
      <c r="FDP33" t="str">
        <f t="shared" si="325"/>
        <v/>
      </c>
      <c r="FDQ33" t="str">
        <f t="shared" si="325"/>
        <v/>
      </c>
      <c r="FDR33" t="str">
        <f t="shared" si="325"/>
        <v/>
      </c>
      <c r="FDS33" t="str">
        <f t="shared" si="325"/>
        <v/>
      </c>
      <c r="FDT33" t="str">
        <f t="shared" si="325"/>
        <v/>
      </c>
      <c r="FDU33" t="str">
        <f t="shared" si="325"/>
        <v/>
      </c>
      <c r="FDV33" t="str">
        <f t="shared" si="325"/>
        <v/>
      </c>
      <c r="FDW33" t="str">
        <f t="shared" si="325"/>
        <v/>
      </c>
      <c r="FDX33" t="str">
        <f t="shared" si="325"/>
        <v/>
      </c>
      <c r="FDY33" t="str">
        <f t="shared" si="325"/>
        <v/>
      </c>
      <c r="FDZ33" t="str">
        <f t="shared" si="325"/>
        <v/>
      </c>
      <c r="FEA33" t="str">
        <f t="shared" si="325"/>
        <v/>
      </c>
      <c r="FEB33" t="str">
        <f t="shared" si="325"/>
        <v/>
      </c>
      <c r="FEC33" t="str">
        <f t="shared" si="325"/>
        <v/>
      </c>
      <c r="FED33" t="str">
        <f t="shared" si="325"/>
        <v/>
      </c>
      <c r="FEE33" t="str">
        <f t="shared" si="325"/>
        <v/>
      </c>
      <c r="FEF33" t="str">
        <f t="shared" si="325"/>
        <v/>
      </c>
      <c r="FEG33" t="str">
        <f t="shared" si="325"/>
        <v/>
      </c>
      <c r="FEH33" t="str">
        <f t="shared" si="325"/>
        <v/>
      </c>
      <c r="FEI33" t="str">
        <f t="shared" si="325"/>
        <v/>
      </c>
      <c r="FEJ33" t="str">
        <f t="shared" si="325"/>
        <v/>
      </c>
      <c r="FEK33" t="str">
        <f t="shared" si="325"/>
        <v/>
      </c>
      <c r="FEL33" t="str">
        <f t="shared" si="325"/>
        <v/>
      </c>
      <c r="FEM33" t="str">
        <f t="shared" si="325"/>
        <v/>
      </c>
      <c r="FEN33" t="str">
        <f t="shared" si="325"/>
        <v/>
      </c>
      <c r="FEO33" t="str">
        <f t="shared" si="325"/>
        <v/>
      </c>
      <c r="FEP33" t="str">
        <f t="shared" si="325"/>
        <v/>
      </c>
      <c r="FEQ33" t="str">
        <f t="shared" si="325"/>
        <v/>
      </c>
      <c r="FER33" t="str">
        <f t="shared" si="325"/>
        <v/>
      </c>
      <c r="FES33" t="str">
        <f t="shared" si="325"/>
        <v/>
      </c>
      <c r="FET33" t="str">
        <f t="shared" si="325"/>
        <v/>
      </c>
      <c r="FEU33" t="str">
        <f t="shared" si="325"/>
        <v/>
      </c>
      <c r="FEV33" t="str">
        <f t="shared" si="325"/>
        <v/>
      </c>
      <c r="FEW33" t="str">
        <f t="shared" si="325"/>
        <v/>
      </c>
      <c r="FEX33" t="str">
        <f t="shared" si="325"/>
        <v/>
      </c>
      <c r="FEY33" t="str">
        <f t="shared" si="325"/>
        <v/>
      </c>
      <c r="FEZ33" t="str">
        <f t="shared" si="325"/>
        <v/>
      </c>
      <c r="FFA33" t="str">
        <f t="shared" si="325"/>
        <v/>
      </c>
      <c r="FFB33" t="str">
        <f t="shared" si="325"/>
        <v/>
      </c>
      <c r="FFC33" t="str">
        <f t="shared" si="325"/>
        <v/>
      </c>
      <c r="FFD33" t="str">
        <f t="shared" si="325"/>
        <v/>
      </c>
      <c r="FFE33" t="str">
        <f t="shared" si="325"/>
        <v/>
      </c>
      <c r="FFF33" t="str">
        <f t="shared" si="325"/>
        <v/>
      </c>
      <c r="FFG33" t="str">
        <f t="shared" si="325"/>
        <v/>
      </c>
      <c r="FFH33" t="str">
        <f t="shared" si="325"/>
        <v/>
      </c>
      <c r="FFI33" t="str">
        <f t="shared" si="325"/>
        <v/>
      </c>
      <c r="FFJ33" t="str">
        <f t="shared" si="325"/>
        <v/>
      </c>
      <c r="FFK33" t="str">
        <f t="shared" si="325"/>
        <v/>
      </c>
      <c r="FFL33" t="str">
        <f t="shared" si="325"/>
        <v/>
      </c>
      <c r="FFM33" t="str">
        <f t="shared" si="325"/>
        <v/>
      </c>
      <c r="FFN33" t="str">
        <f t="shared" si="325"/>
        <v/>
      </c>
      <c r="FFO33" t="str">
        <f t="shared" si="325"/>
        <v/>
      </c>
      <c r="FFP33" t="str">
        <f t="shared" si="325"/>
        <v/>
      </c>
      <c r="FFQ33" t="str">
        <f t="shared" si="325"/>
        <v/>
      </c>
      <c r="FFR33" t="str">
        <f t="shared" si="325"/>
        <v/>
      </c>
      <c r="FFS33" t="str">
        <f t="shared" si="325"/>
        <v/>
      </c>
      <c r="FFT33" t="str">
        <f t="shared" si="325"/>
        <v/>
      </c>
      <c r="FFU33" t="str">
        <f t="shared" si="325"/>
        <v/>
      </c>
      <c r="FFV33" t="str">
        <f t="shared" si="325"/>
        <v/>
      </c>
      <c r="FFW33" t="str">
        <f t="shared" si="325"/>
        <v/>
      </c>
      <c r="FFX33" t="str">
        <f t="shared" si="325"/>
        <v/>
      </c>
      <c r="FFY33" t="str">
        <f t="shared" ref="FFY33:FIJ33" si="326">TRIM(FGP17)</f>
        <v/>
      </c>
      <c r="FFZ33" t="str">
        <f t="shared" si="326"/>
        <v/>
      </c>
      <c r="FGA33" t="str">
        <f t="shared" si="326"/>
        <v/>
      </c>
      <c r="FGB33" t="str">
        <f t="shared" si="326"/>
        <v/>
      </c>
      <c r="FGC33" t="str">
        <f t="shared" si="326"/>
        <v/>
      </c>
      <c r="FGD33" t="str">
        <f t="shared" si="326"/>
        <v/>
      </c>
      <c r="FGE33" t="str">
        <f t="shared" si="326"/>
        <v/>
      </c>
      <c r="FGF33" t="str">
        <f t="shared" si="326"/>
        <v/>
      </c>
      <c r="FGG33" t="str">
        <f t="shared" si="326"/>
        <v/>
      </c>
      <c r="FGH33" t="str">
        <f t="shared" si="326"/>
        <v/>
      </c>
      <c r="FGI33" t="str">
        <f t="shared" si="326"/>
        <v/>
      </c>
      <c r="FGJ33" t="str">
        <f t="shared" si="326"/>
        <v/>
      </c>
      <c r="FGK33" t="str">
        <f t="shared" si="326"/>
        <v/>
      </c>
      <c r="FGL33" t="str">
        <f t="shared" si="326"/>
        <v/>
      </c>
      <c r="FGM33" t="str">
        <f t="shared" si="326"/>
        <v/>
      </c>
      <c r="FGN33" t="str">
        <f t="shared" si="326"/>
        <v/>
      </c>
      <c r="FGO33" t="str">
        <f t="shared" si="326"/>
        <v/>
      </c>
      <c r="FGP33" t="str">
        <f t="shared" si="326"/>
        <v/>
      </c>
      <c r="FGQ33" t="str">
        <f t="shared" si="326"/>
        <v/>
      </c>
      <c r="FGR33" t="str">
        <f t="shared" si="326"/>
        <v/>
      </c>
      <c r="FGS33" t="str">
        <f t="shared" si="326"/>
        <v/>
      </c>
      <c r="FGT33" t="str">
        <f t="shared" si="326"/>
        <v/>
      </c>
      <c r="FGU33" t="str">
        <f t="shared" si="326"/>
        <v/>
      </c>
      <c r="FGV33" t="str">
        <f t="shared" si="326"/>
        <v/>
      </c>
      <c r="FGW33" t="str">
        <f t="shared" si="326"/>
        <v/>
      </c>
      <c r="FGX33" t="str">
        <f t="shared" si="326"/>
        <v/>
      </c>
      <c r="FGY33" t="str">
        <f t="shared" si="326"/>
        <v/>
      </c>
      <c r="FGZ33" t="str">
        <f t="shared" si="326"/>
        <v/>
      </c>
      <c r="FHA33" t="str">
        <f t="shared" si="326"/>
        <v/>
      </c>
      <c r="FHB33" t="str">
        <f t="shared" si="326"/>
        <v/>
      </c>
      <c r="FHC33" t="str">
        <f t="shared" si="326"/>
        <v/>
      </c>
      <c r="FHD33" t="str">
        <f t="shared" si="326"/>
        <v/>
      </c>
      <c r="FHE33" t="str">
        <f t="shared" si="326"/>
        <v/>
      </c>
      <c r="FHF33" t="str">
        <f t="shared" si="326"/>
        <v/>
      </c>
      <c r="FHG33" t="str">
        <f t="shared" si="326"/>
        <v/>
      </c>
      <c r="FHH33" t="str">
        <f t="shared" si="326"/>
        <v/>
      </c>
      <c r="FHI33" t="str">
        <f t="shared" si="326"/>
        <v/>
      </c>
      <c r="FHJ33" t="str">
        <f t="shared" si="326"/>
        <v/>
      </c>
      <c r="FHK33" t="str">
        <f t="shared" si="326"/>
        <v/>
      </c>
      <c r="FHL33" t="str">
        <f t="shared" si="326"/>
        <v/>
      </c>
      <c r="FHM33" t="str">
        <f t="shared" si="326"/>
        <v/>
      </c>
      <c r="FHN33" t="str">
        <f t="shared" si="326"/>
        <v/>
      </c>
      <c r="FHO33" t="str">
        <f t="shared" si="326"/>
        <v/>
      </c>
      <c r="FHP33" t="str">
        <f t="shared" si="326"/>
        <v/>
      </c>
      <c r="FHQ33" t="str">
        <f t="shared" si="326"/>
        <v/>
      </c>
      <c r="FHR33" t="str">
        <f t="shared" si="326"/>
        <v/>
      </c>
      <c r="FHS33" t="str">
        <f t="shared" si="326"/>
        <v/>
      </c>
      <c r="FHT33" t="str">
        <f t="shared" si="326"/>
        <v/>
      </c>
      <c r="FHU33" t="str">
        <f t="shared" si="326"/>
        <v/>
      </c>
      <c r="FHV33" t="str">
        <f t="shared" si="326"/>
        <v/>
      </c>
      <c r="FHW33" t="str">
        <f t="shared" si="326"/>
        <v/>
      </c>
      <c r="FHX33" t="str">
        <f t="shared" si="326"/>
        <v/>
      </c>
      <c r="FHY33" t="str">
        <f t="shared" si="326"/>
        <v/>
      </c>
      <c r="FHZ33" t="str">
        <f t="shared" si="326"/>
        <v/>
      </c>
      <c r="FIA33" t="str">
        <f t="shared" si="326"/>
        <v/>
      </c>
      <c r="FIB33" t="str">
        <f t="shared" si="326"/>
        <v/>
      </c>
      <c r="FIC33" t="str">
        <f t="shared" si="326"/>
        <v/>
      </c>
      <c r="FID33" t="str">
        <f t="shared" si="326"/>
        <v/>
      </c>
      <c r="FIE33" t="str">
        <f t="shared" si="326"/>
        <v/>
      </c>
      <c r="FIF33" t="str">
        <f t="shared" si="326"/>
        <v/>
      </c>
      <c r="FIG33" t="str">
        <f t="shared" si="326"/>
        <v/>
      </c>
      <c r="FIH33" t="str">
        <f t="shared" si="326"/>
        <v/>
      </c>
      <c r="FII33" t="str">
        <f t="shared" si="326"/>
        <v/>
      </c>
      <c r="FIJ33" t="str">
        <f t="shared" si="326"/>
        <v/>
      </c>
      <c r="FIK33" t="str">
        <f t="shared" ref="FIK33:FKV33" si="327">TRIM(FJB17)</f>
        <v/>
      </c>
      <c r="FIL33" t="str">
        <f t="shared" si="327"/>
        <v/>
      </c>
      <c r="FIM33" t="str">
        <f t="shared" si="327"/>
        <v/>
      </c>
      <c r="FIN33" t="str">
        <f t="shared" si="327"/>
        <v/>
      </c>
      <c r="FIO33" t="str">
        <f t="shared" si="327"/>
        <v/>
      </c>
      <c r="FIP33" t="str">
        <f t="shared" si="327"/>
        <v/>
      </c>
      <c r="FIQ33" t="str">
        <f t="shared" si="327"/>
        <v/>
      </c>
      <c r="FIR33" t="str">
        <f t="shared" si="327"/>
        <v/>
      </c>
      <c r="FIS33" t="str">
        <f t="shared" si="327"/>
        <v/>
      </c>
      <c r="FIT33" t="str">
        <f t="shared" si="327"/>
        <v/>
      </c>
      <c r="FIU33" t="str">
        <f t="shared" si="327"/>
        <v/>
      </c>
      <c r="FIV33" t="str">
        <f t="shared" si="327"/>
        <v/>
      </c>
      <c r="FIW33" t="str">
        <f t="shared" si="327"/>
        <v/>
      </c>
      <c r="FIX33" t="str">
        <f t="shared" si="327"/>
        <v/>
      </c>
      <c r="FIY33" t="str">
        <f t="shared" si="327"/>
        <v/>
      </c>
      <c r="FIZ33" t="str">
        <f t="shared" si="327"/>
        <v/>
      </c>
      <c r="FJA33" t="str">
        <f t="shared" si="327"/>
        <v/>
      </c>
      <c r="FJB33" t="str">
        <f t="shared" si="327"/>
        <v/>
      </c>
      <c r="FJC33" t="str">
        <f t="shared" si="327"/>
        <v/>
      </c>
      <c r="FJD33" t="str">
        <f t="shared" si="327"/>
        <v/>
      </c>
      <c r="FJE33" t="str">
        <f t="shared" si="327"/>
        <v/>
      </c>
      <c r="FJF33" t="str">
        <f t="shared" si="327"/>
        <v/>
      </c>
      <c r="FJG33" t="str">
        <f t="shared" si="327"/>
        <v/>
      </c>
      <c r="FJH33" t="str">
        <f t="shared" si="327"/>
        <v/>
      </c>
      <c r="FJI33" t="str">
        <f t="shared" si="327"/>
        <v/>
      </c>
      <c r="FJJ33" t="str">
        <f t="shared" si="327"/>
        <v/>
      </c>
      <c r="FJK33" t="str">
        <f t="shared" si="327"/>
        <v/>
      </c>
      <c r="FJL33" t="str">
        <f t="shared" si="327"/>
        <v/>
      </c>
      <c r="FJM33" t="str">
        <f t="shared" si="327"/>
        <v/>
      </c>
      <c r="FJN33" t="str">
        <f t="shared" si="327"/>
        <v/>
      </c>
      <c r="FJO33" t="str">
        <f t="shared" si="327"/>
        <v/>
      </c>
      <c r="FJP33" t="str">
        <f t="shared" si="327"/>
        <v/>
      </c>
      <c r="FJQ33" t="str">
        <f t="shared" si="327"/>
        <v/>
      </c>
      <c r="FJR33" t="str">
        <f t="shared" si="327"/>
        <v/>
      </c>
      <c r="FJS33" t="str">
        <f t="shared" si="327"/>
        <v/>
      </c>
      <c r="FJT33" t="str">
        <f t="shared" si="327"/>
        <v/>
      </c>
      <c r="FJU33" t="str">
        <f t="shared" si="327"/>
        <v/>
      </c>
      <c r="FJV33" t="str">
        <f t="shared" si="327"/>
        <v/>
      </c>
      <c r="FJW33" t="str">
        <f t="shared" si="327"/>
        <v/>
      </c>
      <c r="FJX33" t="str">
        <f t="shared" si="327"/>
        <v/>
      </c>
      <c r="FJY33" t="str">
        <f t="shared" si="327"/>
        <v/>
      </c>
      <c r="FJZ33" t="str">
        <f t="shared" si="327"/>
        <v/>
      </c>
      <c r="FKA33" t="str">
        <f t="shared" si="327"/>
        <v/>
      </c>
      <c r="FKB33" t="str">
        <f t="shared" si="327"/>
        <v/>
      </c>
      <c r="FKC33" t="str">
        <f t="shared" si="327"/>
        <v/>
      </c>
      <c r="FKD33" t="str">
        <f t="shared" si="327"/>
        <v/>
      </c>
      <c r="FKE33" t="str">
        <f t="shared" si="327"/>
        <v/>
      </c>
      <c r="FKF33" t="str">
        <f t="shared" si="327"/>
        <v/>
      </c>
      <c r="FKG33" t="str">
        <f t="shared" si="327"/>
        <v/>
      </c>
      <c r="FKH33" t="str">
        <f t="shared" si="327"/>
        <v/>
      </c>
      <c r="FKI33" t="str">
        <f t="shared" si="327"/>
        <v/>
      </c>
      <c r="FKJ33" t="str">
        <f t="shared" si="327"/>
        <v/>
      </c>
      <c r="FKK33" t="str">
        <f t="shared" si="327"/>
        <v/>
      </c>
      <c r="FKL33" t="str">
        <f t="shared" si="327"/>
        <v/>
      </c>
      <c r="FKM33" t="str">
        <f t="shared" si="327"/>
        <v/>
      </c>
      <c r="FKN33" t="str">
        <f t="shared" si="327"/>
        <v/>
      </c>
      <c r="FKO33" t="str">
        <f t="shared" si="327"/>
        <v/>
      </c>
      <c r="FKP33" t="str">
        <f t="shared" si="327"/>
        <v/>
      </c>
      <c r="FKQ33" t="str">
        <f t="shared" si="327"/>
        <v/>
      </c>
      <c r="FKR33" t="str">
        <f t="shared" si="327"/>
        <v/>
      </c>
      <c r="FKS33" t="str">
        <f t="shared" si="327"/>
        <v/>
      </c>
      <c r="FKT33" t="str">
        <f t="shared" si="327"/>
        <v/>
      </c>
      <c r="FKU33" t="str">
        <f t="shared" si="327"/>
        <v/>
      </c>
      <c r="FKV33" t="str">
        <f t="shared" si="327"/>
        <v/>
      </c>
      <c r="FKW33" t="str">
        <f t="shared" ref="FKW33:FNH33" si="328">TRIM(FLN17)</f>
        <v/>
      </c>
      <c r="FKX33" t="str">
        <f t="shared" si="328"/>
        <v/>
      </c>
      <c r="FKY33" t="str">
        <f t="shared" si="328"/>
        <v/>
      </c>
      <c r="FKZ33" t="str">
        <f t="shared" si="328"/>
        <v/>
      </c>
      <c r="FLA33" t="str">
        <f t="shared" si="328"/>
        <v/>
      </c>
      <c r="FLB33" t="str">
        <f t="shared" si="328"/>
        <v/>
      </c>
      <c r="FLC33" t="str">
        <f t="shared" si="328"/>
        <v/>
      </c>
      <c r="FLD33" t="str">
        <f t="shared" si="328"/>
        <v/>
      </c>
      <c r="FLE33" t="str">
        <f t="shared" si="328"/>
        <v/>
      </c>
      <c r="FLF33" t="str">
        <f t="shared" si="328"/>
        <v/>
      </c>
      <c r="FLG33" t="str">
        <f t="shared" si="328"/>
        <v/>
      </c>
      <c r="FLH33" t="str">
        <f t="shared" si="328"/>
        <v/>
      </c>
      <c r="FLI33" t="str">
        <f t="shared" si="328"/>
        <v/>
      </c>
      <c r="FLJ33" t="str">
        <f t="shared" si="328"/>
        <v/>
      </c>
      <c r="FLK33" t="str">
        <f t="shared" si="328"/>
        <v/>
      </c>
      <c r="FLL33" t="str">
        <f t="shared" si="328"/>
        <v/>
      </c>
      <c r="FLM33" t="str">
        <f t="shared" si="328"/>
        <v/>
      </c>
      <c r="FLN33" t="str">
        <f t="shared" si="328"/>
        <v/>
      </c>
      <c r="FLO33" t="str">
        <f t="shared" si="328"/>
        <v/>
      </c>
      <c r="FLP33" t="str">
        <f t="shared" si="328"/>
        <v/>
      </c>
      <c r="FLQ33" t="str">
        <f t="shared" si="328"/>
        <v/>
      </c>
      <c r="FLR33" t="str">
        <f t="shared" si="328"/>
        <v/>
      </c>
      <c r="FLS33" t="str">
        <f t="shared" si="328"/>
        <v/>
      </c>
      <c r="FLT33" t="str">
        <f t="shared" si="328"/>
        <v/>
      </c>
      <c r="FLU33" t="str">
        <f t="shared" si="328"/>
        <v/>
      </c>
      <c r="FLV33" t="str">
        <f t="shared" si="328"/>
        <v/>
      </c>
      <c r="FLW33" t="str">
        <f t="shared" si="328"/>
        <v/>
      </c>
      <c r="FLX33" t="str">
        <f t="shared" si="328"/>
        <v/>
      </c>
      <c r="FLY33" t="str">
        <f t="shared" si="328"/>
        <v/>
      </c>
      <c r="FLZ33" t="str">
        <f t="shared" si="328"/>
        <v/>
      </c>
      <c r="FMA33" t="str">
        <f t="shared" si="328"/>
        <v/>
      </c>
      <c r="FMB33" t="str">
        <f t="shared" si="328"/>
        <v/>
      </c>
      <c r="FMC33" t="str">
        <f t="shared" si="328"/>
        <v/>
      </c>
      <c r="FMD33" t="str">
        <f t="shared" si="328"/>
        <v/>
      </c>
      <c r="FME33" t="str">
        <f t="shared" si="328"/>
        <v/>
      </c>
      <c r="FMF33" t="str">
        <f t="shared" si="328"/>
        <v/>
      </c>
      <c r="FMG33" t="str">
        <f t="shared" si="328"/>
        <v/>
      </c>
      <c r="FMH33" t="str">
        <f t="shared" si="328"/>
        <v/>
      </c>
      <c r="FMI33" t="str">
        <f t="shared" si="328"/>
        <v/>
      </c>
      <c r="FMJ33" t="str">
        <f t="shared" si="328"/>
        <v/>
      </c>
      <c r="FMK33" t="str">
        <f t="shared" si="328"/>
        <v/>
      </c>
      <c r="FML33" t="str">
        <f t="shared" si="328"/>
        <v/>
      </c>
      <c r="FMM33" t="str">
        <f t="shared" si="328"/>
        <v/>
      </c>
      <c r="FMN33" t="str">
        <f t="shared" si="328"/>
        <v/>
      </c>
      <c r="FMO33" t="str">
        <f t="shared" si="328"/>
        <v/>
      </c>
      <c r="FMP33" t="str">
        <f t="shared" si="328"/>
        <v/>
      </c>
      <c r="FMQ33" t="str">
        <f t="shared" si="328"/>
        <v/>
      </c>
      <c r="FMR33" t="str">
        <f t="shared" si="328"/>
        <v/>
      </c>
      <c r="FMS33" t="str">
        <f t="shared" si="328"/>
        <v/>
      </c>
      <c r="FMT33" t="str">
        <f t="shared" si="328"/>
        <v/>
      </c>
      <c r="FMU33" t="str">
        <f t="shared" si="328"/>
        <v/>
      </c>
      <c r="FMV33" t="str">
        <f t="shared" si="328"/>
        <v/>
      </c>
      <c r="FMW33" t="str">
        <f t="shared" si="328"/>
        <v/>
      </c>
      <c r="FMX33" t="str">
        <f t="shared" si="328"/>
        <v/>
      </c>
      <c r="FMY33" t="str">
        <f t="shared" si="328"/>
        <v/>
      </c>
      <c r="FMZ33" t="str">
        <f t="shared" si="328"/>
        <v/>
      </c>
      <c r="FNA33" t="str">
        <f t="shared" si="328"/>
        <v/>
      </c>
      <c r="FNB33" t="str">
        <f t="shared" si="328"/>
        <v/>
      </c>
      <c r="FNC33" t="str">
        <f t="shared" si="328"/>
        <v/>
      </c>
      <c r="FND33" t="str">
        <f t="shared" si="328"/>
        <v/>
      </c>
      <c r="FNE33" t="str">
        <f t="shared" si="328"/>
        <v/>
      </c>
      <c r="FNF33" t="str">
        <f t="shared" si="328"/>
        <v/>
      </c>
      <c r="FNG33" t="str">
        <f t="shared" si="328"/>
        <v/>
      </c>
      <c r="FNH33" t="str">
        <f t="shared" si="328"/>
        <v/>
      </c>
      <c r="FNI33" t="str">
        <f t="shared" ref="FNI33:FPT33" si="329">TRIM(FNZ17)</f>
        <v/>
      </c>
      <c r="FNJ33" t="str">
        <f t="shared" si="329"/>
        <v/>
      </c>
      <c r="FNK33" t="str">
        <f t="shared" si="329"/>
        <v/>
      </c>
      <c r="FNL33" t="str">
        <f t="shared" si="329"/>
        <v/>
      </c>
      <c r="FNM33" t="str">
        <f t="shared" si="329"/>
        <v/>
      </c>
      <c r="FNN33" t="str">
        <f t="shared" si="329"/>
        <v/>
      </c>
      <c r="FNO33" t="str">
        <f t="shared" si="329"/>
        <v/>
      </c>
      <c r="FNP33" t="str">
        <f t="shared" si="329"/>
        <v/>
      </c>
      <c r="FNQ33" t="str">
        <f t="shared" si="329"/>
        <v/>
      </c>
      <c r="FNR33" t="str">
        <f t="shared" si="329"/>
        <v/>
      </c>
      <c r="FNS33" t="str">
        <f t="shared" si="329"/>
        <v/>
      </c>
      <c r="FNT33" t="str">
        <f t="shared" si="329"/>
        <v/>
      </c>
      <c r="FNU33" t="str">
        <f t="shared" si="329"/>
        <v/>
      </c>
      <c r="FNV33" t="str">
        <f t="shared" si="329"/>
        <v/>
      </c>
      <c r="FNW33" t="str">
        <f t="shared" si="329"/>
        <v/>
      </c>
      <c r="FNX33" t="str">
        <f t="shared" si="329"/>
        <v/>
      </c>
      <c r="FNY33" t="str">
        <f t="shared" si="329"/>
        <v/>
      </c>
      <c r="FNZ33" t="str">
        <f t="shared" si="329"/>
        <v/>
      </c>
      <c r="FOA33" t="str">
        <f t="shared" si="329"/>
        <v/>
      </c>
      <c r="FOB33" t="str">
        <f t="shared" si="329"/>
        <v/>
      </c>
      <c r="FOC33" t="str">
        <f t="shared" si="329"/>
        <v/>
      </c>
      <c r="FOD33" t="str">
        <f t="shared" si="329"/>
        <v/>
      </c>
      <c r="FOE33" t="str">
        <f t="shared" si="329"/>
        <v/>
      </c>
      <c r="FOF33" t="str">
        <f t="shared" si="329"/>
        <v/>
      </c>
      <c r="FOG33" t="str">
        <f t="shared" si="329"/>
        <v/>
      </c>
      <c r="FOH33" t="str">
        <f t="shared" si="329"/>
        <v/>
      </c>
      <c r="FOI33" t="str">
        <f t="shared" si="329"/>
        <v/>
      </c>
      <c r="FOJ33" t="str">
        <f t="shared" si="329"/>
        <v/>
      </c>
      <c r="FOK33" t="str">
        <f t="shared" si="329"/>
        <v/>
      </c>
      <c r="FOL33" t="str">
        <f t="shared" si="329"/>
        <v/>
      </c>
      <c r="FOM33" t="str">
        <f t="shared" si="329"/>
        <v/>
      </c>
      <c r="FON33" t="str">
        <f t="shared" si="329"/>
        <v/>
      </c>
      <c r="FOO33" t="str">
        <f t="shared" si="329"/>
        <v/>
      </c>
      <c r="FOP33" t="str">
        <f t="shared" si="329"/>
        <v/>
      </c>
      <c r="FOQ33" t="str">
        <f t="shared" si="329"/>
        <v/>
      </c>
      <c r="FOR33" t="str">
        <f t="shared" si="329"/>
        <v/>
      </c>
      <c r="FOS33" t="str">
        <f t="shared" si="329"/>
        <v/>
      </c>
      <c r="FOT33" t="str">
        <f t="shared" si="329"/>
        <v/>
      </c>
      <c r="FOU33" t="str">
        <f t="shared" si="329"/>
        <v/>
      </c>
      <c r="FOV33" t="str">
        <f t="shared" si="329"/>
        <v/>
      </c>
      <c r="FOW33" t="str">
        <f t="shared" si="329"/>
        <v/>
      </c>
      <c r="FOX33" t="str">
        <f t="shared" si="329"/>
        <v/>
      </c>
      <c r="FOY33" t="str">
        <f t="shared" si="329"/>
        <v/>
      </c>
      <c r="FOZ33" t="str">
        <f t="shared" si="329"/>
        <v/>
      </c>
      <c r="FPA33" t="str">
        <f t="shared" si="329"/>
        <v/>
      </c>
      <c r="FPB33" t="str">
        <f t="shared" si="329"/>
        <v/>
      </c>
      <c r="FPC33" t="str">
        <f t="shared" si="329"/>
        <v/>
      </c>
      <c r="FPD33" t="str">
        <f t="shared" si="329"/>
        <v/>
      </c>
      <c r="FPE33" t="str">
        <f t="shared" si="329"/>
        <v/>
      </c>
      <c r="FPF33" t="str">
        <f t="shared" si="329"/>
        <v/>
      </c>
      <c r="FPG33" t="str">
        <f t="shared" si="329"/>
        <v/>
      </c>
      <c r="FPH33" t="str">
        <f t="shared" si="329"/>
        <v/>
      </c>
      <c r="FPI33" t="str">
        <f t="shared" si="329"/>
        <v/>
      </c>
      <c r="FPJ33" t="str">
        <f t="shared" si="329"/>
        <v/>
      </c>
      <c r="FPK33" t="str">
        <f t="shared" si="329"/>
        <v/>
      </c>
      <c r="FPL33" t="str">
        <f t="shared" si="329"/>
        <v/>
      </c>
      <c r="FPM33" t="str">
        <f t="shared" si="329"/>
        <v/>
      </c>
      <c r="FPN33" t="str">
        <f t="shared" si="329"/>
        <v/>
      </c>
      <c r="FPO33" t="str">
        <f t="shared" si="329"/>
        <v/>
      </c>
      <c r="FPP33" t="str">
        <f t="shared" si="329"/>
        <v/>
      </c>
      <c r="FPQ33" t="str">
        <f t="shared" si="329"/>
        <v/>
      </c>
      <c r="FPR33" t="str">
        <f t="shared" si="329"/>
        <v/>
      </c>
      <c r="FPS33" t="str">
        <f t="shared" si="329"/>
        <v/>
      </c>
      <c r="FPT33" t="str">
        <f t="shared" si="329"/>
        <v/>
      </c>
      <c r="FPU33" t="str">
        <f t="shared" ref="FPU33:FSF33" si="330">TRIM(FQL17)</f>
        <v/>
      </c>
      <c r="FPV33" t="str">
        <f t="shared" si="330"/>
        <v/>
      </c>
      <c r="FPW33" t="str">
        <f t="shared" si="330"/>
        <v/>
      </c>
      <c r="FPX33" t="str">
        <f t="shared" si="330"/>
        <v/>
      </c>
      <c r="FPY33" t="str">
        <f t="shared" si="330"/>
        <v/>
      </c>
      <c r="FPZ33" t="str">
        <f t="shared" si="330"/>
        <v/>
      </c>
      <c r="FQA33" t="str">
        <f t="shared" si="330"/>
        <v/>
      </c>
      <c r="FQB33" t="str">
        <f t="shared" si="330"/>
        <v/>
      </c>
      <c r="FQC33" t="str">
        <f t="shared" si="330"/>
        <v/>
      </c>
      <c r="FQD33" t="str">
        <f t="shared" si="330"/>
        <v/>
      </c>
      <c r="FQE33" t="str">
        <f t="shared" si="330"/>
        <v/>
      </c>
      <c r="FQF33" t="str">
        <f t="shared" si="330"/>
        <v/>
      </c>
      <c r="FQG33" t="str">
        <f t="shared" si="330"/>
        <v/>
      </c>
      <c r="FQH33" t="str">
        <f t="shared" si="330"/>
        <v/>
      </c>
      <c r="FQI33" t="str">
        <f t="shared" si="330"/>
        <v/>
      </c>
      <c r="FQJ33" t="str">
        <f t="shared" si="330"/>
        <v/>
      </c>
      <c r="FQK33" t="str">
        <f t="shared" si="330"/>
        <v/>
      </c>
      <c r="FQL33" t="str">
        <f t="shared" si="330"/>
        <v/>
      </c>
      <c r="FQM33" t="str">
        <f t="shared" si="330"/>
        <v/>
      </c>
      <c r="FQN33" t="str">
        <f t="shared" si="330"/>
        <v/>
      </c>
      <c r="FQO33" t="str">
        <f t="shared" si="330"/>
        <v/>
      </c>
      <c r="FQP33" t="str">
        <f t="shared" si="330"/>
        <v/>
      </c>
      <c r="FQQ33" t="str">
        <f t="shared" si="330"/>
        <v/>
      </c>
      <c r="FQR33" t="str">
        <f t="shared" si="330"/>
        <v/>
      </c>
      <c r="FQS33" t="str">
        <f t="shared" si="330"/>
        <v/>
      </c>
      <c r="FQT33" t="str">
        <f t="shared" si="330"/>
        <v/>
      </c>
      <c r="FQU33" t="str">
        <f t="shared" si="330"/>
        <v/>
      </c>
      <c r="FQV33" t="str">
        <f t="shared" si="330"/>
        <v/>
      </c>
      <c r="FQW33" t="str">
        <f t="shared" si="330"/>
        <v/>
      </c>
      <c r="FQX33" t="str">
        <f t="shared" si="330"/>
        <v/>
      </c>
      <c r="FQY33" t="str">
        <f t="shared" si="330"/>
        <v/>
      </c>
      <c r="FQZ33" t="str">
        <f t="shared" si="330"/>
        <v/>
      </c>
      <c r="FRA33" t="str">
        <f t="shared" si="330"/>
        <v/>
      </c>
      <c r="FRB33" t="str">
        <f t="shared" si="330"/>
        <v/>
      </c>
      <c r="FRC33" t="str">
        <f t="shared" si="330"/>
        <v/>
      </c>
      <c r="FRD33" t="str">
        <f t="shared" si="330"/>
        <v/>
      </c>
      <c r="FRE33" t="str">
        <f t="shared" si="330"/>
        <v/>
      </c>
      <c r="FRF33" t="str">
        <f t="shared" si="330"/>
        <v/>
      </c>
      <c r="FRG33" t="str">
        <f t="shared" si="330"/>
        <v/>
      </c>
      <c r="FRH33" t="str">
        <f t="shared" si="330"/>
        <v/>
      </c>
      <c r="FRI33" t="str">
        <f t="shared" si="330"/>
        <v/>
      </c>
      <c r="FRJ33" t="str">
        <f t="shared" si="330"/>
        <v/>
      </c>
      <c r="FRK33" t="str">
        <f t="shared" si="330"/>
        <v/>
      </c>
      <c r="FRL33" t="str">
        <f t="shared" si="330"/>
        <v/>
      </c>
      <c r="FRM33" t="str">
        <f t="shared" si="330"/>
        <v/>
      </c>
      <c r="FRN33" t="str">
        <f t="shared" si="330"/>
        <v/>
      </c>
      <c r="FRO33" t="str">
        <f t="shared" si="330"/>
        <v/>
      </c>
      <c r="FRP33" t="str">
        <f t="shared" si="330"/>
        <v/>
      </c>
      <c r="FRQ33" t="str">
        <f t="shared" si="330"/>
        <v/>
      </c>
      <c r="FRR33" t="str">
        <f t="shared" si="330"/>
        <v/>
      </c>
      <c r="FRS33" t="str">
        <f t="shared" si="330"/>
        <v/>
      </c>
      <c r="FRT33" t="str">
        <f t="shared" si="330"/>
        <v/>
      </c>
      <c r="FRU33" t="str">
        <f t="shared" si="330"/>
        <v/>
      </c>
      <c r="FRV33" t="str">
        <f t="shared" si="330"/>
        <v/>
      </c>
      <c r="FRW33" t="str">
        <f t="shared" si="330"/>
        <v/>
      </c>
      <c r="FRX33" t="str">
        <f t="shared" si="330"/>
        <v/>
      </c>
      <c r="FRY33" t="str">
        <f t="shared" si="330"/>
        <v/>
      </c>
      <c r="FRZ33" t="str">
        <f t="shared" si="330"/>
        <v/>
      </c>
      <c r="FSA33" t="str">
        <f t="shared" si="330"/>
        <v/>
      </c>
      <c r="FSB33" t="str">
        <f t="shared" si="330"/>
        <v/>
      </c>
      <c r="FSC33" t="str">
        <f t="shared" si="330"/>
        <v/>
      </c>
      <c r="FSD33" t="str">
        <f t="shared" si="330"/>
        <v/>
      </c>
      <c r="FSE33" t="str">
        <f t="shared" si="330"/>
        <v/>
      </c>
      <c r="FSF33" t="str">
        <f t="shared" si="330"/>
        <v/>
      </c>
      <c r="FSG33" t="str">
        <f t="shared" ref="FSG33:FUR33" si="331">TRIM(FSX17)</f>
        <v/>
      </c>
      <c r="FSH33" t="str">
        <f t="shared" si="331"/>
        <v/>
      </c>
      <c r="FSI33" t="str">
        <f t="shared" si="331"/>
        <v/>
      </c>
      <c r="FSJ33" t="str">
        <f t="shared" si="331"/>
        <v/>
      </c>
      <c r="FSK33" t="str">
        <f t="shared" si="331"/>
        <v/>
      </c>
      <c r="FSL33" t="str">
        <f t="shared" si="331"/>
        <v/>
      </c>
      <c r="FSM33" t="str">
        <f t="shared" si="331"/>
        <v/>
      </c>
      <c r="FSN33" t="str">
        <f t="shared" si="331"/>
        <v/>
      </c>
      <c r="FSO33" t="str">
        <f t="shared" si="331"/>
        <v/>
      </c>
      <c r="FSP33" t="str">
        <f t="shared" si="331"/>
        <v/>
      </c>
      <c r="FSQ33" t="str">
        <f t="shared" si="331"/>
        <v/>
      </c>
      <c r="FSR33" t="str">
        <f t="shared" si="331"/>
        <v/>
      </c>
      <c r="FSS33" t="str">
        <f t="shared" si="331"/>
        <v/>
      </c>
      <c r="FST33" t="str">
        <f t="shared" si="331"/>
        <v/>
      </c>
      <c r="FSU33" t="str">
        <f t="shared" si="331"/>
        <v/>
      </c>
      <c r="FSV33" t="str">
        <f t="shared" si="331"/>
        <v/>
      </c>
      <c r="FSW33" t="str">
        <f t="shared" si="331"/>
        <v/>
      </c>
      <c r="FSX33" t="str">
        <f t="shared" si="331"/>
        <v/>
      </c>
      <c r="FSY33" t="str">
        <f t="shared" si="331"/>
        <v/>
      </c>
      <c r="FSZ33" t="str">
        <f t="shared" si="331"/>
        <v/>
      </c>
      <c r="FTA33" t="str">
        <f t="shared" si="331"/>
        <v/>
      </c>
      <c r="FTB33" t="str">
        <f t="shared" si="331"/>
        <v/>
      </c>
      <c r="FTC33" t="str">
        <f t="shared" si="331"/>
        <v/>
      </c>
      <c r="FTD33" t="str">
        <f t="shared" si="331"/>
        <v/>
      </c>
      <c r="FTE33" t="str">
        <f t="shared" si="331"/>
        <v/>
      </c>
      <c r="FTF33" t="str">
        <f t="shared" si="331"/>
        <v/>
      </c>
      <c r="FTG33" t="str">
        <f t="shared" si="331"/>
        <v/>
      </c>
      <c r="FTH33" t="str">
        <f t="shared" si="331"/>
        <v/>
      </c>
      <c r="FTI33" t="str">
        <f t="shared" si="331"/>
        <v/>
      </c>
      <c r="FTJ33" t="str">
        <f t="shared" si="331"/>
        <v/>
      </c>
      <c r="FTK33" t="str">
        <f t="shared" si="331"/>
        <v/>
      </c>
      <c r="FTL33" t="str">
        <f t="shared" si="331"/>
        <v/>
      </c>
      <c r="FTM33" t="str">
        <f t="shared" si="331"/>
        <v/>
      </c>
      <c r="FTN33" t="str">
        <f t="shared" si="331"/>
        <v/>
      </c>
      <c r="FTO33" t="str">
        <f t="shared" si="331"/>
        <v/>
      </c>
      <c r="FTP33" t="str">
        <f t="shared" si="331"/>
        <v/>
      </c>
      <c r="FTQ33" t="str">
        <f t="shared" si="331"/>
        <v/>
      </c>
      <c r="FTR33" t="str">
        <f t="shared" si="331"/>
        <v/>
      </c>
      <c r="FTS33" t="str">
        <f t="shared" si="331"/>
        <v/>
      </c>
      <c r="FTT33" t="str">
        <f t="shared" si="331"/>
        <v/>
      </c>
      <c r="FTU33" t="str">
        <f t="shared" si="331"/>
        <v/>
      </c>
      <c r="FTV33" t="str">
        <f t="shared" si="331"/>
        <v/>
      </c>
      <c r="FTW33" t="str">
        <f t="shared" si="331"/>
        <v/>
      </c>
      <c r="FTX33" t="str">
        <f t="shared" si="331"/>
        <v/>
      </c>
      <c r="FTY33" t="str">
        <f t="shared" si="331"/>
        <v/>
      </c>
      <c r="FTZ33" t="str">
        <f t="shared" si="331"/>
        <v/>
      </c>
      <c r="FUA33" t="str">
        <f t="shared" si="331"/>
        <v/>
      </c>
      <c r="FUB33" t="str">
        <f t="shared" si="331"/>
        <v/>
      </c>
      <c r="FUC33" t="str">
        <f t="shared" si="331"/>
        <v/>
      </c>
      <c r="FUD33" t="str">
        <f t="shared" si="331"/>
        <v/>
      </c>
      <c r="FUE33" t="str">
        <f t="shared" si="331"/>
        <v/>
      </c>
      <c r="FUF33" t="str">
        <f t="shared" si="331"/>
        <v/>
      </c>
      <c r="FUG33" t="str">
        <f t="shared" si="331"/>
        <v/>
      </c>
      <c r="FUH33" t="str">
        <f t="shared" si="331"/>
        <v/>
      </c>
      <c r="FUI33" t="str">
        <f t="shared" si="331"/>
        <v/>
      </c>
      <c r="FUJ33" t="str">
        <f t="shared" si="331"/>
        <v/>
      </c>
      <c r="FUK33" t="str">
        <f t="shared" si="331"/>
        <v/>
      </c>
      <c r="FUL33" t="str">
        <f t="shared" si="331"/>
        <v/>
      </c>
      <c r="FUM33" t="str">
        <f t="shared" si="331"/>
        <v/>
      </c>
      <c r="FUN33" t="str">
        <f t="shared" si="331"/>
        <v/>
      </c>
      <c r="FUO33" t="str">
        <f t="shared" si="331"/>
        <v/>
      </c>
      <c r="FUP33" t="str">
        <f t="shared" si="331"/>
        <v/>
      </c>
      <c r="FUQ33" t="str">
        <f t="shared" si="331"/>
        <v/>
      </c>
      <c r="FUR33" t="str">
        <f t="shared" si="331"/>
        <v/>
      </c>
      <c r="FUS33" t="str">
        <f t="shared" ref="FUS33:FXD33" si="332">TRIM(FVJ17)</f>
        <v/>
      </c>
      <c r="FUT33" t="str">
        <f t="shared" si="332"/>
        <v/>
      </c>
      <c r="FUU33" t="str">
        <f t="shared" si="332"/>
        <v/>
      </c>
      <c r="FUV33" t="str">
        <f t="shared" si="332"/>
        <v/>
      </c>
      <c r="FUW33" t="str">
        <f t="shared" si="332"/>
        <v/>
      </c>
      <c r="FUX33" t="str">
        <f t="shared" si="332"/>
        <v/>
      </c>
      <c r="FUY33" t="str">
        <f t="shared" si="332"/>
        <v/>
      </c>
      <c r="FUZ33" t="str">
        <f t="shared" si="332"/>
        <v/>
      </c>
      <c r="FVA33" t="str">
        <f t="shared" si="332"/>
        <v/>
      </c>
      <c r="FVB33" t="str">
        <f t="shared" si="332"/>
        <v/>
      </c>
      <c r="FVC33" t="str">
        <f t="shared" si="332"/>
        <v/>
      </c>
      <c r="FVD33" t="str">
        <f t="shared" si="332"/>
        <v/>
      </c>
      <c r="FVE33" t="str">
        <f t="shared" si="332"/>
        <v/>
      </c>
      <c r="FVF33" t="str">
        <f t="shared" si="332"/>
        <v/>
      </c>
      <c r="FVG33" t="str">
        <f t="shared" si="332"/>
        <v/>
      </c>
      <c r="FVH33" t="str">
        <f t="shared" si="332"/>
        <v/>
      </c>
      <c r="FVI33" t="str">
        <f t="shared" si="332"/>
        <v/>
      </c>
      <c r="FVJ33" t="str">
        <f t="shared" si="332"/>
        <v/>
      </c>
      <c r="FVK33" t="str">
        <f t="shared" si="332"/>
        <v/>
      </c>
      <c r="FVL33" t="str">
        <f t="shared" si="332"/>
        <v/>
      </c>
      <c r="FVM33" t="str">
        <f t="shared" si="332"/>
        <v/>
      </c>
      <c r="FVN33" t="str">
        <f t="shared" si="332"/>
        <v/>
      </c>
      <c r="FVO33" t="str">
        <f t="shared" si="332"/>
        <v/>
      </c>
      <c r="FVP33" t="str">
        <f t="shared" si="332"/>
        <v/>
      </c>
      <c r="FVQ33" t="str">
        <f t="shared" si="332"/>
        <v/>
      </c>
      <c r="FVR33" t="str">
        <f t="shared" si="332"/>
        <v/>
      </c>
      <c r="FVS33" t="str">
        <f t="shared" si="332"/>
        <v/>
      </c>
      <c r="FVT33" t="str">
        <f t="shared" si="332"/>
        <v/>
      </c>
      <c r="FVU33" t="str">
        <f t="shared" si="332"/>
        <v/>
      </c>
      <c r="FVV33" t="str">
        <f t="shared" si="332"/>
        <v/>
      </c>
      <c r="FVW33" t="str">
        <f t="shared" si="332"/>
        <v/>
      </c>
      <c r="FVX33" t="str">
        <f t="shared" si="332"/>
        <v/>
      </c>
      <c r="FVY33" t="str">
        <f t="shared" si="332"/>
        <v/>
      </c>
      <c r="FVZ33" t="str">
        <f t="shared" si="332"/>
        <v/>
      </c>
      <c r="FWA33" t="str">
        <f t="shared" si="332"/>
        <v/>
      </c>
      <c r="FWB33" t="str">
        <f t="shared" si="332"/>
        <v/>
      </c>
      <c r="FWC33" t="str">
        <f t="shared" si="332"/>
        <v/>
      </c>
      <c r="FWD33" t="str">
        <f t="shared" si="332"/>
        <v/>
      </c>
      <c r="FWE33" t="str">
        <f t="shared" si="332"/>
        <v/>
      </c>
      <c r="FWF33" t="str">
        <f t="shared" si="332"/>
        <v/>
      </c>
      <c r="FWG33" t="str">
        <f t="shared" si="332"/>
        <v/>
      </c>
      <c r="FWH33" t="str">
        <f t="shared" si="332"/>
        <v/>
      </c>
      <c r="FWI33" t="str">
        <f t="shared" si="332"/>
        <v/>
      </c>
      <c r="FWJ33" t="str">
        <f t="shared" si="332"/>
        <v/>
      </c>
      <c r="FWK33" t="str">
        <f t="shared" si="332"/>
        <v/>
      </c>
      <c r="FWL33" t="str">
        <f t="shared" si="332"/>
        <v/>
      </c>
      <c r="FWM33" t="str">
        <f t="shared" si="332"/>
        <v/>
      </c>
      <c r="FWN33" t="str">
        <f t="shared" si="332"/>
        <v/>
      </c>
      <c r="FWO33" t="str">
        <f t="shared" si="332"/>
        <v/>
      </c>
      <c r="FWP33" t="str">
        <f t="shared" si="332"/>
        <v/>
      </c>
      <c r="FWQ33" t="str">
        <f t="shared" si="332"/>
        <v/>
      </c>
      <c r="FWR33" t="str">
        <f t="shared" si="332"/>
        <v/>
      </c>
      <c r="FWS33" t="str">
        <f t="shared" si="332"/>
        <v/>
      </c>
      <c r="FWT33" t="str">
        <f t="shared" si="332"/>
        <v/>
      </c>
      <c r="FWU33" t="str">
        <f t="shared" si="332"/>
        <v/>
      </c>
      <c r="FWV33" t="str">
        <f t="shared" si="332"/>
        <v/>
      </c>
      <c r="FWW33" t="str">
        <f t="shared" si="332"/>
        <v/>
      </c>
      <c r="FWX33" t="str">
        <f t="shared" si="332"/>
        <v/>
      </c>
      <c r="FWY33" t="str">
        <f t="shared" si="332"/>
        <v/>
      </c>
      <c r="FWZ33" t="str">
        <f t="shared" si="332"/>
        <v/>
      </c>
      <c r="FXA33" t="str">
        <f t="shared" si="332"/>
        <v/>
      </c>
      <c r="FXB33" t="str">
        <f t="shared" si="332"/>
        <v/>
      </c>
      <c r="FXC33" t="str">
        <f t="shared" si="332"/>
        <v/>
      </c>
      <c r="FXD33" t="str">
        <f t="shared" si="332"/>
        <v/>
      </c>
      <c r="FXE33" t="str">
        <f t="shared" ref="FXE33:FZP33" si="333">TRIM(FXV17)</f>
        <v/>
      </c>
      <c r="FXF33" t="str">
        <f t="shared" si="333"/>
        <v/>
      </c>
      <c r="FXG33" t="str">
        <f t="shared" si="333"/>
        <v/>
      </c>
      <c r="FXH33" t="str">
        <f t="shared" si="333"/>
        <v/>
      </c>
      <c r="FXI33" t="str">
        <f t="shared" si="333"/>
        <v/>
      </c>
      <c r="FXJ33" t="str">
        <f t="shared" si="333"/>
        <v/>
      </c>
      <c r="FXK33" t="str">
        <f t="shared" si="333"/>
        <v/>
      </c>
      <c r="FXL33" t="str">
        <f t="shared" si="333"/>
        <v/>
      </c>
      <c r="FXM33" t="str">
        <f t="shared" si="333"/>
        <v/>
      </c>
      <c r="FXN33" t="str">
        <f t="shared" si="333"/>
        <v/>
      </c>
      <c r="FXO33" t="str">
        <f t="shared" si="333"/>
        <v/>
      </c>
      <c r="FXP33" t="str">
        <f t="shared" si="333"/>
        <v/>
      </c>
      <c r="FXQ33" t="str">
        <f t="shared" si="333"/>
        <v/>
      </c>
      <c r="FXR33" t="str">
        <f t="shared" si="333"/>
        <v/>
      </c>
      <c r="FXS33" t="str">
        <f t="shared" si="333"/>
        <v/>
      </c>
      <c r="FXT33" t="str">
        <f t="shared" si="333"/>
        <v/>
      </c>
      <c r="FXU33" t="str">
        <f t="shared" si="333"/>
        <v/>
      </c>
      <c r="FXV33" t="str">
        <f t="shared" si="333"/>
        <v/>
      </c>
      <c r="FXW33" t="str">
        <f t="shared" si="333"/>
        <v/>
      </c>
      <c r="FXX33" t="str">
        <f t="shared" si="333"/>
        <v/>
      </c>
      <c r="FXY33" t="str">
        <f t="shared" si="333"/>
        <v/>
      </c>
      <c r="FXZ33" t="str">
        <f t="shared" si="333"/>
        <v/>
      </c>
      <c r="FYA33" t="str">
        <f t="shared" si="333"/>
        <v/>
      </c>
      <c r="FYB33" t="str">
        <f t="shared" si="333"/>
        <v/>
      </c>
      <c r="FYC33" t="str">
        <f t="shared" si="333"/>
        <v/>
      </c>
      <c r="FYD33" t="str">
        <f t="shared" si="333"/>
        <v/>
      </c>
      <c r="FYE33" t="str">
        <f t="shared" si="333"/>
        <v/>
      </c>
      <c r="FYF33" t="str">
        <f t="shared" si="333"/>
        <v/>
      </c>
      <c r="FYG33" t="str">
        <f t="shared" si="333"/>
        <v/>
      </c>
      <c r="FYH33" t="str">
        <f t="shared" si="333"/>
        <v/>
      </c>
      <c r="FYI33" t="str">
        <f t="shared" si="333"/>
        <v/>
      </c>
      <c r="FYJ33" t="str">
        <f t="shared" si="333"/>
        <v/>
      </c>
      <c r="FYK33" t="str">
        <f t="shared" si="333"/>
        <v/>
      </c>
      <c r="FYL33" t="str">
        <f t="shared" si="333"/>
        <v/>
      </c>
      <c r="FYM33" t="str">
        <f t="shared" si="333"/>
        <v/>
      </c>
      <c r="FYN33" t="str">
        <f t="shared" si="333"/>
        <v/>
      </c>
      <c r="FYO33" t="str">
        <f t="shared" si="333"/>
        <v/>
      </c>
      <c r="FYP33" t="str">
        <f t="shared" si="333"/>
        <v/>
      </c>
      <c r="FYQ33" t="str">
        <f t="shared" si="333"/>
        <v/>
      </c>
      <c r="FYR33" t="str">
        <f t="shared" si="333"/>
        <v/>
      </c>
      <c r="FYS33" t="str">
        <f t="shared" si="333"/>
        <v/>
      </c>
      <c r="FYT33" t="str">
        <f t="shared" si="333"/>
        <v/>
      </c>
      <c r="FYU33" t="str">
        <f t="shared" si="333"/>
        <v/>
      </c>
      <c r="FYV33" t="str">
        <f t="shared" si="333"/>
        <v/>
      </c>
      <c r="FYW33" t="str">
        <f t="shared" si="333"/>
        <v/>
      </c>
      <c r="FYX33" t="str">
        <f t="shared" si="333"/>
        <v/>
      </c>
      <c r="FYY33" t="str">
        <f t="shared" si="333"/>
        <v/>
      </c>
      <c r="FYZ33" t="str">
        <f t="shared" si="333"/>
        <v/>
      </c>
      <c r="FZA33" t="str">
        <f t="shared" si="333"/>
        <v/>
      </c>
      <c r="FZB33" t="str">
        <f t="shared" si="333"/>
        <v/>
      </c>
      <c r="FZC33" t="str">
        <f t="shared" si="333"/>
        <v/>
      </c>
      <c r="FZD33" t="str">
        <f t="shared" si="333"/>
        <v/>
      </c>
      <c r="FZE33" t="str">
        <f t="shared" si="333"/>
        <v/>
      </c>
      <c r="FZF33" t="str">
        <f t="shared" si="333"/>
        <v/>
      </c>
      <c r="FZG33" t="str">
        <f t="shared" si="333"/>
        <v/>
      </c>
      <c r="FZH33" t="str">
        <f t="shared" si="333"/>
        <v/>
      </c>
      <c r="FZI33" t="str">
        <f t="shared" si="333"/>
        <v/>
      </c>
      <c r="FZJ33" t="str">
        <f t="shared" si="333"/>
        <v/>
      </c>
      <c r="FZK33" t="str">
        <f t="shared" si="333"/>
        <v/>
      </c>
      <c r="FZL33" t="str">
        <f t="shared" si="333"/>
        <v/>
      </c>
      <c r="FZM33" t="str">
        <f t="shared" si="333"/>
        <v/>
      </c>
      <c r="FZN33" t="str">
        <f t="shared" si="333"/>
        <v/>
      </c>
      <c r="FZO33" t="str">
        <f t="shared" si="333"/>
        <v/>
      </c>
      <c r="FZP33" t="str">
        <f t="shared" si="333"/>
        <v/>
      </c>
      <c r="FZQ33" t="str">
        <f t="shared" ref="FZQ33:GCB33" si="334">TRIM(GAH17)</f>
        <v/>
      </c>
      <c r="FZR33" t="str">
        <f t="shared" si="334"/>
        <v/>
      </c>
      <c r="FZS33" t="str">
        <f t="shared" si="334"/>
        <v/>
      </c>
      <c r="FZT33" t="str">
        <f t="shared" si="334"/>
        <v/>
      </c>
      <c r="FZU33" t="str">
        <f t="shared" si="334"/>
        <v/>
      </c>
      <c r="FZV33" t="str">
        <f t="shared" si="334"/>
        <v/>
      </c>
      <c r="FZW33" t="str">
        <f t="shared" si="334"/>
        <v/>
      </c>
      <c r="FZX33" t="str">
        <f t="shared" si="334"/>
        <v/>
      </c>
      <c r="FZY33" t="str">
        <f t="shared" si="334"/>
        <v/>
      </c>
      <c r="FZZ33" t="str">
        <f t="shared" si="334"/>
        <v/>
      </c>
      <c r="GAA33" t="str">
        <f t="shared" si="334"/>
        <v/>
      </c>
      <c r="GAB33" t="str">
        <f t="shared" si="334"/>
        <v/>
      </c>
      <c r="GAC33" t="str">
        <f t="shared" si="334"/>
        <v/>
      </c>
      <c r="GAD33" t="str">
        <f t="shared" si="334"/>
        <v/>
      </c>
      <c r="GAE33" t="str">
        <f t="shared" si="334"/>
        <v/>
      </c>
      <c r="GAF33" t="str">
        <f t="shared" si="334"/>
        <v/>
      </c>
      <c r="GAG33" t="str">
        <f t="shared" si="334"/>
        <v/>
      </c>
      <c r="GAH33" t="str">
        <f t="shared" si="334"/>
        <v/>
      </c>
      <c r="GAI33" t="str">
        <f t="shared" si="334"/>
        <v/>
      </c>
      <c r="GAJ33" t="str">
        <f t="shared" si="334"/>
        <v/>
      </c>
      <c r="GAK33" t="str">
        <f t="shared" si="334"/>
        <v/>
      </c>
      <c r="GAL33" t="str">
        <f t="shared" si="334"/>
        <v/>
      </c>
      <c r="GAM33" t="str">
        <f t="shared" si="334"/>
        <v/>
      </c>
      <c r="GAN33" t="str">
        <f t="shared" si="334"/>
        <v/>
      </c>
      <c r="GAO33" t="str">
        <f t="shared" si="334"/>
        <v/>
      </c>
      <c r="GAP33" t="str">
        <f t="shared" si="334"/>
        <v/>
      </c>
      <c r="GAQ33" t="str">
        <f t="shared" si="334"/>
        <v/>
      </c>
      <c r="GAR33" t="str">
        <f t="shared" si="334"/>
        <v/>
      </c>
      <c r="GAS33" t="str">
        <f t="shared" si="334"/>
        <v/>
      </c>
      <c r="GAT33" t="str">
        <f t="shared" si="334"/>
        <v/>
      </c>
      <c r="GAU33" t="str">
        <f t="shared" si="334"/>
        <v/>
      </c>
      <c r="GAV33" t="str">
        <f t="shared" si="334"/>
        <v/>
      </c>
      <c r="GAW33" t="str">
        <f t="shared" si="334"/>
        <v/>
      </c>
      <c r="GAX33" t="str">
        <f t="shared" si="334"/>
        <v/>
      </c>
      <c r="GAY33" t="str">
        <f t="shared" si="334"/>
        <v/>
      </c>
      <c r="GAZ33" t="str">
        <f t="shared" si="334"/>
        <v/>
      </c>
      <c r="GBA33" t="str">
        <f t="shared" si="334"/>
        <v/>
      </c>
      <c r="GBB33" t="str">
        <f t="shared" si="334"/>
        <v/>
      </c>
      <c r="GBC33" t="str">
        <f t="shared" si="334"/>
        <v/>
      </c>
      <c r="GBD33" t="str">
        <f t="shared" si="334"/>
        <v/>
      </c>
      <c r="GBE33" t="str">
        <f t="shared" si="334"/>
        <v/>
      </c>
      <c r="GBF33" t="str">
        <f t="shared" si="334"/>
        <v/>
      </c>
      <c r="GBG33" t="str">
        <f t="shared" si="334"/>
        <v/>
      </c>
      <c r="GBH33" t="str">
        <f t="shared" si="334"/>
        <v/>
      </c>
      <c r="GBI33" t="str">
        <f t="shared" si="334"/>
        <v/>
      </c>
      <c r="GBJ33" t="str">
        <f t="shared" si="334"/>
        <v/>
      </c>
      <c r="GBK33" t="str">
        <f t="shared" si="334"/>
        <v/>
      </c>
      <c r="GBL33" t="str">
        <f t="shared" si="334"/>
        <v/>
      </c>
      <c r="GBM33" t="str">
        <f t="shared" si="334"/>
        <v/>
      </c>
      <c r="GBN33" t="str">
        <f t="shared" si="334"/>
        <v/>
      </c>
      <c r="GBO33" t="str">
        <f t="shared" si="334"/>
        <v/>
      </c>
      <c r="GBP33" t="str">
        <f t="shared" si="334"/>
        <v/>
      </c>
      <c r="GBQ33" t="str">
        <f t="shared" si="334"/>
        <v/>
      </c>
      <c r="GBR33" t="str">
        <f t="shared" si="334"/>
        <v/>
      </c>
      <c r="GBS33" t="str">
        <f t="shared" si="334"/>
        <v/>
      </c>
      <c r="GBT33" t="str">
        <f t="shared" si="334"/>
        <v/>
      </c>
      <c r="GBU33" t="str">
        <f t="shared" si="334"/>
        <v/>
      </c>
      <c r="GBV33" t="str">
        <f t="shared" si="334"/>
        <v/>
      </c>
      <c r="GBW33" t="str">
        <f t="shared" si="334"/>
        <v/>
      </c>
      <c r="GBX33" t="str">
        <f t="shared" si="334"/>
        <v/>
      </c>
      <c r="GBY33" t="str">
        <f t="shared" si="334"/>
        <v/>
      </c>
      <c r="GBZ33" t="str">
        <f t="shared" si="334"/>
        <v/>
      </c>
      <c r="GCA33" t="str">
        <f t="shared" si="334"/>
        <v/>
      </c>
      <c r="GCB33" t="str">
        <f t="shared" si="334"/>
        <v/>
      </c>
      <c r="GCC33" t="str">
        <f t="shared" ref="GCC33:GEN33" si="335">TRIM(GCT17)</f>
        <v/>
      </c>
      <c r="GCD33" t="str">
        <f t="shared" si="335"/>
        <v/>
      </c>
      <c r="GCE33" t="str">
        <f t="shared" si="335"/>
        <v/>
      </c>
      <c r="GCF33" t="str">
        <f t="shared" si="335"/>
        <v/>
      </c>
      <c r="GCG33" t="str">
        <f t="shared" si="335"/>
        <v/>
      </c>
      <c r="GCH33" t="str">
        <f t="shared" si="335"/>
        <v/>
      </c>
      <c r="GCI33" t="str">
        <f t="shared" si="335"/>
        <v/>
      </c>
      <c r="GCJ33" t="str">
        <f t="shared" si="335"/>
        <v/>
      </c>
      <c r="GCK33" t="str">
        <f t="shared" si="335"/>
        <v/>
      </c>
      <c r="GCL33" t="str">
        <f t="shared" si="335"/>
        <v/>
      </c>
      <c r="GCM33" t="str">
        <f t="shared" si="335"/>
        <v/>
      </c>
      <c r="GCN33" t="str">
        <f t="shared" si="335"/>
        <v/>
      </c>
      <c r="GCO33" t="str">
        <f t="shared" si="335"/>
        <v/>
      </c>
      <c r="GCP33" t="str">
        <f t="shared" si="335"/>
        <v/>
      </c>
      <c r="GCQ33" t="str">
        <f t="shared" si="335"/>
        <v/>
      </c>
      <c r="GCR33" t="str">
        <f t="shared" si="335"/>
        <v/>
      </c>
      <c r="GCS33" t="str">
        <f t="shared" si="335"/>
        <v/>
      </c>
      <c r="GCT33" t="str">
        <f t="shared" si="335"/>
        <v/>
      </c>
      <c r="GCU33" t="str">
        <f t="shared" si="335"/>
        <v/>
      </c>
      <c r="GCV33" t="str">
        <f t="shared" si="335"/>
        <v/>
      </c>
      <c r="GCW33" t="str">
        <f t="shared" si="335"/>
        <v/>
      </c>
      <c r="GCX33" t="str">
        <f t="shared" si="335"/>
        <v/>
      </c>
      <c r="GCY33" t="str">
        <f t="shared" si="335"/>
        <v/>
      </c>
      <c r="GCZ33" t="str">
        <f t="shared" si="335"/>
        <v/>
      </c>
      <c r="GDA33" t="str">
        <f t="shared" si="335"/>
        <v/>
      </c>
      <c r="GDB33" t="str">
        <f t="shared" si="335"/>
        <v/>
      </c>
      <c r="GDC33" t="str">
        <f t="shared" si="335"/>
        <v/>
      </c>
      <c r="GDD33" t="str">
        <f t="shared" si="335"/>
        <v/>
      </c>
      <c r="GDE33" t="str">
        <f t="shared" si="335"/>
        <v/>
      </c>
      <c r="GDF33" t="str">
        <f t="shared" si="335"/>
        <v/>
      </c>
      <c r="GDG33" t="str">
        <f t="shared" si="335"/>
        <v/>
      </c>
      <c r="GDH33" t="str">
        <f t="shared" si="335"/>
        <v/>
      </c>
      <c r="GDI33" t="str">
        <f t="shared" si="335"/>
        <v/>
      </c>
      <c r="GDJ33" t="str">
        <f t="shared" si="335"/>
        <v/>
      </c>
      <c r="GDK33" t="str">
        <f t="shared" si="335"/>
        <v/>
      </c>
      <c r="GDL33" t="str">
        <f t="shared" si="335"/>
        <v/>
      </c>
      <c r="GDM33" t="str">
        <f t="shared" si="335"/>
        <v/>
      </c>
      <c r="GDN33" t="str">
        <f t="shared" si="335"/>
        <v/>
      </c>
      <c r="GDO33" t="str">
        <f t="shared" si="335"/>
        <v/>
      </c>
      <c r="GDP33" t="str">
        <f t="shared" si="335"/>
        <v/>
      </c>
      <c r="GDQ33" t="str">
        <f t="shared" si="335"/>
        <v/>
      </c>
      <c r="GDR33" t="str">
        <f t="shared" si="335"/>
        <v/>
      </c>
      <c r="GDS33" t="str">
        <f t="shared" si="335"/>
        <v/>
      </c>
      <c r="GDT33" t="str">
        <f t="shared" si="335"/>
        <v/>
      </c>
      <c r="GDU33" t="str">
        <f t="shared" si="335"/>
        <v/>
      </c>
      <c r="GDV33" t="str">
        <f t="shared" si="335"/>
        <v/>
      </c>
      <c r="GDW33" t="str">
        <f t="shared" si="335"/>
        <v/>
      </c>
      <c r="GDX33" t="str">
        <f t="shared" si="335"/>
        <v/>
      </c>
      <c r="GDY33" t="str">
        <f t="shared" si="335"/>
        <v/>
      </c>
      <c r="GDZ33" t="str">
        <f t="shared" si="335"/>
        <v/>
      </c>
      <c r="GEA33" t="str">
        <f t="shared" si="335"/>
        <v/>
      </c>
      <c r="GEB33" t="str">
        <f t="shared" si="335"/>
        <v/>
      </c>
      <c r="GEC33" t="str">
        <f t="shared" si="335"/>
        <v/>
      </c>
      <c r="GED33" t="str">
        <f t="shared" si="335"/>
        <v/>
      </c>
      <c r="GEE33" t="str">
        <f t="shared" si="335"/>
        <v/>
      </c>
      <c r="GEF33" t="str">
        <f t="shared" si="335"/>
        <v/>
      </c>
      <c r="GEG33" t="str">
        <f t="shared" si="335"/>
        <v/>
      </c>
      <c r="GEH33" t="str">
        <f t="shared" si="335"/>
        <v/>
      </c>
      <c r="GEI33" t="str">
        <f t="shared" si="335"/>
        <v/>
      </c>
      <c r="GEJ33" t="str">
        <f t="shared" si="335"/>
        <v/>
      </c>
      <c r="GEK33" t="str">
        <f t="shared" si="335"/>
        <v/>
      </c>
      <c r="GEL33" t="str">
        <f t="shared" si="335"/>
        <v/>
      </c>
      <c r="GEM33" t="str">
        <f t="shared" si="335"/>
        <v/>
      </c>
      <c r="GEN33" t="str">
        <f t="shared" si="335"/>
        <v/>
      </c>
      <c r="GEO33" t="str">
        <f t="shared" ref="GEO33:GGZ33" si="336">TRIM(GFF17)</f>
        <v/>
      </c>
      <c r="GEP33" t="str">
        <f t="shared" si="336"/>
        <v/>
      </c>
      <c r="GEQ33" t="str">
        <f t="shared" si="336"/>
        <v/>
      </c>
      <c r="GER33" t="str">
        <f t="shared" si="336"/>
        <v/>
      </c>
      <c r="GES33" t="str">
        <f t="shared" si="336"/>
        <v/>
      </c>
      <c r="GET33" t="str">
        <f t="shared" si="336"/>
        <v/>
      </c>
      <c r="GEU33" t="str">
        <f t="shared" si="336"/>
        <v/>
      </c>
      <c r="GEV33" t="str">
        <f t="shared" si="336"/>
        <v/>
      </c>
      <c r="GEW33" t="str">
        <f t="shared" si="336"/>
        <v/>
      </c>
      <c r="GEX33" t="str">
        <f t="shared" si="336"/>
        <v/>
      </c>
      <c r="GEY33" t="str">
        <f t="shared" si="336"/>
        <v/>
      </c>
      <c r="GEZ33" t="str">
        <f t="shared" si="336"/>
        <v/>
      </c>
      <c r="GFA33" t="str">
        <f t="shared" si="336"/>
        <v/>
      </c>
      <c r="GFB33" t="str">
        <f t="shared" si="336"/>
        <v/>
      </c>
      <c r="GFC33" t="str">
        <f t="shared" si="336"/>
        <v/>
      </c>
      <c r="GFD33" t="str">
        <f t="shared" si="336"/>
        <v/>
      </c>
      <c r="GFE33" t="str">
        <f t="shared" si="336"/>
        <v/>
      </c>
      <c r="GFF33" t="str">
        <f t="shared" si="336"/>
        <v/>
      </c>
      <c r="GFG33" t="str">
        <f t="shared" si="336"/>
        <v/>
      </c>
      <c r="GFH33" t="str">
        <f t="shared" si="336"/>
        <v/>
      </c>
      <c r="GFI33" t="str">
        <f t="shared" si="336"/>
        <v/>
      </c>
      <c r="GFJ33" t="str">
        <f t="shared" si="336"/>
        <v/>
      </c>
      <c r="GFK33" t="str">
        <f t="shared" si="336"/>
        <v/>
      </c>
      <c r="GFL33" t="str">
        <f t="shared" si="336"/>
        <v/>
      </c>
      <c r="GFM33" t="str">
        <f t="shared" si="336"/>
        <v/>
      </c>
      <c r="GFN33" t="str">
        <f t="shared" si="336"/>
        <v/>
      </c>
      <c r="GFO33" t="str">
        <f t="shared" si="336"/>
        <v/>
      </c>
      <c r="GFP33" t="str">
        <f t="shared" si="336"/>
        <v/>
      </c>
      <c r="GFQ33" t="str">
        <f t="shared" si="336"/>
        <v/>
      </c>
      <c r="GFR33" t="str">
        <f t="shared" si="336"/>
        <v/>
      </c>
      <c r="GFS33" t="str">
        <f t="shared" si="336"/>
        <v/>
      </c>
      <c r="GFT33" t="str">
        <f t="shared" si="336"/>
        <v/>
      </c>
      <c r="GFU33" t="str">
        <f t="shared" si="336"/>
        <v/>
      </c>
      <c r="GFV33" t="str">
        <f t="shared" si="336"/>
        <v/>
      </c>
      <c r="GFW33" t="str">
        <f t="shared" si="336"/>
        <v/>
      </c>
      <c r="GFX33" t="str">
        <f t="shared" si="336"/>
        <v/>
      </c>
      <c r="GFY33" t="str">
        <f t="shared" si="336"/>
        <v/>
      </c>
      <c r="GFZ33" t="str">
        <f t="shared" si="336"/>
        <v/>
      </c>
      <c r="GGA33" t="str">
        <f t="shared" si="336"/>
        <v/>
      </c>
      <c r="GGB33" t="str">
        <f t="shared" si="336"/>
        <v/>
      </c>
      <c r="GGC33" t="str">
        <f t="shared" si="336"/>
        <v/>
      </c>
      <c r="GGD33" t="str">
        <f t="shared" si="336"/>
        <v/>
      </c>
      <c r="GGE33" t="str">
        <f t="shared" si="336"/>
        <v/>
      </c>
      <c r="GGF33" t="str">
        <f t="shared" si="336"/>
        <v/>
      </c>
      <c r="GGG33" t="str">
        <f t="shared" si="336"/>
        <v/>
      </c>
      <c r="GGH33" t="str">
        <f t="shared" si="336"/>
        <v/>
      </c>
      <c r="GGI33" t="str">
        <f t="shared" si="336"/>
        <v/>
      </c>
      <c r="GGJ33" t="str">
        <f t="shared" si="336"/>
        <v/>
      </c>
      <c r="GGK33" t="str">
        <f t="shared" si="336"/>
        <v/>
      </c>
      <c r="GGL33" t="str">
        <f t="shared" si="336"/>
        <v/>
      </c>
      <c r="GGM33" t="str">
        <f t="shared" si="336"/>
        <v/>
      </c>
      <c r="GGN33" t="str">
        <f t="shared" si="336"/>
        <v/>
      </c>
      <c r="GGO33" t="str">
        <f t="shared" si="336"/>
        <v/>
      </c>
      <c r="GGP33" t="str">
        <f t="shared" si="336"/>
        <v/>
      </c>
      <c r="GGQ33" t="str">
        <f t="shared" si="336"/>
        <v/>
      </c>
      <c r="GGR33" t="str">
        <f t="shared" si="336"/>
        <v/>
      </c>
      <c r="GGS33" t="str">
        <f t="shared" si="336"/>
        <v/>
      </c>
      <c r="GGT33" t="str">
        <f t="shared" si="336"/>
        <v/>
      </c>
      <c r="GGU33" t="str">
        <f t="shared" si="336"/>
        <v/>
      </c>
      <c r="GGV33" t="str">
        <f t="shared" si="336"/>
        <v/>
      </c>
      <c r="GGW33" t="str">
        <f t="shared" si="336"/>
        <v/>
      </c>
      <c r="GGX33" t="str">
        <f t="shared" si="336"/>
        <v/>
      </c>
      <c r="GGY33" t="str">
        <f t="shared" si="336"/>
        <v/>
      </c>
      <c r="GGZ33" t="str">
        <f t="shared" si="336"/>
        <v/>
      </c>
      <c r="GHA33" t="str">
        <f t="shared" ref="GHA33:GJL33" si="337">TRIM(GHR17)</f>
        <v/>
      </c>
      <c r="GHB33" t="str">
        <f t="shared" si="337"/>
        <v/>
      </c>
      <c r="GHC33" t="str">
        <f t="shared" si="337"/>
        <v/>
      </c>
      <c r="GHD33" t="str">
        <f t="shared" si="337"/>
        <v/>
      </c>
      <c r="GHE33" t="str">
        <f t="shared" si="337"/>
        <v/>
      </c>
      <c r="GHF33" t="str">
        <f t="shared" si="337"/>
        <v/>
      </c>
      <c r="GHG33" t="str">
        <f t="shared" si="337"/>
        <v/>
      </c>
      <c r="GHH33" t="str">
        <f t="shared" si="337"/>
        <v/>
      </c>
      <c r="GHI33" t="str">
        <f t="shared" si="337"/>
        <v/>
      </c>
      <c r="GHJ33" t="str">
        <f t="shared" si="337"/>
        <v/>
      </c>
      <c r="GHK33" t="str">
        <f t="shared" si="337"/>
        <v/>
      </c>
      <c r="GHL33" t="str">
        <f t="shared" si="337"/>
        <v/>
      </c>
      <c r="GHM33" t="str">
        <f t="shared" si="337"/>
        <v/>
      </c>
      <c r="GHN33" t="str">
        <f t="shared" si="337"/>
        <v/>
      </c>
      <c r="GHO33" t="str">
        <f t="shared" si="337"/>
        <v/>
      </c>
      <c r="GHP33" t="str">
        <f t="shared" si="337"/>
        <v/>
      </c>
      <c r="GHQ33" t="str">
        <f t="shared" si="337"/>
        <v/>
      </c>
      <c r="GHR33" t="str">
        <f t="shared" si="337"/>
        <v/>
      </c>
      <c r="GHS33" t="str">
        <f t="shared" si="337"/>
        <v/>
      </c>
      <c r="GHT33" t="str">
        <f t="shared" si="337"/>
        <v/>
      </c>
      <c r="GHU33" t="str">
        <f t="shared" si="337"/>
        <v/>
      </c>
      <c r="GHV33" t="str">
        <f t="shared" si="337"/>
        <v/>
      </c>
      <c r="GHW33" t="str">
        <f t="shared" si="337"/>
        <v/>
      </c>
      <c r="GHX33" t="str">
        <f t="shared" si="337"/>
        <v/>
      </c>
      <c r="GHY33" t="str">
        <f t="shared" si="337"/>
        <v/>
      </c>
      <c r="GHZ33" t="str">
        <f t="shared" si="337"/>
        <v/>
      </c>
      <c r="GIA33" t="str">
        <f t="shared" si="337"/>
        <v/>
      </c>
      <c r="GIB33" t="str">
        <f t="shared" si="337"/>
        <v/>
      </c>
      <c r="GIC33" t="str">
        <f t="shared" si="337"/>
        <v/>
      </c>
      <c r="GID33" t="str">
        <f t="shared" si="337"/>
        <v/>
      </c>
      <c r="GIE33" t="str">
        <f t="shared" si="337"/>
        <v/>
      </c>
      <c r="GIF33" t="str">
        <f t="shared" si="337"/>
        <v/>
      </c>
      <c r="GIG33" t="str">
        <f t="shared" si="337"/>
        <v/>
      </c>
      <c r="GIH33" t="str">
        <f t="shared" si="337"/>
        <v/>
      </c>
      <c r="GII33" t="str">
        <f t="shared" si="337"/>
        <v/>
      </c>
      <c r="GIJ33" t="str">
        <f t="shared" si="337"/>
        <v/>
      </c>
      <c r="GIK33" t="str">
        <f t="shared" si="337"/>
        <v/>
      </c>
      <c r="GIL33" t="str">
        <f t="shared" si="337"/>
        <v/>
      </c>
      <c r="GIM33" t="str">
        <f t="shared" si="337"/>
        <v/>
      </c>
      <c r="GIN33" t="str">
        <f t="shared" si="337"/>
        <v/>
      </c>
      <c r="GIO33" t="str">
        <f t="shared" si="337"/>
        <v/>
      </c>
      <c r="GIP33" t="str">
        <f t="shared" si="337"/>
        <v/>
      </c>
      <c r="GIQ33" t="str">
        <f t="shared" si="337"/>
        <v/>
      </c>
      <c r="GIR33" t="str">
        <f t="shared" si="337"/>
        <v/>
      </c>
      <c r="GIS33" t="str">
        <f t="shared" si="337"/>
        <v/>
      </c>
      <c r="GIT33" t="str">
        <f t="shared" si="337"/>
        <v/>
      </c>
      <c r="GIU33" t="str">
        <f t="shared" si="337"/>
        <v/>
      </c>
      <c r="GIV33" t="str">
        <f t="shared" si="337"/>
        <v/>
      </c>
      <c r="GIW33" t="str">
        <f t="shared" si="337"/>
        <v/>
      </c>
      <c r="GIX33" t="str">
        <f t="shared" si="337"/>
        <v/>
      </c>
      <c r="GIY33" t="str">
        <f t="shared" si="337"/>
        <v/>
      </c>
      <c r="GIZ33" t="str">
        <f t="shared" si="337"/>
        <v/>
      </c>
      <c r="GJA33" t="str">
        <f t="shared" si="337"/>
        <v/>
      </c>
      <c r="GJB33" t="str">
        <f t="shared" si="337"/>
        <v/>
      </c>
      <c r="GJC33" t="str">
        <f t="shared" si="337"/>
        <v/>
      </c>
      <c r="GJD33" t="str">
        <f t="shared" si="337"/>
        <v/>
      </c>
      <c r="GJE33" t="str">
        <f t="shared" si="337"/>
        <v/>
      </c>
      <c r="GJF33" t="str">
        <f t="shared" si="337"/>
        <v/>
      </c>
      <c r="GJG33" t="str">
        <f t="shared" si="337"/>
        <v/>
      </c>
      <c r="GJH33" t="str">
        <f t="shared" si="337"/>
        <v/>
      </c>
      <c r="GJI33" t="str">
        <f t="shared" si="337"/>
        <v/>
      </c>
      <c r="GJJ33" t="str">
        <f t="shared" si="337"/>
        <v/>
      </c>
      <c r="GJK33" t="str">
        <f t="shared" si="337"/>
        <v/>
      </c>
      <c r="GJL33" t="str">
        <f t="shared" si="337"/>
        <v/>
      </c>
      <c r="GJM33" t="str">
        <f t="shared" ref="GJM33:GLX33" si="338">TRIM(GKD17)</f>
        <v/>
      </c>
      <c r="GJN33" t="str">
        <f t="shared" si="338"/>
        <v/>
      </c>
      <c r="GJO33" t="str">
        <f t="shared" si="338"/>
        <v/>
      </c>
      <c r="GJP33" t="str">
        <f t="shared" si="338"/>
        <v/>
      </c>
      <c r="GJQ33" t="str">
        <f t="shared" si="338"/>
        <v/>
      </c>
      <c r="GJR33" t="str">
        <f t="shared" si="338"/>
        <v/>
      </c>
      <c r="GJS33" t="str">
        <f t="shared" si="338"/>
        <v/>
      </c>
      <c r="GJT33" t="str">
        <f t="shared" si="338"/>
        <v/>
      </c>
      <c r="GJU33" t="str">
        <f t="shared" si="338"/>
        <v/>
      </c>
      <c r="GJV33" t="str">
        <f t="shared" si="338"/>
        <v/>
      </c>
      <c r="GJW33" t="str">
        <f t="shared" si="338"/>
        <v/>
      </c>
      <c r="GJX33" t="str">
        <f t="shared" si="338"/>
        <v/>
      </c>
      <c r="GJY33" t="str">
        <f t="shared" si="338"/>
        <v/>
      </c>
      <c r="GJZ33" t="str">
        <f t="shared" si="338"/>
        <v/>
      </c>
      <c r="GKA33" t="str">
        <f t="shared" si="338"/>
        <v/>
      </c>
      <c r="GKB33" t="str">
        <f t="shared" si="338"/>
        <v/>
      </c>
      <c r="GKC33" t="str">
        <f t="shared" si="338"/>
        <v/>
      </c>
      <c r="GKD33" t="str">
        <f t="shared" si="338"/>
        <v/>
      </c>
      <c r="GKE33" t="str">
        <f t="shared" si="338"/>
        <v/>
      </c>
      <c r="GKF33" t="str">
        <f t="shared" si="338"/>
        <v/>
      </c>
      <c r="GKG33" t="str">
        <f t="shared" si="338"/>
        <v/>
      </c>
      <c r="GKH33" t="str">
        <f t="shared" si="338"/>
        <v/>
      </c>
      <c r="GKI33" t="str">
        <f t="shared" si="338"/>
        <v/>
      </c>
      <c r="GKJ33" t="str">
        <f t="shared" si="338"/>
        <v/>
      </c>
      <c r="GKK33" t="str">
        <f t="shared" si="338"/>
        <v/>
      </c>
      <c r="GKL33" t="str">
        <f t="shared" si="338"/>
        <v/>
      </c>
      <c r="GKM33" t="str">
        <f t="shared" si="338"/>
        <v/>
      </c>
      <c r="GKN33" t="str">
        <f t="shared" si="338"/>
        <v/>
      </c>
      <c r="GKO33" t="str">
        <f t="shared" si="338"/>
        <v/>
      </c>
      <c r="GKP33" t="str">
        <f t="shared" si="338"/>
        <v/>
      </c>
      <c r="GKQ33" t="str">
        <f t="shared" si="338"/>
        <v/>
      </c>
      <c r="GKR33" t="str">
        <f t="shared" si="338"/>
        <v/>
      </c>
      <c r="GKS33" t="str">
        <f t="shared" si="338"/>
        <v/>
      </c>
      <c r="GKT33" t="str">
        <f t="shared" si="338"/>
        <v/>
      </c>
      <c r="GKU33" t="str">
        <f t="shared" si="338"/>
        <v/>
      </c>
      <c r="GKV33" t="str">
        <f t="shared" si="338"/>
        <v/>
      </c>
      <c r="GKW33" t="str">
        <f t="shared" si="338"/>
        <v/>
      </c>
      <c r="GKX33" t="str">
        <f t="shared" si="338"/>
        <v/>
      </c>
      <c r="GKY33" t="str">
        <f t="shared" si="338"/>
        <v/>
      </c>
      <c r="GKZ33" t="str">
        <f t="shared" si="338"/>
        <v/>
      </c>
      <c r="GLA33" t="str">
        <f t="shared" si="338"/>
        <v/>
      </c>
      <c r="GLB33" t="str">
        <f t="shared" si="338"/>
        <v/>
      </c>
      <c r="GLC33" t="str">
        <f t="shared" si="338"/>
        <v/>
      </c>
      <c r="GLD33" t="str">
        <f t="shared" si="338"/>
        <v/>
      </c>
      <c r="GLE33" t="str">
        <f t="shared" si="338"/>
        <v/>
      </c>
      <c r="GLF33" t="str">
        <f t="shared" si="338"/>
        <v/>
      </c>
      <c r="GLG33" t="str">
        <f t="shared" si="338"/>
        <v/>
      </c>
      <c r="GLH33" t="str">
        <f t="shared" si="338"/>
        <v/>
      </c>
      <c r="GLI33" t="str">
        <f t="shared" si="338"/>
        <v/>
      </c>
      <c r="GLJ33" t="str">
        <f t="shared" si="338"/>
        <v/>
      </c>
      <c r="GLK33" t="str">
        <f t="shared" si="338"/>
        <v/>
      </c>
      <c r="GLL33" t="str">
        <f t="shared" si="338"/>
        <v/>
      </c>
      <c r="GLM33" t="str">
        <f t="shared" si="338"/>
        <v/>
      </c>
      <c r="GLN33" t="str">
        <f t="shared" si="338"/>
        <v/>
      </c>
      <c r="GLO33" t="str">
        <f t="shared" si="338"/>
        <v/>
      </c>
      <c r="GLP33" t="str">
        <f t="shared" si="338"/>
        <v/>
      </c>
      <c r="GLQ33" t="str">
        <f t="shared" si="338"/>
        <v/>
      </c>
      <c r="GLR33" t="str">
        <f t="shared" si="338"/>
        <v/>
      </c>
      <c r="GLS33" t="str">
        <f t="shared" si="338"/>
        <v/>
      </c>
      <c r="GLT33" t="str">
        <f t="shared" si="338"/>
        <v/>
      </c>
      <c r="GLU33" t="str">
        <f t="shared" si="338"/>
        <v/>
      </c>
      <c r="GLV33" t="str">
        <f t="shared" si="338"/>
        <v/>
      </c>
      <c r="GLW33" t="str">
        <f t="shared" si="338"/>
        <v/>
      </c>
      <c r="GLX33" t="str">
        <f t="shared" si="338"/>
        <v/>
      </c>
      <c r="GLY33" t="str">
        <f t="shared" ref="GLY33:GOJ33" si="339">TRIM(GMP17)</f>
        <v/>
      </c>
      <c r="GLZ33" t="str">
        <f t="shared" si="339"/>
        <v/>
      </c>
      <c r="GMA33" t="str">
        <f t="shared" si="339"/>
        <v/>
      </c>
      <c r="GMB33" t="str">
        <f t="shared" si="339"/>
        <v/>
      </c>
      <c r="GMC33" t="str">
        <f t="shared" si="339"/>
        <v/>
      </c>
      <c r="GMD33" t="str">
        <f t="shared" si="339"/>
        <v/>
      </c>
      <c r="GME33" t="str">
        <f t="shared" si="339"/>
        <v/>
      </c>
      <c r="GMF33" t="str">
        <f t="shared" si="339"/>
        <v/>
      </c>
      <c r="GMG33" t="str">
        <f t="shared" si="339"/>
        <v/>
      </c>
      <c r="GMH33" t="str">
        <f t="shared" si="339"/>
        <v/>
      </c>
      <c r="GMI33" t="str">
        <f t="shared" si="339"/>
        <v/>
      </c>
      <c r="GMJ33" t="str">
        <f t="shared" si="339"/>
        <v/>
      </c>
      <c r="GMK33" t="str">
        <f t="shared" si="339"/>
        <v/>
      </c>
      <c r="GML33" t="str">
        <f t="shared" si="339"/>
        <v/>
      </c>
      <c r="GMM33" t="str">
        <f t="shared" si="339"/>
        <v/>
      </c>
      <c r="GMN33" t="str">
        <f t="shared" si="339"/>
        <v/>
      </c>
      <c r="GMO33" t="str">
        <f t="shared" si="339"/>
        <v/>
      </c>
      <c r="GMP33" t="str">
        <f t="shared" si="339"/>
        <v/>
      </c>
      <c r="GMQ33" t="str">
        <f t="shared" si="339"/>
        <v/>
      </c>
      <c r="GMR33" t="str">
        <f t="shared" si="339"/>
        <v/>
      </c>
      <c r="GMS33" t="str">
        <f t="shared" si="339"/>
        <v/>
      </c>
      <c r="GMT33" t="str">
        <f t="shared" si="339"/>
        <v/>
      </c>
      <c r="GMU33" t="str">
        <f t="shared" si="339"/>
        <v/>
      </c>
      <c r="GMV33" t="str">
        <f t="shared" si="339"/>
        <v/>
      </c>
      <c r="GMW33" t="str">
        <f t="shared" si="339"/>
        <v/>
      </c>
      <c r="GMX33" t="str">
        <f t="shared" si="339"/>
        <v/>
      </c>
      <c r="GMY33" t="str">
        <f t="shared" si="339"/>
        <v/>
      </c>
      <c r="GMZ33" t="str">
        <f t="shared" si="339"/>
        <v/>
      </c>
      <c r="GNA33" t="str">
        <f t="shared" si="339"/>
        <v/>
      </c>
      <c r="GNB33" t="str">
        <f t="shared" si="339"/>
        <v/>
      </c>
      <c r="GNC33" t="str">
        <f t="shared" si="339"/>
        <v/>
      </c>
      <c r="GND33" t="str">
        <f t="shared" si="339"/>
        <v/>
      </c>
      <c r="GNE33" t="str">
        <f t="shared" si="339"/>
        <v/>
      </c>
      <c r="GNF33" t="str">
        <f t="shared" si="339"/>
        <v/>
      </c>
      <c r="GNG33" t="str">
        <f t="shared" si="339"/>
        <v/>
      </c>
      <c r="GNH33" t="str">
        <f t="shared" si="339"/>
        <v/>
      </c>
      <c r="GNI33" t="str">
        <f t="shared" si="339"/>
        <v/>
      </c>
      <c r="GNJ33" t="str">
        <f t="shared" si="339"/>
        <v/>
      </c>
      <c r="GNK33" t="str">
        <f t="shared" si="339"/>
        <v/>
      </c>
      <c r="GNL33" t="str">
        <f t="shared" si="339"/>
        <v/>
      </c>
      <c r="GNM33" t="str">
        <f t="shared" si="339"/>
        <v/>
      </c>
      <c r="GNN33" t="str">
        <f t="shared" si="339"/>
        <v/>
      </c>
      <c r="GNO33" t="str">
        <f t="shared" si="339"/>
        <v/>
      </c>
      <c r="GNP33" t="str">
        <f t="shared" si="339"/>
        <v/>
      </c>
      <c r="GNQ33" t="str">
        <f t="shared" si="339"/>
        <v/>
      </c>
      <c r="GNR33" t="str">
        <f t="shared" si="339"/>
        <v/>
      </c>
      <c r="GNS33" t="str">
        <f t="shared" si="339"/>
        <v/>
      </c>
      <c r="GNT33" t="str">
        <f t="shared" si="339"/>
        <v/>
      </c>
      <c r="GNU33" t="str">
        <f t="shared" si="339"/>
        <v/>
      </c>
      <c r="GNV33" t="str">
        <f t="shared" si="339"/>
        <v/>
      </c>
      <c r="GNW33" t="str">
        <f t="shared" si="339"/>
        <v/>
      </c>
      <c r="GNX33" t="str">
        <f t="shared" si="339"/>
        <v/>
      </c>
      <c r="GNY33" t="str">
        <f t="shared" si="339"/>
        <v/>
      </c>
      <c r="GNZ33" t="str">
        <f t="shared" si="339"/>
        <v/>
      </c>
      <c r="GOA33" t="str">
        <f t="shared" si="339"/>
        <v/>
      </c>
      <c r="GOB33" t="str">
        <f t="shared" si="339"/>
        <v/>
      </c>
      <c r="GOC33" t="str">
        <f t="shared" si="339"/>
        <v/>
      </c>
      <c r="GOD33" t="str">
        <f t="shared" si="339"/>
        <v/>
      </c>
      <c r="GOE33" t="str">
        <f t="shared" si="339"/>
        <v/>
      </c>
      <c r="GOF33" t="str">
        <f t="shared" si="339"/>
        <v/>
      </c>
      <c r="GOG33" t="str">
        <f t="shared" si="339"/>
        <v/>
      </c>
      <c r="GOH33" t="str">
        <f t="shared" si="339"/>
        <v/>
      </c>
      <c r="GOI33" t="str">
        <f t="shared" si="339"/>
        <v/>
      </c>
      <c r="GOJ33" t="str">
        <f t="shared" si="339"/>
        <v/>
      </c>
      <c r="GOK33" t="str">
        <f t="shared" ref="GOK33:GQV33" si="340">TRIM(GPB17)</f>
        <v/>
      </c>
      <c r="GOL33" t="str">
        <f t="shared" si="340"/>
        <v/>
      </c>
      <c r="GOM33" t="str">
        <f t="shared" si="340"/>
        <v/>
      </c>
      <c r="GON33" t="str">
        <f t="shared" si="340"/>
        <v/>
      </c>
      <c r="GOO33" t="str">
        <f t="shared" si="340"/>
        <v/>
      </c>
      <c r="GOP33" t="str">
        <f t="shared" si="340"/>
        <v/>
      </c>
      <c r="GOQ33" t="str">
        <f t="shared" si="340"/>
        <v/>
      </c>
      <c r="GOR33" t="str">
        <f t="shared" si="340"/>
        <v/>
      </c>
      <c r="GOS33" t="str">
        <f t="shared" si="340"/>
        <v/>
      </c>
      <c r="GOT33" t="str">
        <f t="shared" si="340"/>
        <v/>
      </c>
      <c r="GOU33" t="str">
        <f t="shared" si="340"/>
        <v/>
      </c>
      <c r="GOV33" t="str">
        <f t="shared" si="340"/>
        <v/>
      </c>
      <c r="GOW33" t="str">
        <f t="shared" si="340"/>
        <v/>
      </c>
      <c r="GOX33" t="str">
        <f t="shared" si="340"/>
        <v/>
      </c>
      <c r="GOY33" t="str">
        <f t="shared" si="340"/>
        <v/>
      </c>
      <c r="GOZ33" t="str">
        <f t="shared" si="340"/>
        <v/>
      </c>
      <c r="GPA33" t="str">
        <f t="shared" si="340"/>
        <v/>
      </c>
      <c r="GPB33" t="str">
        <f t="shared" si="340"/>
        <v/>
      </c>
      <c r="GPC33" t="str">
        <f t="shared" si="340"/>
        <v/>
      </c>
      <c r="GPD33" t="str">
        <f t="shared" si="340"/>
        <v/>
      </c>
      <c r="GPE33" t="str">
        <f t="shared" si="340"/>
        <v/>
      </c>
      <c r="GPF33" t="str">
        <f t="shared" si="340"/>
        <v/>
      </c>
      <c r="GPG33" t="str">
        <f t="shared" si="340"/>
        <v/>
      </c>
      <c r="GPH33" t="str">
        <f t="shared" si="340"/>
        <v/>
      </c>
      <c r="GPI33" t="str">
        <f t="shared" si="340"/>
        <v/>
      </c>
      <c r="GPJ33" t="str">
        <f t="shared" si="340"/>
        <v/>
      </c>
      <c r="GPK33" t="str">
        <f t="shared" si="340"/>
        <v/>
      </c>
      <c r="GPL33" t="str">
        <f t="shared" si="340"/>
        <v/>
      </c>
      <c r="GPM33" t="str">
        <f t="shared" si="340"/>
        <v/>
      </c>
      <c r="GPN33" t="str">
        <f t="shared" si="340"/>
        <v/>
      </c>
      <c r="GPO33" t="str">
        <f t="shared" si="340"/>
        <v/>
      </c>
      <c r="GPP33" t="str">
        <f t="shared" si="340"/>
        <v/>
      </c>
      <c r="GPQ33" t="str">
        <f t="shared" si="340"/>
        <v/>
      </c>
      <c r="GPR33" t="str">
        <f t="shared" si="340"/>
        <v/>
      </c>
      <c r="GPS33" t="str">
        <f t="shared" si="340"/>
        <v/>
      </c>
      <c r="GPT33" t="str">
        <f t="shared" si="340"/>
        <v/>
      </c>
      <c r="GPU33" t="str">
        <f t="shared" si="340"/>
        <v/>
      </c>
      <c r="GPV33" t="str">
        <f t="shared" si="340"/>
        <v/>
      </c>
      <c r="GPW33" t="str">
        <f t="shared" si="340"/>
        <v/>
      </c>
      <c r="GPX33" t="str">
        <f t="shared" si="340"/>
        <v/>
      </c>
      <c r="GPY33" t="str">
        <f t="shared" si="340"/>
        <v/>
      </c>
      <c r="GPZ33" t="str">
        <f t="shared" si="340"/>
        <v/>
      </c>
      <c r="GQA33" t="str">
        <f t="shared" si="340"/>
        <v/>
      </c>
      <c r="GQB33" t="str">
        <f t="shared" si="340"/>
        <v/>
      </c>
      <c r="GQC33" t="str">
        <f t="shared" si="340"/>
        <v/>
      </c>
      <c r="GQD33" t="str">
        <f t="shared" si="340"/>
        <v/>
      </c>
      <c r="GQE33" t="str">
        <f t="shared" si="340"/>
        <v/>
      </c>
      <c r="GQF33" t="str">
        <f t="shared" si="340"/>
        <v/>
      </c>
      <c r="GQG33" t="str">
        <f t="shared" si="340"/>
        <v/>
      </c>
      <c r="GQH33" t="str">
        <f t="shared" si="340"/>
        <v/>
      </c>
      <c r="GQI33" t="str">
        <f t="shared" si="340"/>
        <v/>
      </c>
      <c r="GQJ33" t="str">
        <f t="shared" si="340"/>
        <v/>
      </c>
      <c r="GQK33" t="str">
        <f t="shared" si="340"/>
        <v/>
      </c>
      <c r="GQL33" t="str">
        <f t="shared" si="340"/>
        <v/>
      </c>
      <c r="GQM33" t="str">
        <f t="shared" si="340"/>
        <v/>
      </c>
      <c r="GQN33" t="str">
        <f t="shared" si="340"/>
        <v/>
      </c>
      <c r="GQO33" t="str">
        <f t="shared" si="340"/>
        <v/>
      </c>
      <c r="GQP33" t="str">
        <f t="shared" si="340"/>
        <v/>
      </c>
      <c r="GQQ33" t="str">
        <f t="shared" si="340"/>
        <v/>
      </c>
      <c r="GQR33" t="str">
        <f t="shared" si="340"/>
        <v/>
      </c>
      <c r="GQS33" t="str">
        <f t="shared" si="340"/>
        <v/>
      </c>
      <c r="GQT33" t="str">
        <f t="shared" si="340"/>
        <v/>
      </c>
      <c r="GQU33" t="str">
        <f t="shared" si="340"/>
        <v/>
      </c>
      <c r="GQV33" t="str">
        <f t="shared" si="340"/>
        <v/>
      </c>
      <c r="GQW33" t="str">
        <f t="shared" ref="GQW33:GTH33" si="341">TRIM(GRN17)</f>
        <v/>
      </c>
      <c r="GQX33" t="str">
        <f t="shared" si="341"/>
        <v/>
      </c>
      <c r="GQY33" t="str">
        <f t="shared" si="341"/>
        <v/>
      </c>
      <c r="GQZ33" t="str">
        <f t="shared" si="341"/>
        <v/>
      </c>
      <c r="GRA33" t="str">
        <f t="shared" si="341"/>
        <v/>
      </c>
      <c r="GRB33" t="str">
        <f t="shared" si="341"/>
        <v/>
      </c>
      <c r="GRC33" t="str">
        <f t="shared" si="341"/>
        <v/>
      </c>
      <c r="GRD33" t="str">
        <f t="shared" si="341"/>
        <v/>
      </c>
      <c r="GRE33" t="str">
        <f t="shared" si="341"/>
        <v/>
      </c>
      <c r="GRF33" t="str">
        <f t="shared" si="341"/>
        <v/>
      </c>
      <c r="GRG33" t="str">
        <f t="shared" si="341"/>
        <v/>
      </c>
      <c r="GRH33" t="str">
        <f t="shared" si="341"/>
        <v/>
      </c>
      <c r="GRI33" t="str">
        <f t="shared" si="341"/>
        <v/>
      </c>
      <c r="GRJ33" t="str">
        <f t="shared" si="341"/>
        <v/>
      </c>
      <c r="GRK33" t="str">
        <f t="shared" si="341"/>
        <v/>
      </c>
      <c r="GRL33" t="str">
        <f t="shared" si="341"/>
        <v/>
      </c>
      <c r="GRM33" t="str">
        <f t="shared" si="341"/>
        <v/>
      </c>
      <c r="GRN33" t="str">
        <f t="shared" si="341"/>
        <v/>
      </c>
      <c r="GRO33" t="str">
        <f t="shared" si="341"/>
        <v/>
      </c>
      <c r="GRP33" t="str">
        <f t="shared" si="341"/>
        <v/>
      </c>
      <c r="GRQ33" t="str">
        <f t="shared" si="341"/>
        <v/>
      </c>
      <c r="GRR33" t="str">
        <f t="shared" si="341"/>
        <v/>
      </c>
      <c r="GRS33" t="str">
        <f t="shared" si="341"/>
        <v/>
      </c>
      <c r="GRT33" t="str">
        <f t="shared" si="341"/>
        <v/>
      </c>
      <c r="GRU33" t="str">
        <f t="shared" si="341"/>
        <v/>
      </c>
      <c r="GRV33" t="str">
        <f t="shared" si="341"/>
        <v/>
      </c>
      <c r="GRW33" t="str">
        <f t="shared" si="341"/>
        <v/>
      </c>
      <c r="GRX33" t="str">
        <f t="shared" si="341"/>
        <v/>
      </c>
      <c r="GRY33" t="str">
        <f t="shared" si="341"/>
        <v/>
      </c>
      <c r="GRZ33" t="str">
        <f t="shared" si="341"/>
        <v/>
      </c>
      <c r="GSA33" t="str">
        <f t="shared" si="341"/>
        <v/>
      </c>
      <c r="GSB33" t="str">
        <f t="shared" si="341"/>
        <v/>
      </c>
      <c r="GSC33" t="str">
        <f t="shared" si="341"/>
        <v/>
      </c>
      <c r="GSD33" t="str">
        <f t="shared" si="341"/>
        <v/>
      </c>
      <c r="GSE33" t="str">
        <f t="shared" si="341"/>
        <v/>
      </c>
      <c r="GSF33" t="str">
        <f t="shared" si="341"/>
        <v/>
      </c>
      <c r="GSG33" t="str">
        <f t="shared" si="341"/>
        <v/>
      </c>
      <c r="GSH33" t="str">
        <f t="shared" si="341"/>
        <v/>
      </c>
      <c r="GSI33" t="str">
        <f t="shared" si="341"/>
        <v/>
      </c>
      <c r="GSJ33" t="str">
        <f t="shared" si="341"/>
        <v/>
      </c>
      <c r="GSK33" t="str">
        <f t="shared" si="341"/>
        <v/>
      </c>
      <c r="GSL33" t="str">
        <f t="shared" si="341"/>
        <v/>
      </c>
      <c r="GSM33" t="str">
        <f t="shared" si="341"/>
        <v/>
      </c>
      <c r="GSN33" t="str">
        <f t="shared" si="341"/>
        <v/>
      </c>
      <c r="GSO33" t="str">
        <f t="shared" si="341"/>
        <v/>
      </c>
      <c r="GSP33" t="str">
        <f t="shared" si="341"/>
        <v/>
      </c>
      <c r="GSQ33" t="str">
        <f t="shared" si="341"/>
        <v/>
      </c>
      <c r="GSR33" t="str">
        <f t="shared" si="341"/>
        <v/>
      </c>
      <c r="GSS33" t="str">
        <f t="shared" si="341"/>
        <v/>
      </c>
      <c r="GST33" t="str">
        <f t="shared" si="341"/>
        <v/>
      </c>
      <c r="GSU33" t="str">
        <f t="shared" si="341"/>
        <v/>
      </c>
      <c r="GSV33" t="str">
        <f t="shared" si="341"/>
        <v/>
      </c>
      <c r="GSW33" t="str">
        <f t="shared" si="341"/>
        <v/>
      </c>
      <c r="GSX33" t="str">
        <f t="shared" si="341"/>
        <v/>
      </c>
      <c r="GSY33" t="str">
        <f t="shared" si="341"/>
        <v/>
      </c>
      <c r="GSZ33" t="str">
        <f t="shared" si="341"/>
        <v/>
      </c>
      <c r="GTA33" t="str">
        <f t="shared" si="341"/>
        <v/>
      </c>
      <c r="GTB33" t="str">
        <f t="shared" si="341"/>
        <v/>
      </c>
      <c r="GTC33" t="str">
        <f t="shared" si="341"/>
        <v/>
      </c>
      <c r="GTD33" t="str">
        <f t="shared" si="341"/>
        <v/>
      </c>
      <c r="GTE33" t="str">
        <f t="shared" si="341"/>
        <v/>
      </c>
      <c r="GTF33" t="str">
        <f t="shared" si="341"/>
        <v/>
      </c>
      <c r="GTG33" t="str">
        <f t="shared" si="341"/>
        <v/>
      </c>
      <c r="GTH33" t="str">
        <f t="shared" si="341"/>
        <v/>
      </c>
      <c r="GTI33" t="str">
        <f t="shared" ref="GTI33:GVT33" si="342">TRIM(GTZ17)</f>
        <v/>
      </c>
      <c r="GTJ33" t="str">
        <f t="shared" si="342"/>
        <v/>
      </c>
      <c r="GTK33" t="str">
        <f t="shared" si="342"/>
        <v/>
      </c>
      <c r="GTL33" t="str">
        <f t="shared" si="342"/>
        <v/>
      </c>
      <c r="GTM33" t="str">
        <f t="shared" si="342"/>
        <v/>
      </c>
      <c r="GTN33" t="str">
        <f t="shared" si="342"/>
        <v/>
      </c>
      <c r="GTO33" t="str">
        <f t="shared" si="342"/>
        <v/>
      </c>
      <c r="GTP33" t="str">
        <f t="shared" si="342"/>
        <v/>
      </c>
      <c r="GTQ33" t="str">
        <f t="shared" si="342"/>
        <v/>
      </c>
      <c r="GTR33" t="str">
        <f t="shared" si="342"/>
        <v/>
      </c>
      <c r="GTS33" t="str">
        <f t="shared" si="342"/>
        <v/>
      </c>
      <c r="GTT33" t="str">
        <f t="shared" si="342"/>
        <v/>
      </c>
      <c r="GTU33" t="str">
        <f t="shared" si="342"/>
        <v/>
      </c>
      <c r="GTV33" t="str">
        <f t="shared" si="342"/>
        <v/>
      </c>
      <c r="GTW33" t="str">
        <f t="shared" si="342"/>
        <v/>
      </c>
      <c r="GTX33" t="str">
        <f t="shared" si="342"/>
        <v/>
      </c>
      <c r="GTY33" t="str">
        <f t="shared" si="342"/>
        <v/>
      </c>
      <c r="GTZ33" t="str">
        <f t="shared" si="342"/>
        <v/>
      </c>
      <c r="GUA33" t="str">
        <f t="shared" si="342"/>
        <v/>
      </c>
      <c r="GUB33" t="str">
        <f t="shared" si="342"/>
        <v/>
      </c>
      <c r="GUC33" t="str">
        <f t="shared" si="342"/>
        <v/>
      </c>
      <c r="GUD33" t="str">
        <f t="shared" si="342"/>
        <v/>
      </c>
      <c r="GUE33" t="str">
        <f t="shared" si="342"/>
        <v/>
      </c>
      <c r="GUF33" t="str">
        <f t="shared" si="342"/>
        <v/>
      </c>
      <c r="GUG33" t="str">
        <f t="shared" si="342"/>
        <v/>
      </c>
      <c r="GUH33" t="str">
        <f t="shared" si="342"/>
        <v/>
      </c>
      <c r="GUI33" t="str">
        <f t="shared" si="342"/>
        <v/>
      </c>
      <c r="GUJ33" t="str">
        <f t="shared" si="342"/>
        <v/>
      </c>
      <c r="GUK33" t="str">
        <f t="shared" si="342"/>
        <v/>
      </c>
      <c r="GUL33" t="str">
        <f t="shared" si="342"/>
        <v/>
      </c>
      <c r="GUM33" t="str">
        <f t="shared" si="342"/>
        <v/>
      </c>
      <c r="GUN33" t="str">
        <f t="shared" si="342"/>
        <v/>
      </c>
      <c r="GUO33" t="str">
        <f t="shared" si="342"/>
        <v/>
      </c>
      <c r="GUP33" t="str">
        <f t="shared" si="342"/>
        <v/>
      </c>
      <c r="GUQ33" t="str">
        <f t="shared" si="342"/>
        <v/>
      </c>
      <c r="GUR33" t="str">
        <f t="shared" si="342"/>
        <v/>
      </c>
      <c r="GUS33" t="str">
        <f t="shared" si="342"/>
        <v/>
      </c>
      <c r="GUT33" t="str">
        <f t="shared" si="342"/>
        <v/>
      </c>
      <c r="GUU33" t="str">
        <f t="shared" si="342"/>
        <v/>
      </c>
      <c r="GUV33" t="str">
        <f t="shared" si="342"/>
        <v/>
      </c>
      <c r="GUW33" t="str">
        <f t="shared" si="342"/>
        <v/>
      </c>
      <c r="GUX33" t="str">
        <f t="shared" si="342"/>
        <v/>
      </c>
      <c r="GUY33" t="str">
        <f t="shared" si="342"/>
        <v/>
      </c>
      <c r="GUZ33" t="str">
        <f t="shared" si="342"/>
        <v/>
      </c>
      <c r="GVA33" t="str">
        <f t="shared" si="342"/>
        <v/>
      </c>
      <c r="GVB33" t="str">
        <f t="shared" si="342"/>
        <v/>
      </c>
      <c r="GVC33" t="str">
        <f t="shared" si="342"/>
        <v/>
      </c>
      <c r="GVD33" t="str">
        <f t="shared" si="342"/>
        <v/>
      </c>
      <c r="GVE33" t="str">
        <f t="shared" si="342"/>
        <v/>
      </c>
      <c r="GVF33" t="str">
        <f t="shared" si="342"/>
        <v/>
      </c>
      <c r="GVG33" t="str">
        <f t="shared" si="342"/>
        <v/>
      </c>
      <c r="GVH33" t="str">
        <f t="shared" si="342"/>
        <v/>
      </c>
      <c r="GVI33" t="str">
        <f t="shared" si="342"/>
        <v/>
      </c>
      <c r="GVJ33" t="str">
        <f t="shared" si="342"/>
        <v/>
      </c>
      <c r="GVK33" t="str">
        <f t="shared" si="342"/>
        <v/>
      </c>
      <c r="GVL33" t="str">
        <f t="shared" si="342"/>
        <v/>
      </c>
      <c r="GVM33" t="str">
        <f t="shared" si="342"/>
        <v/>
      </c>
      <c r="GVN33" t="str">
        <f t="shared" si="342"/>
        <v/>
      </c>
      <c r="GVO33" t="str">
        <f t="shared" si="342"/>
        <v/>
      </c>
      <c r="GVP33" t="str">
        <f t="shared" si="342"/>
        <v/>
      </c>
      <c r="GVQ33" t="str">
        <f t="shared" si="342"/>
        <v/>
      </c>
      <c r="GVR33" t="str">
        <f t="shared" si="342"/>
        <v/>
      </c>
      <c r="GVS33" t="str">
        <f t="shared" si="342"/>
        <v/>
      </c>
      <c r="GVT33" t="str">
        <f t="shared" si="342"/>
        <v/>
      </c>
      <c r="GVU33" t="str">
        <f t="shared" ref="GVU33:GYF33" si="343">TRIM(GWL17)</f>
        <v/>
      </c>
      <c r="GVV33" t="str">
        <f t="shared" si="343"/>
        <v/>
      </c>
      <c r="GVW33" t="str">
        <f t="shared" si="343"/>
        <v/>
      </c>
      <c r="GVX33" t="str">
        <f t="shared" si="343"/>
        <v/>
      </c>
      <c r="GVY33" t="str">
        <f t="shared" si="343"/>
        <v/>
      </c>
      <c r="GVZ33" t="str">
        <f t="shared" si="343"/>
        <v/>
      </c>
      <c r="GWA33" t="str">
        <f t="shared" si="343"/>
        <v/>
      </c>
      <c r="GWB33" t="str">
        <f t="shared" si="343"/>
        <v/>
      </c>
      <c r="GWC33" t="str">
        <f t="shared" si="343"/>
        <v/>
      </c>
      <c r="GWD33" t="str">
        <f t="shared" si="343"/>
        <v/>
      </c>
      <c r="GWE33" t="str">
        <f t="shared" si="343"/>
        <v/>
      </c>
      <c r="GWF33" t="str">
        <f t="shared" si="343"/>
        <v/>
      </c>
      <c r="GWG33" t="str">
        <f t="shared" si="343"/>
        <v/>
      </c>
      <c r="GWH33" t="str">
        <f t="shared" si="343"/>
        <v/>
      </c>
      <c r="GWI33" t="str">
        <f t="shared" si="343"/>
        <v/>
      </c>
      <c r="GWJ33" t="str">
        <f t="shared" si="343"/>
        <v/>
      </c>
      <c r="GWK33" t="str">
        <f t="shared" si="343"/>
        <v/>
      </c>
      <c r="GWL33" t="str">
        <f t="shared" si="343"/>
        <v/>
      </c>
      <c r="GWM33" t="str">
        <f t="shared" si="343"/>
        <v/>
      </c>
      <c r="GWN33" t="str">
        <f t="shared" si="343"/>
        <v/>
      </c>
      <c r="GWO33" t="str">
        <f t="shared" si="343"/>
        <v/>
      </c>
      <c r="GWP33" t="str">
        <f t="shared" si="343"/>
        <v/>
      </c>
      <c r="GWQ33" t="str">
        <f t="shared" si="343"/>
        <v/>
      </c>
      <c r="GWR33" t="str">
        <f t="shared" si="343"/>
        <v/>
      </c>
      <c r="GWS33" t="str">
        <f t="shared" si="343"/>
        <v/>
      </c>
      <c r="GWT33" t="str">
        <f t="shared" si="343"/>
        <v/>
      </c>
      <c r="GWU33" t="str">
        <f t="shared" si="343"/>
        <v/>
      </c>
      <c r="GWV33" t="str">
        <f t="shared" si="343"/>
        <v/>
      </c>
      <c r="GWW33" t="str">
        <f t="shared" si="343"/>
        <v/>
      </c>
      <c r="GWX33" t="str">
        <f t="shared" si="343"/>
        <v/>
      </c>
      <c r="GWY33" t="str">
        <f t="shared" si="343"/>
        <v/>
      </c>
      <c r="GWZ33" t="str">
        <f t="shared" si="343"/>
        <v/>
      </c>
      <c r="GXA33" t="str">
        <f t="shared" si="343"/>
        <v/>
      </c>
      <c r="GXB33" t="str">
        <f t="shared" si="343"/>
        <v/>
      </c>
      <c r="GXC33" t="str">
        <f t="shared" si="343"/>
        <v/>
      </c>
      <c r="GXD33" t="str">
        <f t="shared" si="343"/>
        <v/>
      </c>
      <c r="GXE33" t="str">
        <f t="shared" si="343"/>
        <v/>
      </c>
      <c r="GXF33" t="str">
        <f t="shared" si="343"/>
        <v/>
      </c>
      <c r="GXG33" t="str">
        <f t="shared" si="343"/>
        <v/>
      </c>
      <c r="GXH33" t="str">
        <f t="shared" si="343"/>
        <v/>
      </c>
      <c r="GXI33" t="str">
        <f t="shared" si="343"/>
        <v/>
      </c>
      <c r="GXJ33" t="str">
        <f t="shared" si="343"/>
        <v/>
      </c>
      <c r="GXK33" t="str">
        <f t="shared" si="343"/>
        <v/>
      </c>
      <c r="GXL33" t="str">
        <f t="shared" si="343"/>
        <v/>
      </c>
      <c r="GXM33" t="str">
        <f t="shared" si="343"/>
        <v/>
      </c>
      <c r="GXN33" t="str">
        <f t="shared" si="343"/>
        <v/>
      </c>
      <c r="GXO33" t="str">
        <f t="shared" si="343"/>
        <v/>
      </c>
      <c r="GXP33" t="str">
        <f t="shared" si="343"/>
        <v/>
      </c>
      <c r="GXQ33" t="str">
        <f t="shared" si="343"/>
        <v/>
      </c>
      <c r="GXR33" t="str">
        <f t="shared" si="343"/>
        <v/>
      </c>
      <c r="GXS33" t="str">
        <f t="shared" si="343"/>
        <v/>
      </c>
      <c r="GXT33" t="str">
        <f t="shared" si="343"/>
        <v/>
      </c>
      <c r="GXU33" t="str">
        <f t="shared" si="343"/>
        <v/>
      </c>
      <c r="GXV33" t="str">
        <f t="shared" si="343"/>
        <v/>
      </c>
      <c r="GXW33" t="str">
        <f t="shared" si="343"/>
        <v/>
      </c>
      <c r="GXX33" t="str">
        <f t="shared" si="343"/>
        <v/>
      </c>
      <c r="GXY33" t="str">
        <f t="shared" si="343"/>
        <v/>
      </c>
      <c r="GXZ33" t="str">
        <f t="shared" si="343"/>
        <v/>
      </c>
      <c r="GYA33" t="str">
        <f t="shared" si="343"/>
        <v/>
      </c>
      <c r="GYB33" t="str">
        <f t="shared" si="343"/>
        <v/>
      </c>
      <c r="GYC33" t="str">
        <f t="shared" si="343"/>
        <v/>
      </c>
      <c r="GYD33" t="str">
        <f t="shared" si="343"/>
        <v/>
      </c>
      <c r="GYE33" t="str">
        <f t="shared" si="343"/>
        <v/>
      </c>
      <c r="GYF33" t="str">
        <f t="shared" si="343"/>
        <v/>
      </c>
      <c r="GYG33" t="str">
        <f t="shared" ref="GYG33:HAR33" si="344">TRIM(GYX17)</f>
        <v/>
      </c>
      <c r="GYH33" t="str">
        <f t="shared" si="344"/>
        <v/>
      </c>
      <c r="GYI33" t="str">
        <f t="shared" si="344"/>
        <v/>
      </c>
      <c r="GYJ33" t="str">
        <f t="shared" si="344"/>
        <v/>
      </c>
      <c r="GYK33" t="str">
        <f t="shared" si="344"/>
        <v/>
      </c>
      <c r="GYL33" t="str">
        <f t="shared" si="344"/>
        <v/>
      </c>
      <c r="GYM33" t="str">
        <f t="shared" si="344"/>
        <v/>
      </c>
      <c r="GYN33" t="str">
        <f t="shared" si="344"/>
        <v/>
      </c>
      <c r="GYO33" t="str">
        <f t="shared" si="344"/>
        <v/>
      </c>
      <c r="GYP33" t="str">
        <f t="shared" si="344"/>
        <v/>
      </c>
      <c r="GYQ33" t="str">
        <f t="shared" si="344"/>
        <v/>
      </c>
      <c r="GYR33" t="str">
        <f t="shared" si="344"/>
        <v/>
      </c>
      <c r="GYS33" t="str">
        <f t="shared" si="344"/>
        <v/>
      </c>
      <c r="GYT33" t="str">
        <f t="shared" si="344"/>
        <v/>
      </c>
      <c r="GYU33" t="str">
        <f t="shared" si="344"/>
        <v/>
      </c>
      <c r="GYV33" t="str">
        <f t="shared" si="344"/>
        <v/>
      </c>
      <c r="GYW33" t="str">
        <f t="shared" si="344"/>
        <v/>
      </c>
      <c r="GYX33" t="str">
        <f t="shared" si="344"/>
        <v/>
      </c>
      <c r="GYY33" t="str">
        <f t="shared" si="344"/>
        <v/>
      </c>
      <c r="GYZ33" t="str">
        <f t="shared" si="344"/>
        <v/>
      </c>
      <c r="GZA33" t="str">
        <f t="shared" si="344"/>
        <v/>
      </c>
      <c r="GZB33" t="str">
        <f t="shared" si="344"/>
        <v/>
      </c>
      <c r="GZC33" t="str">
        <f t="shared" si="344"/>
        <v/>
      </c>
      <c r="GZD33" t="str">
        <f t="shared" si="344"/>
        <v/>
      </c>
      <c r="GZE33" t="str">
        <f t="shared" si="344"/>
        <v/>
      </c>
      <c r="GZF33" t="str">
        <f t="shared" si="344"/>
        <v/>
      </c>
      <c r="GZG33" t="str">
        <f t="shared" si="344"/>
        <v/>
      </c>
      <c r="GZH33" t="str">
        <f t="shared" si="344"/>
        <v/>
      </c>
      <c r="GZI33" t="str">
        <f t="shared" si="344"/>
        <v/>
      </c>
      <c r="GZJ33" t="str">
        <f t="shared" si="344"/>
        <v/>
      </c>
      <c r="GZK33" t="str">
        <f t="shared" si="344"/>
        <v/>
      </c>
      <c r="GZL33" t="str">
        <f t="shared" si="344"/>
        <v/>
      </c>
      <c r="GZM33" t="str">
        <f t="shared" si="344"/>
        <v/>
      </c>
      <c r="GZN33" t="str">
        <f t="shared" si="344"/>
        <v/>
      </c>
      <c r="GZO33" t="str">
        <f t="shared" si="344"/>
        <v/>
      </c>
      <c r="GZP33" t="str">
        <f t="shared" si="344"/>
        <v/>
      </c>
      <c r="GZQ33" t="str">
        <f t="shared" si="344"/>
        <v/>
      </c>
      <c r="GZR33" t="str">
        <f t="shared" si="344"/>
        <v/>
      </c>
      <c r="GZS33" t="str">
        <f t="shared" si="344"/>
        <v/>
      </c>
      <c r="GZT33" t="str">
        <f t="shared" si="344"/>
        <v/>
      </c>
      <c r="GZU33" t="str">
        <f t="shared" si="344"/>
        <v/>
      </c>
      <c r="GZV33" t="str">
        <f t="shared" si="344"/>
        <v/>
      </c>
      <c r="GZW33" t="str">
        <f t="shared" si="344"/>
        <v/>
      </c>
      <c r="GZX33" t="str">
        <f t="shared" si="344"/>
        <v/>
      </c>
      <c r="GZY33" t="str">
        <f t="shared" si="344"/>
        <v/>
      </c>
      <c r="GZZ33" t="str">
        <f t="shared" si="344"/>
        <v/>
      </c>
      <c r="HAA33" t="str">
        <f t="shared" si="344"/>
        <v/>
      </c>
      <c r="HAB33" t="str">
        <f t="shared" si="344"/>
        <v/>
      </c>
      <c r="HAC33" t="str">
        <f t="shared" si="344"/>
        <v/>
      </c>
      <c r="HAD33" t="str">
        <f t="shared" si="344"/>
        <v/>
      </c>
      <c r="HAE33" t="str">
        <f t="shared" si="344"/>
        <v/>
      </c>
      <c r="HAF33" t="str">
        <f t="shared" si="344"/>
        <v/>
      </c>
      <c r="HAG33" t="str">
        <f t="shared" si="344"/>
        <v/>
      </c>
      <c r="HAH33" t="str">
        <f t="shared" si="344"/>
        <v/>
      </c>
      <c r="HAI33" t="str">
        <f t="shared" si="344"/>
        <v/>
      </c>
      <c r="HAJ33" t="str">
        <f t="shared" si="344"/>
        <v/>
      </c>
      <c r="HAK33" t="str">
        <f t="shared" si="344"/>
        <v/>
      </c>
      <c r="HAL33" t="str">
        <f t="shared" si="344"/>
        <v/>
      </c>
      <c r="HAM33" t="str">
        <f t="shared" si="344"/>
        <v/>
      </c>
      <c r="HAN33" t="str">
        <f t="shared" si="344"/>
        <v/>
      </c>
      <c r="HAO33" t="str">
        <f t="shared" si="344"/>
        <v/>
      </c>
      <c r="HAP33" t="str">
        <f t="shared" si="344"/>
        <v/>
      </c>
      <c r="HAQ33" t="str">
        <f t="shared" si="344"/>
        <v/>
      </c>
      <c r="HAR33" t="str">
        <f t="shared" si="344"/>
        <v/>
      </c>
      <c r="HAS33" t="str">
        <f t="shared" ref="HAS33:HDD33" si="345">TRIM(HBJ17)</f>
        <v/>
      </c>
      <c r="HAT33" t="str">
        <f t="shared" si="345"/>
        <v/>
      </c>
      <c r="HAU33" t="str">
        <f t="shared" si="345"/>
        <v/>
      </c>
      <c r="HAV33" t="str">
        <f t="shared" si="345"/>
        <v/>
      </c>
      <c r="HAW33" t="str">
        <f t="shared" si="345"/>
        <v/>
      </c>
      <c r="HAX33" t="str">
        <f t="shared" si="345"/>
        <v/>
      </c>
      <c r="HAY33" t="str">
        <f t="shared" si="345"/>
        <v/>
      </c>
      <c r="HAZ33" t="str">
        <f t="shared" si="345"/>
        <v/>
      </c>
      <c r="HBA33" t="str">
        <f t="shared" si="345"/>
        <v/>
      </c>
      <c r="HBB33" t="str">
        <f t="shared" si="345"/>
        <v/>
      </c>
      <c r="HBC33" t="str">
        <f t="shared" si="345"/>
        <v/>
      </c>
      <c r="HBD33" t="str">
        <f t="shared" si="345"/>
        <v/>
      </c>
      <c r="HBE33" t="str">
        <f t="shared" si="345"/>
        <v/>
      </c>
      <c r="HBF33" t="str">
        <f t="shared" si="345"/>
        <v/>
      </c>
      <c r="HBG33" t="str">
        <f t="shared" si="345"/>
        <v/>
      </c>
      <c r="HBH33" t="str">
        <f t="shared" si="345"/>
        <v/>
      </c>
      <c r="HBI33" t="str">
        <f t="shared" si="345"/>
        <v/>
      </c>
      <c r="HBJ33" t="str">
        <f t="shared" si="345"/>
        <v/>
      </c>
      <c r="HBK33" t="str">
        <f t="shared" si="345"/>
        <v/>
      </c>
      <c r="HBL33" t="str">
        <f t="shared" si="345"/>
        <v/>
      </c>
      <c r="HBM33" t="str">
        <f t="shared" si="345"/>
        <v/>
      </c>
      <c r="HBN33" t="str">
        <f t="shared" si="345"/>
        <v/>
      </c>
      <c r="HBO33" t="str">
        <f t="shared" si="345"/>
        <v/>
      </c>
      <c r="HBP33" t="str">
        <f t="shared" si="345"/>
        <v/>
      </c>
      <c r="HBQ33" t="str">
        <f t="shared" si="345"/>
        <v/>
      </c>
      <c r="HBR33" t="str">
        <f t="shared" si="345"/>
        <v/>
      </c>
      <c r="HBS33" t="str">
        <f t="shared" si="345"/>
        <v/>
      </c>
      <c r="HBT33" t="str">
        <f t="shared" si="345"/>
        <v/>
      </c>
      <c r="HBU33" t="str">
        <f t="shared" si="345"/>
        <v/>
      </c>
      <c r="HBV33" t="str">
        <f t="shared" si="345"/>
        <v/>
      </c>
      <c r="HBW33" t="str">
        <f t="shared" si="345"/>
        <v/>
      </c>
      <c r="HBX33" t="str">
        <f t="shared" si="345"/>
        <v/>
      </c>
      <c r="HBY33" t="str">
        <f t="shared" si="345"/>
        <v/>
      </c>
      <c r="HBZ33" t="str">
        <f t="shared" si="345"/>
        <v/>
      </c>
      <c r="HCA33" t="str">
        <f t="shared" si="345"/>
        <v/>
      </c>
      <c r="HCB33" t="str">
        <f t="shared" si="345"/>
        <v/>
      </c>
      <c r="HCC33" t="str">
        <f t="shared" si="345"/>
        <v/>
      </c>
      <c r="HCD33" t="str">
        <f t="shared" si="345"/>
        <v/>
      </c>
      <c r="HCE33" t="str">
        <f t="shared" si="345"/>
        <v/>
      </c>
      <c r="HCF33" t="str">
        <f t="shared" si="345"/>
        <v/>
      </c>
      <c r="HCG33" t="str">
        <f t="shared" si="345"/>
        <v/>
      </c>
      <c r="HCH33" t="str">
        <f t="shared" si="345"/>
        <v/>
      </c>
      <c r="HCI33" t="str">
        <f t="shared" si="345"/>
        <v/>
      </c>
      <c r="HCJ33" t="str">
        <f t="shared" si="345"/>
        <v/>
      </c>
      <c r="HCK33" t="str">
        <f t="shared" si="345"/>
        <v/>
      </c>
      <c r="HCL33" t="str">
        <f t="shared" si="345"/>
        <v/>
      </c>
      <c r="HCM33" t="str">
        <f t="shared" si="345"/>
        <v/>
      </c>
      <c r="HCN33" t="str">
        <f t="shared" si="345"/>
        <v/>
      </c>
      <c r="HCO33" t="str">
        <f t="shared" si="345"/>
        <v/>
      </c>
      <c r="HCP33" t="str">
        <f t="shared" si="345"/>
        <v/>
      </c>
      <c r="HCQ33" t="str">
        <f t="shared" si="345"/>
        <v/>
      </c>
      <c r="HCR33" t="str">
        <f t="shared" si="345"/>
        <v/>
      </c>
      <c r="HCS33" t="str">
        <f t="shared" si="345"/>
        <v/>
      </c>
      <c r="HCT33" t="str">
        <f t="shared" si="345"/>
        <v/>
      </c>
      <c r="HCU33" t="str">
        <f t="shared" si="345"/>
        <v/>
      </c>
      <c r="HCV33" t="str">
        <f t="shared" si="345"/>
        <v/>
      </c>
      <c r="HCW33" t="str">
        <f t="shared" si="345"/>
        <v/>
      </c>
      <c r="HCX33" t="str">
        <f t="shared" si="345"/>
        <v/>
      </c>
      <c r="HCY33" t="str">
        <f t="shared" si="345"/>
        <v/>
      </c>
      <c r="HCZ33" t="str">
        <f t="shared" si="345"/>
        <v/>
      </c>
      <c r="HDA33" t="str">
        <f t="shared" si="345"/>
        <v/>
      </c>
      <c r="HDB33" t="str">
        <f t="shared" si="345"/>
        <v/>
      </c>
      <c r="HDC33" t="str">
        <f t="shared" si="345"/>
        <v/>
      </c>
      <c r="HDD33" t="str">
        <f t="shared" si="345"/>
        <v/>
      </c>
      <c r="HDE33" t="str">
        <f t="shared" ref="HDE33:HFP33" si="346">TRIM(HDV17)</f>
        <v/>
      </c>
      <c r="HDF33" t="str">
        <f t="shared" si="346"/>
        <v/>
      </c>
      <c r="HDG33" t="str">
        <f t="shared" si="346"/>
        <v/>
      </c>
      <c r="HDH33" t="str">
        <f t="shared" si="346"/>
        <v/>
      </c>
      <c r="HDI33" t="str">
        <f t="shared" si="346"/>
        <v/>
      </c>
      <c r="HDJ33" t="str">
        <f t="shared" si="346"/>
        <v/>
      </c>
      <c r="HDK33" t="str">
        <f t="shared" si="346"/>
        <v/>
      </c>
      <c r="HDL33" t="str">
        <f t="shared" si="346"/>
        <v/>
      </c>
      <c r="HDM33" t="str">
        <f t="shared" si="346"/>
        <v/>
      </c>
      <c r="HDN33" t="str">
        <f t="shared" si="346"/>
        <v/>
      </c>
      <c r="HDO33" t="str">
        <f t="shared" si="346"/>
        <v/>
      </c>
      <c r="HDP33" t="str">
        <f t="shared" si="346"/>
        <v/>
      </c>
      <c r="HDQ33" t="str">
        <f t="shared" si="346"/>
        <v/>
      </c>
      <c r="HDR33" t="str">
        <f t="shared" si="346"/>
        <v/>
      </c>
      <c r="HDS33" t="str">
        <f t="shared" si="346"/>
        <v/>
      </c>
      <c r="HDT33" t="str">
        <f t="shared" si="346"/>
        <v/>
      </c>
      <c r="HDU33" t="str">
        <f t="shared" si="346"/>
        <v/>
      </c>
      <c r="HDV33" t="str">
        <f t="shared" si="346"/>
        <v/>
      </c>
      <c r="HDW33" t="str">
        <f t="shared" si="346"/>
        <v/>
      </c>
      <c r="HDX33" t="str">
        <f t="shared" si="346"/>
        <v/>
      </c>
      <c r="HDY33" t="str">
        <f t="shared" si="346"/>
        <v/>
      </c>
      <c r="HDZ33" t="str">
        <f t="shared" si="346"/>
        <v/>
      </c>
      <c r="HEA33" t="str">
        <f t="shared" si="346"/>
        <v/>
      </c>
      <c r="HEB33" t="str">
        <f t="shared" si="346"/>
        <v/>
      </c>
      <c r="HEC33" t="str">
        <f t="shared" si="346"/>
        <v/>
      </c>
      <c r="HED33" t="str">
        <f t="shared" si="346"/>
        <v/>
      </c>
      <c r="HEE33" t="str">
        <f t="shared" si="346"/>
        <v/>
      </c>
      <c r="HEF33" t="str">
        <f t="shared" si="346"/>
        <v/>
      </c>
      <c r="HEG33" t="str">
        <f t="shared" si="346"/>
        <v/>
      </c>
      <c r="HEH33" t="str">
        <f t="shared" si="346"/>
        <v/>
      </c>
      <c r="HEI33" t="str">
        <f t="shared" si="346"/>
        <v/>
      </c>
      <c r="HEJ33" t="str">
        <f t="shared" si="346"/>
        <v/>
      </c>
      <c r="HEK33" t="str">
        <f t="shared" si="346"/>
        <v/>
      </c>
      <c r="HEL33" t="str">
        <f t="shared" si="346"/>
        <v/>
      </c>
      <c r="HEM33" t="str">
        <f t="shared" si="346"/>
        <v/>
      </c>
      <c r="HEN33" t="str">
        <f t="shared" si="346"/>
        <v/>
      </c>
      <c r="HEO33" t="str">
        <f t="shared" si="346"/>
        <v/>
      </c>
      <c r="HEP33" t="str">
        <f t="shared" si="346"/>
        <v/>
      </c>
      <c r="HEQ33" t="str">
        <f t="shared" si="346"/>
        <v/>
      </c>
      <c r="HER33" t="str">
        <f t="shared" si="346"/>
        <v/>
      </c>
      <c r="HES33" t="str">
        <f t="shared" si="346"/>
        <v/>
      </c>
      <c r="HET33" t="str">
        <f t="shared" si="346"/>
        <v/>
      </c>
      <c r="HEU33" t="str">
        <f t="shared" si="346"/>
        <v/>
      </c>
      <c r="HEV33" t="str">
        <f t="shared" si="346"/>
        <v/>
      </c>
      <c r="HEW33" t="str">
        <f t="shared" si="346"/>
        <v/>
      </c>
      <c r="HEX33" t="str">
        <f t="shared" si="346"/>
        <v/>
      </c>
      <c r="HEY33" t="str">
        <f t="shared" si="346"/>
        <v/>
      </c>
      <c r="HEZ33" t="str">
        <f t="shared" si="346"/>
        <v/>
      </c>
      <c r="HFA33" t="str">
        <f t="shared" si="346"/>
        <v/>
      </c>
      <c r="HFB33" t="str">
        <f t="shared" si="346"/>
        <v/>
      </c>
      <c r="HFC33" t="str">
        <f t="shared" si="346"/>
        <v/>
      </c>
      <c r="HFD33" t="str">
        <f t="shared" si="346"/>
        <v/>
      </c>
      <c r="HFE33" t="str">
        <f t="shared" si="346"/>
        <v/>
      </c>
      <c r="HFF33" t="str">
        <f t="shared" si="346"/>
        <v/>
      </c>
      <c r="HFG33" t="str">
        <f t="shared" si="346"/>
        <v/>
      </c>
      <c r="HFH33" t="str">
        <f t="shared" si="346"/>
        <v/>
      </c>
      <c r="HFI33" t="str">
        <f t="shared" si="346"/>
        <v/>
      </c>
      <c r="HFJ33" t="str">
        <f t="shared" si="346"/>
        <v/>
      </c>
      <c r="HFK33" t="str">
        <f t="shared" si="346"/>
        <v/>
      </c>
      <c r="HFL33" t="str">
        <f t="shared" si="346"/>
        <v/>
      </c>
      <c r="HFM33" t="str">
        <f t="shared" si="346"/>
        <v/>
      </c>
      <c r="HFN33" t="str">
        <f t="shared" si="346"/>
        <v/>
      </c>
      <c r="HFO33" t="str">
        <f t="shared" si="346"/>
        <v/>
      </c>
      <c r="HFP33" t="str">
        <f t="shared" si="346"/>
        <v/>
      </c>
      <c r="HFQ33" t="str">
        <f t="shared" ref="HFQ33:HIB33" si="347">TRIM(HGH17)</f>
        <v/>
      </c>
      <c r="HFR33" t="str">
        <f t="shared" si="347"/>
        <v/>
      </c>
      <c r="HFS33" t="str">
        <f t="shared" si="347"/>
        <v/>
      </c>
      <c r="HFT33" t="str">
        <f t="shared" si="347"/>
        <v/>
      </c>
      <c r="HFU33" t="str">
        <f t="shared" si="347"/>
        <v/>
      </c>
      <c r="HFV33" t="str">
        <f t="shared" si="347"/>
        <v/>
      </c>
      <c r="HFW33" t="str">
        <f t="shared" si="347"/>
        <v/>
      </c>
      <c r="HFX33" t="str">
        <f t="shared" si="347"/>
        <v/>
      </c>
      <c r="HFY33" t="str">
        <f t="shared" si="347"/>
        <v/>
      </c>
      <c r="HFZ33" t="str">
        <f t="shared" si="347"/>
        <v/>
      </c>
      <c r="HGA33" t="str">
        <f t="shared" si="347"/>
        <v/>
      </c>
      <c r="HGB33" t="str">
        <f t="shared" si="347"/>
        <v/>
      </c>
      <c r="HGC33" t="str">
        <f t="shared" si="347"/>
        <v/>
      </c>
      <c r="HGD33" t="str">
        <f t="shared" si="347"/>
        <v/>
      </c>
      <c r="HGE33" t="str">
        <f t="shared" si="347"/>
        <v/>
      </c>
      <c r="HGF33" t="str">
        <f t="shared" si="347"/>
        <v/>
      </c>
      <c r="HGG33" t="str">
        <f t="shared" si="347"/>
        <v/>
      </c>
      <c r="HGH33" t="str">
        <f t="shared" si="347"/>
        <v/>
      </c>
      <c r="HGI33" t="str">
        <f t="shared" si="347"/>
        <v/>
      </c>
      <c r="HGJ33" t="str">
        <f t="shared" si="347"/>
        <v/>
      </c>
      <c r="HGK33" t="str">
        <f t="shared" si="347"/>
        <v/>
      </c>
      <c r="HGL33" t="str">
        <f t="shared" si="347"/>
        <v/>
      </c>
      <c r="HGM33" t="str">
        <f t="shared" si="347"/>
        <v/>
      </c>
      <c r="HGN33" t="str">
        <f t="shared" si="347"/>
        <v/>
      </c>
      <c r="HGO33" t="str">
        <f t="shared" si="347"/>
        <v/>
      </c>
      <c r="HGP33" t="str">
        <f t="shared" si="347"/>
        <v/>
      </c>
      <c r="HGQ33" t="str">
        <f t="shared" si="347"/>
        <v/>
      </c>
      <c r="HGR33" t="str">
        <f t="shared" si="347"/>
        <v/>
      </c>
      <c r="HGS33" t="str">
        <f t="shared" si="347"/>
        <v/>
      </c>
      <c r="HGT33" t="str">
        <f t="shared" si="347"/>
        <v/>
      </c>
      <c r="HGU33" t="str">
        <f t="shared" si="347"/>
        <v/>
      </c>
      <c r="HGV33" t="str">
        <f t="shared" si="347"/>
        <v/>
      </c>
      <c r="HGW33" t="str">
        <f t="shared" si="347"/>
        <v/>
      </c>
      <c r="HGX33" t="str">
        <f t="shared" si="347"/>
        <v/>
      </c>
      <c r="HGY33" t="str">
        <f t="shared" si="347"/>
        <v/>
      </c>
      <c r="HGZ33" t="str">
        <f t="shared" si="347"/>
        <v/>
      </c>
      <c r="HHA33" t="str">
        <f t="shared" si="347"/>
        <v/>
      </c>
      <c r="HHB33" t="str">
        <f t="shared" si="347"/>
        <v/>
      </c>
      <c r="HHC33" t="str">
        <f t="shared" si="347"/>
        <v/>
      </c>
      <c r="HHD33" t="str">
        <f t="shared" si="347"/>
        <v/>
      </c>
      <c r="HHE33" t="str">
        <f t="shared" si="347"/>
        <v/>
      </c>
      <c r="HHF33" t="str">
        <f t="shared" si="347"/>
        <v/>
      </c>
      <c r="HHG33" t="str">
        <f t="shared" si="347"/>
        <v/>
      </c>
      <c r="HHH33" t="str">
        <f t="shared" si="347"/>
        <v/>
      </c>
      <c r="HHI33" t="str">
        <f t="shared" si="347"/>
        <v/>
      </c>
      <c r="HHJ33" t="str">
        <f t="shared" si="347"/>
        <v/>
      </c>
      <c r="HHK33" t="str">
        <f t="shared" si="347"/>
        <v/>
      </c>
      <c r="HHL33" t="str">
        <f t="shared" si="347"/>
        <v/>
      </c>
      <c r="HHM33" t="str">
        <f t="shared" si="347"/>
        <v/>
      </c>
      <c r="HHN33" t="str">
        <f t="shared" si="347"/>
        <v/>
      </c>
      <c r="HHO33" t="str">
        <f t="shared" si="347"/>
        <v/>
      </c>
      <c r="HHP33" t="str">
        <f t="shared" si="347"/>
        <v/>
      </c>
      <c r="HHQ33" t="str">
        <f t="shared" si="347"/>
        <v/>
      </c>
      <c r="HHR33" t="str">
        <f t="shared" si="347"/>
        <v/>
      </c>
      <c r="HHS33" t="str">
        <f t="shared" si="347"/>
        <v/>
      </c>
      <c r="HHT33" t="str">
        <f t="shared" si="347"/>
        <v/>
      </c>
      <c r="HHU33" t="str">
        <f t="shared" si="347"/>
        <v/>
      </c>
      <c r="HHV33" t="str">
        <f t="shared" si="347"/>
        <v/>
      </c>
      <c r="HHW33" t="str">
        <f t="shared" si="347"/>
        <v/>
      </c>
      <c r="HHX33" t="str">
        <f t="shared" si="347"/>
        <v/>
      </c>
      <c r="HHY33" t="str">
        <f t="shared" si="347"/>
        <v/>
      </c>
      <c r="HHZ33" t="str">
        <f t="shared" si="347"/>
        <v/>
      </c>
      <c r="HIA33" t="str">
        <f t="shared" si="347"/>
        <v/>
      </c>
      <c r="HIB33" t="str">
        <f t="shared" si="347"/>
        <v/>
      </c>
      <c r="HIC33" t="str">
        <f t="shared" ref="HIC33:HKN33" si="348">TRIM(HIT17)</f>
        <v/>
      </c>
      <c r="HID33" t="str">
        <f t="shared" si="348"/>
        <v/>
      </c>
      <c r="HIE33" t="str">
        <f t="shared" si="348"/>
        <v/>
      </c>
      <c r="HIF33" t="str">
        <f t="shared" si="348"/>
        <v/>
      </c>
      <c r="HIG33" t="str">
        <f t="shared" si="348"/>
        <v/>
      </c>
      <c r="HIH33" t="str">
        <f t="shared" si="348"/>
        <v/>
      </c>
      <c r="HII33" t="str">
        <f t="shared" si="348"/>
        <v/>
      </c>
      <c r="HIJ33" t="str">
        <f t="shared" si="348"/>
        <v/>
      </c>
      <c r="HIK33" t="str">
        <f t="shared" si="348"/>
        <v/>
      </c>
      <c r="HIL33" t="str">
        <f t="shared" si="348"/>
        <v/>
      </c>
      <c r="HIM33" t="str">
        <f t="shared" si="348"/>
        <v/>
      </c>
      <c r="HIN33" t="str">
        <f t="shared" si="348"/>
        <v/>
      </c>
      <c r="HIO33" t="str">
        <f t="shared" si="348"/>
        <v/>
      </c>
      <c r="HIP33" t="str">
        <f t="shared" si="348"/>
        <v/>
      </c>
      <c r="HIQ33" t="str">
        <f t="shared" si="348"/>
        <v/>
      </c>
      <c r="HIR33" t="str">
        <f t="shared" si="348"/>
        <v/>
      </c>
      <c r="HIS33" t="str">
        <f t="shared" si="348"/>
        <v/>
      </c>
      <c r="HIT33" t="str">
        <f t="shared" si="348"/>
        <v/>
      </c>
      <c r="HIU33" t="str">
        <f t="shared" si="348"/>
        <v/>
      </c>
      <c r="HIV33" t="str">
        <f t="shared" si="348"/>
        <v/>
      </c>
      <c r="HIW33" t="str">
        <f t="shared" si="348"/>
        <v/>
      </c>
      <c r="HIX33" t="str">
        <f t="shared" si="348"/>
        <v/>
      </c>
      <c r="HIY33" t="str">
        <f t="shared" si="348"/>
        <v/>
      </c>
      <c r="HIZ33" t="str">
        <f t="shared" si="348"/>
        <v/>
      </c>
      <c r="HJA33" t="str">
        <f t="shared" si="348"/>
        <v/>
      </c>
      <c r="HJB33" t="str">
        <f t="shared" si="348"/>
        <v/>
      </c>
      <c r="HJC33" t="str">
        <f t="shared" si="348"/>
        <v/>
      </c>
      <c r="HJD33" t="str">
        <f t="shared" si="348"/>
        <v/>
      </c>
      <c r="HJE33" t="str">
        <f t="shared" si="348"/>
        <v/>
      </c>
      <c r="HJF33" t="str">
        <f t="shared" si="348"/>
        <v/>
      </c>
      <c r="HJG33" t="str">
        <f t="shared" si="348"/>
        <v/>
      </c>
      <c r="HJH33" t="str">
        <f t="shared" si="348"/>
        <v/>
      </c>
      <c r="HJI33" t="str">
        <f t="shared" si="348"/>
        <v/>
      </c>
      <c r="HJJ33" t="str">
        <f t="shared" si="348"/>
        <v/>
      </c>
      <c r="HJK33" t="str">
        <f t="shared" si="348"/>
        <v/>
      </c>
      <c r="HJL33" t="str">
        <f t="shared" si="348"/>
        <v/>
      </c>
      <c r="HJM33" t="str">
        <f t="shared" si="348"/>
        <v/>
      </c>
      <c r="HJN33" t="str">
        <f t="shared" si="348"/>
        <v/>
      </c>
      <c r="HJO33" t="str">
        <f t="shared" si="348"/>
        <v/>
      </c>
      <c r="HJP33" t="str">
        <f t="shared" si="348"/>
        <v/>
      </c>
      <c r="HJQ33" t="str">
        <f t="shared" si="348"/>
        <v/>
      </c>
      <c r="HJR33" t="str">
        <f t="shared" si="348"/>
        <v/>
      </c>
      <c r="HJS33" t="str">
        <f t="shared" si="348"/>
        <v/>
      </c>
      <c r="HJT33" t="str">
        <f t="shared" si="348"/>
        <v/>
      </c>
      <c r="HJU33" t="str">
        <f t="shared" si="348"/>
        <v/>
      </c>
      <c r="HJV33" t="str">
        <f t="shared" si="348"/>
        <v/>
      </c>
      <c r="HJW33" t="str">
        <f t="shared" si="348"/>
        <v/>
      </c>
      <c r="HJX33" t="str">
        <f t="shared" si="348"/>
        <v/>
      </c>
      <c r="HJY33" t="str">
        <f t="shared" si="348"/>
        <v/>
      </c>
      <c r="HJZ33" t="str">
        <f t="shared" si="348"/>
        <v/>
      </c>
      <c r="HKA33" t="str">
        <f t="shared" si="348"/>
        <v/>
      </c>
      <c r="HKB33" t="str">
        <f t="shared" si="348"/>
        <v/>
      </c>
      <c r="HKC33" t="str">
        <f t="shared" si="348"/>
        <v/>
      </c>
      <c r="HKD33" t="str">
        <f t="shared" si="348"/>
        <v/>
      </c>
      <c r="HKE33" t="str">
        <f t="shared" si="348"/>
        <v/>
      </c>
      <c r="HKF33" t="str">
        <f t="shared" si="348"/>
        <v/>
      </c>
      <c r="HKG33" t="str">
        <f t="shared" si="348"/>
        <v/>
      </c>
      <c r="HKH33" t="str">
        <f t="shared" si="348"/>
        <v/>
      </c>
      <c r="HKI33" t="str">
        <f t="shared" si="348"/>
        <v/>
      </c>
      <c r="HKJ33" t="str">
        <f t="shared" si="348"/>
        <v/>
      </c>
      <c r="HKK33" t="str">
        <f t="shared" si="348"/>
        <v/>
      </c>
      <c r="HKL33" t="str">
        <f t="shared" si="348"/>
        <v/>
      </c>
      <c r="HKM33" t="str">
        <f t="shared" si="348"/>
        <v/>
      </c>
      <c r="HKN33" t="str">
        <f t="shared" si="348"/>
        <v/>
      </c>
      <c r="HKO33" t="str">
        <f t="shared" ref="HKO33:HMZ33" si="349">TRIM(HLF17)</f>
        <v/>
      </c>
      <c r="HKP33" t="str">
        <f t="shared" si="349"/>
        <v/>
      </c>
      <c r="HKQ33" t="str">
        <f t="shared" si="349"/>
        <v/>
      </c>
      <c r="HKR33" t="str">
        <f t="shared" si="349"/>
        <v/>
      </c>
      <c r="HKS33" t="str">
        <f t="shared" si="349"/>
        <v/>
      </c>
      <c r="HKT33" t="str">
        <f t="shared" si="349"/>
        <v/>
      </c>
      <c r="HKU33" t="str">
        <f t="shared" si="349"/>
        <v/>
      </c>
      <c r="HKV33" t="str">
        <f t="shared" si="349"/>
        <v/>
      </c>
      <c r="HKW33" t="str">
        <f t="shared" si="349"/>
        <v/>
      </c>
      <c r="HKX33" t="str">
        <f t="shared" si="349"/>
        <v/>
      </c>
      <c r="HKY33" t="str">
        <f t="shared" si="349"/>
        <v/>
      </c>
      <c r="HKZ33" t="str">
        <f t="shared" si="349"/>
        <v/>
      </c>
      <c r="HLA33" t="str">
        <f t="shared" si="349"/>
        <v/>
      </c>
      <c r="HLB33" t="str">
        <f t="shared" si="349"/>
        <v/>
      </c>
      <c r="HLC33" t="str">
        <f t="shared" si="349"/>
        <v/>
      </c>
      <c r="HLD33" t="str">
        <f t="shared" si="349"/>
        <v/>
      </c>
      <c r="HLE33" t="str">
        <f t="shared" si="349"/>
        <v/>
      </c>
      <c r="HLF33" t="str">
        <f t="shared" si="349"/>
        <v/>
      </c>
      <c r="HLG33" t="str">
        <f t="shared" si="349"/>
        <v/>
      </c>
      <c r="HLH33" t="str">
        <f t="shared" si="349"/>
        <v/>
      </c>
      <c r="HLI33" t="str">
        <f t="shared" si="349"/>
        <v/>
      </c>
      <c r="HLJ33" t="str">
        <f t="shared" si="349"/>
        <v/>
      </c>
      <c r="HLK33" t="str">
        <f t="shared" si="349"/>
        <v/>
      </c>
      <c r="HLL33" t="str">
        <f t="shared" si="349"/>
        <v/>
      </c>
      <c r="HLM33" t="str">
        <f t="shared" si="349"/>
        <v/>
      </c>
      <c r="HLN33" t="str">
        <f t="shared" si="349"/>
        <v/>
      </c>
      <c r="HLO33" t="str">
        <f t="shared" si="349"/>
        <v/>
      </c>
      <c r="HLP33" t="str">
        <f t="shared" si="349"/>
        <v/>
      </c>
      <c r="HLQ33" t="str">
        <f t="shared" si="349"/>
        <v/>
      </c>
      <c r="HLR33" t="str">
        <f t="shared" si="349"/>
        <v/>
      </c>
      <c r="HLS33" t="str">
        <f t="shared" si="349"/>
        <v/>
      </c>
      <c r="HLT33" t="str">
        <f t="shared" si="349"/>
        <v/>
      </c>
      <c r="HLU33" t="str">
        <f t="shared" si="349"/>
        <v/>
      </c>
      <c r="HLV33" t="str">
        <f t="shared" si="349"/>
        <v/>
      </c>
      <c r="HLW33" t="str">
        <f t="shared" si="349"/>
        <v/>
      </c>
      <c r="HLX33" t="str">
        <f t="shared" si="349"/>
        <v/>
      </c>
      <c r="HLY33" t="str">
        <f t="shared" si="349"/>
        <v/>
      </c>
      <c r="HLZ33" t="str">
        <f t="shared" si="349"/>
        <v/>
      </c>
      <c r="HMA33" t="str">
        <f t="shared" si="349"/>
        <v/>
      </c>
      <c r="HMB33" t="str">
        <f t="shared" si="349"/>
        <v/>
      </c>
      <c r="HMC33" t="str">
        <f t="shared" si="349"/>
        <v/>
      </c>
      <c r="HMD33" t="str">
        <f t="shared" si="349"/>
        <v/>
      </c>
      <c r="HME33" t="str">
        <f t="shared" si="349"/>
        <v/>
      </c>
      <c r="HMF33" t="str">
        <f t="shared" si="349"/>
        <v/>
      </c>
      <c r="HMG33" t="str">
        <f t="shared" si="349"/>
        <v/>
      </c>
      <c r="HMH33" t="str">
        <f t="shared" si="349"/>
        <v/>
      </c>
      <c r="HMI33" t="str">
        <f t="shared" si="349"/>
        <v/>
      </c>
      <c r="HMJ33" t="str">
        <f t="shared" si="349"/>
        <v/>
      </c>
      <c r="HMK33" t="str">
        <f t="shared" si="349"/>
        <v/>
      </c>
      <c r="HML33" t="str">
        <f t="shared" si="349"/>
        <v/>
      </c>
      <c r="HMM33" t="str">
        <f t="shared" si="349"/>
        <v/>
      </c>
      <c r="HMN33" t="str">
        <f t="shared" si="349"/>
        <v/>
      </c>
      <c r="HMO33" t="str">
        <f t="shared" si="349"/>
        <v/>
      </c>
      <c r="HMP33" t="str">
        <f t="shared" si="349"/>
        <v/>
      </c>
      <c r="HMQ33" t="str">
        <f t="shared" si="349"/>
        <v/>
      </c>
      <c r="HMR33" t="str">
        <f t="shared" si="349"/>
        <v/>
      </c>
      <c r="HMS33" t="str">
        <f t="shared" si="349"/>
        <v/>
      </c>
      <c r="HMT33" t="str">
        <f t="shared" si="349"/>
        <v/>
      </c>
      <c r="HMU33" t="str">
        <f t="shared" si="349"/>
        <v/>
      </c>
      <c r="HMV33" t="str">
        <f t="shared" si="349"/>
        <v/>
      </c>
      <c r="HMW33" t="str">
        <f t="shared" si="349"/>
        <v/>
      </c>
      <c r="HMX33" t="str">
        <f t="shared" si="349"/>
        <v/>
      </c>
      <c r="HMY33" t="str">
        <f t="shared" si="349"/>
        <v/>
      </c>
      <c r="HMZ33" t="str">
        <f t="shared" si="349"/>
        <v/>
      </c>
      <c r="HNA33" t="str">
        <f t="shared" ref="HNA33:HPL33" si="350">TRIM(HNR17)</f>
        <v/>
      </c>
      <c r="HNB33" t="str">
        <f t="shared" si="350"/>
        <v/>
      </c>
      <c r="HNC33" t="str">
        <f t="shared" si="350"/>
        <v/>
      </c>
      <c r="HND33" t="str">
        <f t="shared" si="350"/>
        <v/>
      </c>
      <c r="HNE33" t="str">
        <f t="shared" si="350"/>
        <v/>
      </c>
      <c r="HNF33" t="str">
        <f t="shared" si="350"/>
        <v/>
      </c>
      <c r="HNG33" t="str">
        <f t="shared" si="350"/>
        <v/>
      </c>
      <c r="HNH33" t="str">
        <f t="shared" si="350"/>
        <v/>
      </c>
      <c r="HNI33" t="str">
        <f t="shared" si="350"/>
        <v/>
      </c>
      <c r="HNJ33" t="str">
        <f t="shared" si="350"/>
        <v/>
      </c>
      <c r="HNK33" t="str">
        <f t="shared" si="350"/>
        <v/>
      </c>
      <c r="HNL33" t="str">
        <f t="shared" si="350"/>
        <v/>
      </c>
      <c r="HNM33" t="str">
        <f t="shared" si="350"/>
        <v/>
      </c>
      <c r="HNN33" t="str">
        <f t="shared" si="350"/>
        <v/>
      </c>
      <c r="HNO33" t="str">
        <f t="shared" si="350"/>
        <v/>
      </c>
      <c r="HNP33" t="str">
        <f t="shared" si="350"/>
        <v/>
      </c>
      <c r="HNQ33" t="str">
        <f t="shared" si="350"/>
        <v/>
      </c>
      <c r="HNR33" t="str">
        <f t="shared" si="350"/>
        <v/>
      </c>
      <c r="HNS33" t="str">
        <f t="shared" si="350"/>
        <v/>
      </c>
      <c r="HNT33" t="str">
        <f t="shared" si="350"/>
        <v/>
      </c>
      <c r="HNU33" t="str">
        <f t="shared" si="350"/>
        <v/>
      </c>
      <c r="HNV33" t="str">
        <f t="shared" si="350"/>
        <v/>
      </c>
      <c r="HNW33" t="str">
        <f t="shared" si="350"/>
        <v/>
      </c>
      <c r="HNX33" t="str">
        <f t="shared" si="350"/>
        <v/>
      </c>
      <c r="HNY33" t="str">
        <f t="shared" si="350"/>
        <v/>
      </c>
      <c r="HNZ33" t="str">
        <f t="shared" si="350"/>
        <v/>
      </c>
      <c r="HOA33" t="str">
        <f t="shared" si="350"/>
        <v/>
      </c>
      <c r="HOB33" t="str">
        <f t="shared" si="350"/>
        <v/>
      </c>
      <c r="HOC33" t="str">
        <f t="shared" si="350"/>
        <v/>
      </c>
      <c r="HOD33" t="str">
        <f t="shared" si="350"/>
        <v/>
      </c>
      <c r="HOE33" t="str">
        <f t="shared" si="350"/>
        <v/>
      </c>
      <c r="HOF33" t="str">
        <f t="shared" si="350"/>
        <v/>
      </c>
      <c r="HOG33" t="str">
        <f t="shared" si="350"/>
        <v/>
      </c>
      <c r="HOH33" t="str">
        <f t="shared" si="350"/>
        <v/>
      </c>
      <c r="HOI33" t="str">
        <f t="shared" si="350"/>
        <v/>
      </c>
      <c r="HOJ33" t="str">
        <f t="shared" si="350"/>
        <v/>
      </c>
      <c r="HOK33" t="str">
        <f t="shared" si="350"/>
        <v/>
      </c>
      <c r="HOL33" t="str">
        <f t="shared" si="350"/>
        <v/>
      </c>
      <c r="HOM33" t="str">
        <f t="shared" si="350"/>
        <v/>
      </c>
      <c r="HON33" t="str">
        <f t="shared" si="350"/>
        <v/>
      </c>
      <c r="HOO33" t="str">
        <f t="shared" si="350"/>
        <v/>
      </c>
      <c r="HOP33" t="str">
        <f t="shared" si="350"/>
        <v/>
      </c>
      <c r="HOQ33" t="str">
        <f t="shared" si="350"/>
        <v/>
      </c>
      <c r="HOR33" t="str">
        <f t="shared" si="350"/>
        <v/>
      </c>
      <c r="HOS33" t="str">
        <f t="shared" si="350"/>
        <v/>
      </c>
      <c r="HOT33" t="str">
        <f t="shared" si="350"/>
        <v/>
      </c>
      <c r="HOU33" t="str">
        <f t="shared" si="350"/>
        <v/>
      </c>
      <c r="HOV33" t="str">
        <f t="shared" si="350"/>
        <v/>
      </c>
      <c r="HOW33" t="str">
        <f t="shared" si="350"/>
        <v/>
      </c>
      <c r="HOX33" t="str">
        <f t="shared" si="350"/>
        <v/>
      </c>
      <c r="HOY33" t="str">
        <f t="shared" si="350"/>
        <v/>
      </c>
      <c r="HOZ33" t="str">
        <f t="shared" si="350"/>
        <v/>
      </c>
      <c r="HPA33" t="str">
        <f t="shared" si="350"/>
        <v/>
      </c>
      <c r="HPB33" t="str">
        <f t="shared" si="350"/>
        <v/>
      </c>
      <c r="HPC33" t="str">
        <f t="shared" si="350"/>
        <v/>
      </c>
      <c r="HPD33" t="str">
        <f t="shared" si="350"/>
        <v/>
      </c>
      <c r="HPE33" t="str">
        <f t="shared" si="350"/>
        <v/>
      </c>
      <c r="HPF33" t="str">
        <f t="shared" si="350"/>
        <v/>
      </c>
      <c r="HPG33" t="str">
        <f t="shared" si="350"/>
        <v/>
      </c>
      <c r="HPH33" t="str">
        <f t="shared" si="350"/>
        <v/>
      </c>
      <c r="HPI33" t="str">
        <f t="shared" si="350"/>
        <v/>
      </c>
      <c r="HPJ33" t="str">
        <f t="shared" si="350"/>
        <v/>
      </c>
      <c r="HPK33" t="str">
        <f t="shared" si="350"/>
        <v/>
      </c>
      <c r="HPL33" t="str">
        <f t="shared" si="350"/>
        <v/>
      </c>
      <c r="HPM33" t="str">
        <f t="shared" ref="HPM33:HRX33" si="351">TRIM(HQD17)</f>
        <v/>
      </c>
      <c r="HPN33" t="str">
        <f t="shared" si="351"/>
        <v/>
      </c>
      <c r="HPO33" t="str">
        <f t="shared" si="351"/>
        <v/>
      </c>
      <c r="HPP33" t="str">
        <f t="shared" si="351"/>
        <v/>
      </c>
      <c r="HPQ33" t="str">
        <f t="shared" si="351"/>
        <v/>
      </c>
      <c r="HPR33" t="str">
        <f t="shared" si="351"/>
        <v/>
      </c>
      <c r="HPS33" t="str">
        <f t="shared" si="351"/>
        <v/>
      </c>
      <c r="HPT33" t="str">
        <f t="shared" si="351"/>
        <v/>
      </c>
      <c r="HPU33" t="str">
        <f t="shared" si="351"/>
        <v/>
      </c>
      <c r="HPV33" t="str">
        <f t="shared" si="351"/>
        <v/>
      </c>
      <c r="HPW33" t="str">
        <f t="shared" si="351"/>
        <v/>
      </c>
      <c r="HPX33" t="str">
        <f t="shared" si="351"/>
        <v/>
      </c>
      <c r="HPY33" t="str">
        <f t="shared" si="351"/>
        <v/>
      </c>
      <c r="HPZ33" t="str">
        <f t="shared" si="351"/>
        <v/>
      </c>
      <c r="HQA33" t="str">
        <f t="shared" si="351"/>
        <v/>
      </c>
      <c r="HQB33" t="str">
        <f t="shared" si="351"/>
        <v/>
      </c>
      <c r="HQC33" t="str">
        <f t="shared" si="351"/>
        <v/>
      </c>
      <c r="HQD33" t="str">
        <f t="shared" si="351"/>
        <v/>
      </c>
      <c r="HQE33" t="str">
        <f t="shared" si="351"/>
        <v/>
      </c>
      <c r="HQF33" t="str">
        <f t="shared" si="351"/>
        <v/>
      </c>
      <c r="HQG33" t="str">
        <f t="shared" si="351"/>
        <v/>
      </c>
      <c r="HQH33" t="str">
        <f t="shared" si="351"/>
        <v/>
      </c>
      <c r="HQI33" t="str">
        <f t="shared" si="351"/>
        <v/>
      </c>
      <c r="HQJ33" t="str">
        <f t="shared" si="351"/>
        <v/>
      </c>
      <c r="HQK33" t="str">
        <f t="shared" si="351"/>
        <v/>
      </c>
      <c r="HQL33" t="str">
        <f t="shared" si="351"/>
        <v/>
      </c>
      <c r="HQM33" t="str">
        <f t="shared" si="351"/>
        <v/>
      </c>
      <c r="HQN33" t="str">
        <f t="shared" si="351"/>
        <v/>
      </c>
      <c r="HQO33" t="str">
        <f t="shared" si="351"/>
        <v/>
      </c>
      <c r="HQP33" t="str">
        <f t="shared" si="351"/>
        <v/>
      </c>
      <c r="HQQ33" t="str">
        <f t="shared" si="351"/>
        <v/>
      </c>
      <c r="HQR33" t="str">
        <f t="shared" si="351"/>
        <v/>
      </c>
      <c r="HQS33" t="str">
        <f t="shared" si="351"/>
        <v/>
      </c>
      <c r="HQT33" t="str">
        <f t="shared" si="351"/>
        <v/>
      </c>
      <c r="HQU33" t="str">
        <f t="shared" si="351"/>
        <v/>
      </c>
      <c r="HQV33" t="str">
        <f t="shared" si="351"/>
        <v/>
      </c>
      <c r="HQW33" t="str">
        <f t="shared" si="351"/>
        <v/>
      </c>
      <c r="HQX33" t="str">
        <f t="shared" si="351"/>
        <v/>
      </c>
      <c r="HQY33" t="str">
        <f t="shared" si="351"/>
        <v/>
      </c>
      <c r="HQZ33" t="str">
        <f t="shared" si="351"/>
        <v/>
      </c>
      <c r="HRA33" t="str">
        <f t="shared" si="351"/>
        <v/>
      </c>
      <c r="HRB33" t="str">
        <f t="shared" si="351"/>
        <v/>
      </c>
      <c r="HRC33" t="str">
        <f t="shared" si="351"/>
        <v/>
      </c>
      <c r="HRD33" t="str">
        <f t="shared" si="351"/>
        <v/>
      </c>
      <c r="HRE33" t="str">
        <f t="shared" si="351"/>
        <v/>
      </c>
      <c r="HRF33" t="str">
        <f t="shared" si="351"/>
        <v/>
      </c>
      <c r="HRG33" t="str">
        <f t="shared" si="351"/>
        <v/>
      </c>
      <c r="HRH33" t="str">
        <f t="shared" si="351"/>
        <v/>
      </c>
      <c r="HRI33" t="str">
        <f t="shared" si="351"/>
        <v/>
      </c>
      <c r="HRJ33" t="str">
        <f t="shared" si="351"/>
        <v/>
      </c>
      <c r="HRK33" t="str">
        <f t="shared" si="351"/>
        <v/>
      </c>
      <c r="HRL33" t="str">
        <f t="shared" si="351"/>
        <v/>
      </c>
      <c r="HRM33" t="str">
        <f t="shared" si="351"/>
        <v/>
      </c>
      <c r="HRN33" t="str">
        <f t="shared" si="351"/>
        <v/>
      </c>
      <c r="HRO33" t="str">
        <f t="shared" si="351"/>
        <v/>
      </c>
      <c r="HRP33" t="str">
        <f t="shared" si="351"/>
        <v/>
      </c>
      <c r="HRQ33" t="str">
        <f t="shared" si="351"/>
        <v/>
      </c>
      <c r="HRR33" t="str">
        <f t="shared" si="351"/>
        <v/>
      </c>
      <c r="HRS33" t="str">
        <f t="shared" si="351"/>
        <v/>
      </c>
      <c r="HRT33" t="str">
        <f t="shared" si="351"/>
        <v/>
      </c>
      <c r="HRU33" t="str">
        <f t="shared" si="351"/>
        <v/>
      </c>
      <c r="HRV33" t="str">
        <f t="shared" si="351"/>
        <v/>
      </c>
      <c r="HRW33" t="str">
        <f t="shared" si="351"/>
        <v/>
      </c>
      <c r="HRX33" t="str">
        <f t="shared" si="351"/>
        <v/>
      </c>
      <c r="HRY33" t="str">
        <f t="shared" ref="HRY33:HUJ33" si="352">TRIM(HSP17)</f>
        <v/>
      </c>
      <c r="HRZ33" t="str">
        <f t="shared" si="352"/>
        <v/>
      </c>
      <c r="HSA33" t="str">
        <f t="shared" si="352"/>
        <v/>
      </c>
      <c r="HSB33" t="str">
        <f t="shared" si="352"/>
        <v/>
      </c>
      <c r="HSC33" t="str">
        <f t="shared" si="352"/>
        <v/>
      </c>
      <c r="HSD33" t="str">
        <f t="shared" si="352"/>
        <v/>
      </c>
      <c r="HSE33" t="str">
        <f t="shared" si="352"/>
        <v/>
      </c>
      <c r="HSF33" t="str">
        <f t="shared" si="352"/>
        <v/>
      </c>
      <c r="HSG33" t="str">
        <f t="shared" si="352"/>
        <v/>
      </c>
      <c r="HSH33" t="str">
        <f t="shared" si="352"/>
        <v/>
      </c>
      <c r="HSI33" t="str">
        <f t="shared" si="352"/>
        <v/>
      </c>
      <c r="HSJ33" t="str">
        <f t="shared" si="352"/>
        <v/>
      </c>
      <c r="HSK33" t="str">
        <f t="shared" si="352"/>
        <v/>
      </c>
      <c r="HSL33" t="str">
        <f t="shared" si="352"/>
        <v/>
      </c>
      <c r="HSM33" t="str">
        <f t="shared" si="352"/>
        <v/>
      </c>
      <c r="HSN33" t="str">
        <f t="shared" si="352"/>
        <v/>
      </c>
      <c r="HSO33" t="str">
        <f t="shared" si="352"/>
        <v/>
      </c>
      <c r="HSP33" t="str">
        <f t="shared" si="352"/>
        <v/>
      </c>
      <c r="HSQ33" t="str">
        <f t="shared" si="352"/>
        <v/>
      </c>
      <c r="HSR33" t="str">
        <f t="shared" si="352"/>
        <v/>
      </c>
      <c r="HSS33" t="str">
        <f t="shared" si="352"/>
        <v/>
      </c>
      <c r="HST33" t="str">
        <f t="shared" si="352"/>
        <v/>
      </c>
      <c r="HSU33" t="str">
        <f t="shared" si="352"/>
        <v/>
      </c>
      <c r="HSV33" t="str">
        <f t="shared" si="352"/>
        <v/>
      </c>
      <c r="HSW33" t="str">
        <f t="shared" si="352"/>
        <v/>
      </c>
      <c r="HSX33" t="str">
        <f t="shared" si="352"/>
        <v/>
      </c>
      <c r="HSY33" t="str">
        <f t="shared" si="352"/>
        <v/>
      </c>
      <c r="HSZ33" t="str">
        <f t="shared" si="352"/>
        <v/>
      </c>
      <c r="HTA33" t="str">
        <f t="shared" si="352"/>
        <v/>
      </c>
      <c r="HTB33" t="str">
        <f t="shared" si="352"/>
        <v/>
      </c>
      <c r="HTC33" t="str">
        <f t="shared" si="352"/>
        <v/>
      </c>
      <c r="HTD33" t="str">
        <f t="shared" si="352"/>
        <v/>
      </c>
      <c r="HTE33" t="str">
        <f t="shared" si="352"/>
        <v/>
      </c>
      <c r="HTF33" t="str">
        <f t="shared" si="352"/>
        <v/>
      </c>
      <c r="HTG33" t="str">
        <f t="shared" si="352"/>
        <v/>
      </c>
      <c r="HTH33" t="str">
        <f t="shared" si="352"/>
        <v/>
      </c>
      <c r="HTI33" t="str">
        <f t="shared" si="352"/>
        <v/>
      </c>
      <c r="HTJ33" t="str">
        <f t="shared" si="352"/>
        <v/>
      </c>
      <c r="HTK33" t="str">
        <f t="shared" si="352"/>
        <v/>
      </c>
      <c r="HTL33" t="str">
        <f t="shared" si="352"/>
        <v/>
      </c>
      <c r="HTM33" t="str">
        <f t="shared" si="352"/>
        <v/>
      </c>
      <c r="HTN33" t="str">
        <f t="shared" si="352"/>
        <v/>
      </c>
      <c r="HTO33" t="str">
        <f t="shared" si="352"/>
        <v/>
      </c>
      <c r="HTP33" t="str">
        <f t="shared" si="352"/>
        <v/>
      </c>
      <c r="HTQ33" t="str">
        <f t="shared" si="352"/>
        <v/>
      </c>
      <c r="HTR33" t="str">
        <f t="shared" si="352"/>
        <v/>
      </c>
      <c r="HTS33" t="str">
        <f t="shared" si="352"/>
        <v/>
      </c>
      <c r="HTT33" t="str">
        <f t="shared" si="352"/>
        <v/>
      </c>
      <c r="HTU33" t="str">
        <f t="shared" si="352"/>
        <v/>
      </c>
      <c r="HTV33" t="str">
        <f t="shared" si="352"/>
        <v/>
      </c>
      <c r="HTW33" t="str">
        <f t="shared" si="352"/>
        <v/>
      </c>
      <c r="HTX33" t="str">
        <f t="shared" si="352"/>
        <v/>
      </c>
      <c r="HTY33" t="str">
        <f t="shared" si="352"/>
        <v/>
      </c>
      <c r="HTZ33" t="str">
        <f t="shared" si="352"/>
        <v/>
      </c>
      <c r="HUA33" t="str">
        <f t="shared" si="352"/>
        <v/>
      </c>
      <c r="HUB33" t="str">
        <f t="shared" si="352"/>
        <v/>
      </c>
      <c r="HUC33" t="str">
        <f t="shared" si="352"/>
        <v/>
      </c>
      <c r="HUD33" t="str">
        <f t="shared" si="352"/>
        <v/>
      </c>
      <c r="HUE33" t="str">
        <f t="shared" si="352"/>
        <v/>
      </c>
      <c r="HUF33" t="str">
        <f t="shared" si="352"/>
        <v/>
      </c>
      <c r="HUG33" t="str">
        <f t="shared" si="352"/>
        <v/>
      </c>
      <c r="HUH33" t="str">
        <f t="shared" si="352"/>
        <v/>
      </c>
      <c r="HUI33" t="str">
        <f t="shared" si="352"/>
        <v/>
      </c>
      <c r="HUJ33" t="str">
        <f t="shared" si="352"/>
        <v/>
      </c>
      <c r="HUK33" t="str">
        <f t="shared" ref="HUK33:HWV33" si="353">TRIM(HVB17)</f>
        <v/>
      </c>
      <c r="HUL33" t="str">
        <f t="shared" si="353"/>
        <v/>
      </c>
      <c r="HUM33" t="str">
        <f t="shared" si="353"/>
        <v/>
      </c>
      <c r="HUN33" t="str">
        <f t="shared" si="353"/>
        <v/>
      </c>
      <c r="HUO33" t="str">
        <f t="shared" si="353"/>
        <v/>
      </c>
      <c r="HUP33" t="str">
        <f t="shared" si="353"/>
        <v/>
      </c>
      <c r="HUQ33" t="str">
        <f t="shared" si="353"/>
        <v/>
      </c>
      <c r="HUR33" t="str">
        <f t="shared" si="353"/>
        <v/>
      </c>
      <c r="HUS33" t="str">
        <f t="shared" si="353"/>
        <v/>
      </c>
      <c r="HUT33" t="str">
        <f t="shared" si="353"/>
        <v/>
      </c>
      <c r="HUU33" t="str">
        <f t="shared" si="353"/>
        <v/>
      </c>
      <c r="HUV33" t="str">
        <f t="shared" si="353"/>
        <v/>
      </c>
      <c r="HUW33" t="str">
        <f t="shared" si="353"/>
        <v/>
      </c>
      <c r="HUX33" t="str">
        <f t="shared" si="353"/>
        <v/>
      </c>
      <c r="HUY33" t="str">
        <f t="shared" si="353"/>
        <v/>
      </c>
      <c r="HUZ33" t="str">
        <f t="shared" si="353"/>
        <v/>
      </c>
      <c r="HVA33" t="str">
        <f t="shared" si="353"/>
        <v/>
      </c>
      <c r="HVB33" t="str">
        <f t="shared" si="353"/>
        <v/>
      </c>
      <c r="HVC33" t="str">
        <f t="shared" si="353"/>
        <v/>
      </c>
      <c r="HVD33" t="str">
        <f t="shared" si="353"/>
        <v/>
      </c>
      <c r="HVE33" t="str">
        <f t="shared" si="353"/>
        <v/>
      </c>
      <c r="HVF33" t="str">
        <f t="shared" si="353"/>
        <v/>
      </c>
      <c r="HVG33" t="str">
        <f t="shared" si="353"/>
        <v/>
      </c>
      <c r="HVH33" t="str">
        <f t="shared" si="353"/>
        <v/>
      </c>
      <c r="HVI33" t="str">
        <f t="shared" si="353"/>
        <v/>
      </c>
      <c r="HVJ33" t="str">
        <f t="shared" si="353"/>
        <v/>
      </c>
      <c r="HVK33" t="str">
        <f t="shared" si="353"/>
        <v/>
      </c>
      <c r="HVL33" t="str">
        <f t="shared" si="353"/>
        <v/>
      </c>
      <c r="HVM33" t="str">
        <f t="shared" si="353"/>
        <v/>
      </c>
      <c r="HVN33" t="str">
        <f t="shared" si="353"/>
        <v/>
      </c>
      <c r="HVO33" t="str">
        <f t="shared" si="353"/>
        <v/>
      </c>
      <c r="HVP33" t="str">
        <f t="shared" si="353"/>
        <v/>
      </c>
      <c r="HVQ33" t="str">
        <f t="shared" si="353"/>
        <v/>
      </c>
      <c r="HVR33" t="str">
        <f t="shared" si="353"/>
        <v/>
      </c>
      <c r="HVS33" t="str">
        <f t="shared" si="353"/>
        <v/>
      </c>
      <c r="HVT33" t="str">
        <f t="shared" si="353"/>
        <v/>
      </c>
      <c r="HVU33" t="str">
        <f t="shared" si="353"/>
        <v/>
      </c>
      <c r="HVV33" t="str">
        <f t="shared" si="353"/>
        <v/>
      </c>
      <c r="HVW33" t="str">
        <f t="shared" si="353"/>
        <v/>
      </c>
      <c r="HVX33" t="str">
        <f t="shared" si="353"/>
        <v/>
      </c>
      <c r="HVY33" t="str">
        <f t="shared" si="353"/>
        <v/>
      </c>
      <c r="HVZ33" t="str">
        <f t="shared" si="353"/>
        <v/>
      </c>
      <c r="HWA33" t="str">
        <f t="shared" si="353"/>
        <v/>
      </c>
      <c r="HWB33" t="str">
        <f t="shared" si="353"/>
        <v/>
      </c>
      <c r="HWC33" t="str">
        <f t="shared" si="353"/>
        <v/>
      </c>
      <c r="HWD33" t="str">
        <f t="shared" si="353"/>
        <v/>
      </c>
      <c r="HWE33" t="str">
        <f t="shared" si="353"/>
        <v/>
      </c>
      <c r="HWF33" t="str">
        <f t="shared" si="353"/>
        <v/>
      </c>
      <c r="HWG33" t="str">
        <f t="shared" si="353"/>
        <v/>
      </c>
      <c r="HWH33" t="str">
        <f t="shared" si="353"/>
        <v/>
      </c>
      <c r="HWI33" t="str">
        <f t="shared" si="353"/>
        <v/>
      </c>
      <c r="HWJ33" t="str">
        <f t="shared" si="353"/>
        <v/>
      </c>
      <c r="HWK33" t="str">
        <f t="shared" si="353"/>
        <v/>
      </c>
      <c r="HWL33" t="str">
        <f t="shared" si="353"/>
        <v/>
      </c>
      <c r="HWM33" t="str">
        <f t="shared" si="353"/>
        <v/>
      </c>
      <c r="HWN33" t="str">
        <f t="shared" si="353"/>
        <v/>
      </c>
      <c r="HWO33" t="str">
        <f t="shared" si="353"/>
        <v/>
      </c>
      <c r="HWP33" t="str">
        <f t="shared" si="353"/>
        <v/>
      </c>
      <c r="HWQ33" t="str">
        <f t="shared" si="353"/>
        <v/>
      </c>
      <c r="HWR33" t="str">
        <f t="shared" si="353"/>
        <v/>
      </c>
      <c r="HWS33" t="str">
        <f t="shared" si="353"/>
        <v/>
      </c>
      <c r="HWT33" t="str">
        <f t="shared" si="353"/>
        <v/>
      </c>
      <c r="HWU33" t="str">
        <f t="shared" si="353"/>
        <v/>
      </c>
      <c r="HWV33" t="str">
        <f t="shared" si="353"/>
        <v/>
      </c>
      <c r="HWW33" t="str">
        <f t="shared" ref="HWW33:HZH33" si="354">TRIM(HXN17)</f>
        <v/>
      </c>
      <c r="HWX33" t="str">
        <f t="shared" si="354"/>
        <v/>
      </c>
      <c r="HWY33" t="str">
        <f t="shared" si="354"/>
        <v/>
      </c>
      <c r="HWZ33" t="str">
        <f t="shared" si="354"/>
        <v/>
      </c>
      <c r="HXA33" t="str">
        <f t="shared" si="354"/>
        <v/>
      </c>
      <c r="HXB33" t="str">
        <f t="shared" si="354"/>
        <v/>
      </c>
      <c r="HXC33" t="str">
        <f t="shared" si="354"/>
        <v/>
      </c>
      <c r="HXD33" t="str">
        <f t="shared" si="354"/>
        <v/>
      </c>
      <c r="HXE33" t="str">
        <f t="shared" si="354"/>
        <v/>
      </c>
      <c r="HXF33" t="str">
        <f t="shared" si="354"/>
        <v/>
      </c>
      <c r="HXG33" t="str">
        <f t="shared" si="354"/>
        <v/>
      </c>
      <c r="HXH33" t="str">
        <f t="shared" si="354"/>
        <v/>
      </c>
      <c r="HXI33" t="str">
        <f t="shared" si="354"/>
        <v/>
      </c>
      <c r="HXJ33" t="str">
        <f t="shared" si="354"/>
        <v/>
      </c>
      <c r="HXK33" t="str">
        <f t="shared" si="354"/>
        <v/>
      </c>
      <c r="HXL33" t="str">
        <f t="shared" si="354"/>
        <v/>
      </c>
      <c r="HXM33" t="str">
        <f t="shared" si="354"/>
        <v/>
      </c>
      <c r="HXN33" t="str">
        <f t="shared" si="354"/>
        <v/>
      </c>
      <c r="HXO33" t="str">
        <f t="shared" si="354"/>
        <v/>
      </c>
      <c r="HXP33" t="str">
        <f t="shared" si="354"/>
        <v/>
      </c>
      <c r="HXQ33" t="str">
        <f t="shared" si="354"/>
        <v/>
      </c>
      <c r="HXR33" t="str">
        <f t="shared" si="354"/>
        <v/>
      </c>
      <c r="HXS33" t="str">
        <f t="shared" si="354"/>
        <v/>
      </c>
      <c r="HXT33" t="str">
        <f t="shared" si="354"/>
        <v/>
      </c>
      <c r="HXU33" t="str">
        <f t="shared" si="354"/>
        <v/>
      </c>
      <c r="HXV33" t="str">
        <f t="shared" si="354"/>
        <v/>
      </c>
      <c r="HXW33" t="str">
        <f t="shared" si="354"/>
        <v/>
      </c>
      <c r="HXX33" t="str">
        <f t="shared" si="354"/>
        <v/>
      </c>
      <c r="HXY33" t="str">
        <f t="shared" si="354"/>
        <v/>
      </c>
      <c r="HXZ33" t="str">
        <f t="shared" si="354"/>
        <v/>
      </c>
      <c r="HYA33" t="str">
        <f t="shared" si="354"/>
        <v/>
      </c>
      <c r="HYB33" t="str">
        <f t="shared" si="354"/>
        <v/>
      </c>
      <c r="HYC33" t="str">
        <f t="shared" si="354"/>
        <v/>
      </c>
      <c r="HYD33" t="str">
        <f t="shared" si="354"/>
        <v/>
      </c>
      <c r="HYE33" t="str">
        <f t="shared" si="354"/>
        <v/>
      </c>
      <c r="HYF33" t="str">
        <f t="shared" si="354"/>
        <v/>
      </c>
      <c r="HYG33" t="str">
        <f t="shared" si="354"/>
        <v/>
      </c>
      <c r="HYH33" t="str">
        <f t="shared" si="354"/>
        <v/>
      </c>
      <c r="HYI33" t="str">
        <f t="shared" si="354"/>
        <v/>
      </c>
      <c r="HYJ33" t="str">
        <f t="shared" si="354"/>
        <v/>
      </c>
      <c r="HYK33" t="str">
        <f t="shared" si="354"/>
        <v/>
      </c>
      <c r="HYL33" t="str">
        <f t="shared" si="354"/>
        <v/>
      </c>
      <c r="HYM33" t="str">
        <f t="shared" si="354"/>
        <v/>
      </c>
      <c r="HYN33" t="str">
        <f t="shared" si="354"/>
        <v/>
      </c>
      <c r="HYO33" t="str">
        <f t="shared" si="354"/>
        <v/>
      </c>
      <c r="HYP33" t="str">
        <f t="shared" si="354"/>
        <v/>
      </c>
      <c r="HYQ33" t="str">
        <f t="shared" si="354"/>
        <v/>
      </c>
      <c r="HYR33" t="str">
        <f t="shared" si="354"/>
        <v/>
      </c>
      <c r="HYS33" t="str">
        <f t="shared" si="354"/>
        <v/>
      </c>
      <c r="HYT33" t="str">
        <f t="shared" si="354"/>
        <v/>
      </c>
      <c r="HYU33" t="str">
        <f t="shared" si="354"/>
        <v/>
      </c>
      <c r="HYV33" t="str">
        <f t="shared" si="354"/>
        <v/>
      </c>
      <c r="HYW33" t="str">
        <f t="shared" si="354"/>
        <v/>
      </c>
      <c r="HYX33" t="str">
        <f t="shared" si="354"/>
        <v/>
      </c>
      <c r="HYY33" t="str">
        <f t="shared" si="354"/>
        <v/>
      </c>
      <c r="HYZ33" t="str">
        <f t="shared" si="354"/>
        <v/>
      </c>
      <c r="HZA33" t="str">
        <f t="shared" si="354"/>
        <v/>
      </c>
      <c r="HZB33" t="str">
        <f t="shared" si="354"/>
        <v/>
      </c>
      <c r="HZC33" t="str">
        <f t="shared" si="354"/>
        <v/>
      </c>
      <c r="HZD33" t="str">
        <f t="shared" si="354"/>
        <v/>
      </c>
      <c r="HZE33" t="str">
        <f t="shared" si="354"/>
        <v/>
      </c>
      <c r="HZF33" t="str">
        <f t="shared" si="354"/>
        <v/>
      </c>
      <c r="HZG33" t="str">
        <f t="shared" si="354"/>
        <v/>
      </c>
      <c r="HZH33" t="str">
        <f t="shared" si="354"/>
        <v/>
      </c>
      <c r="HZI33" t="str">
        <f t="shared" ref="HZI33:IBT33" si="355">TRIM(HZZ17)</f>
        <v/>
      </c>
      <c r="HZJ33" t="str">
        <f t="shared" si="355"/>
        <v/>
      </c>
      <c r="HZK33" t="str">
        <f t="shared" si="355"/>
        <v/>
      </c>
      <c r="HZL33" t="str">
        <f t="shared" si="355"/>
        <v/>
      </c>
      <c r="HZM33" t="str">
        <f t="shared" si="355"/>
        <v/>
      </c>
      <c r="HZN33" t="str">
        <f t="shared" si="355"/>
        <v/>
      </c>
      <c r="HZO33" t="str">
        <f t="shared" si="355"/>
        <v/>
      </c>
      <c r="HZP33" t="str">
        <f t="shared" si="355"/>
        <v/>
      </c>
      <c r="HZQ33" t="str">
        <f t="shared" si="355"/>
        <v/>
      </c>
      <c r="HZR33" t="str">
        <f t="shared" si="355"/>
        <v/>
      </c>
      <c r="HZS33" t="str">
        <f t="shared" si="355"/>
        <v/>
      </c>
      <c r="HZT33" t="str">
        <f t="shared" si="355"/>
        <v/>
      </c>
      <c r="HZU33" t="str">
        <f t="shared" si="355"/>
        <v/>
      </c>
      <c r="HZV33" t="str">
        <f t="shared" si="355"/>
        <v/>
      </c>
      <c r="HZW33" t="str">
        <f t="shared" si="355"/>
        <v/>
      </c>
      <c r="HZX33" t="str">
        <f t="shared" si="355"/>
        <v/>
      </c>
      <c r="HZY33" t="str">
        <f t="shared" si="355"/>
        <v/>
      </c>
      <c r="HZZ33" t="str">
        <f t="shared" si="355"/>
        <v/>
      </c>
      <c r="IAA33" t="str">
        <f t="shared" si="355"/>
        <v/>
      </c>
      <c r="IAB33" t="str">
        <f t="shared" si="355"/>
        <v/>
      </c>
      <c r="IAC33" t="str">
        <f t="shared" si="355"/>
        <v/>
      </c>
      <c r="IAD33" t="str">
        <f t="shared" si="355"/>
        <v/>
      </c>
      <c r="IAE33" t="str">
        <f t="shared" si="355"/>
        <v/>
      </c>
      <c r="IAF33" t="str">
        <f t="shared" si="355"/>
        <v/>
      </c>
      <c r="IAG33" t="str">
        <f t="shared" si="355"/>
        <v/>
      </c>
      <c r="IAH33" t="str">
        <f t="shared" si="355"/>
        <v/>
      </c>
      <c r="IAI33" t="str">
        <f t="shared" si="355"/>
        <v/>
      </c>
      <c r="IAJ33" t="str">
        <f t="shared" si="355"/>
        <v/>
      </c>
      <c r="IAK33" t="str">
        <f t="shared" si="355"/>
        <v/>
      </c>
      <c r="IAL33" t="str">
        <f t="shared" si="355"/>
        <v/>
      </c>
      <c r="IAM33" t="str">
        <f t="shared" si="355"/>
        <v/>
      </c>
      <c r="IAN33" t="str">
        <f t="shared" si="355"/>
        <v/>
      </c>
      <c r="IAO33" t="str">
        <f t="shared" si="355"/>
        <v/>
      </c>
      <c r="IAP33" t="str">
        <f t="shared" si="355"/>
        <v/>
      </c>
      <c r="IAQ33" t="str">
        <f t="shared" si="355"/>
        <v/>
      </c>
      <c r="IAR33" t="str">
        <f t="shared" si="355"/>
        <v/>
      </c>
      <c r="IAS33" t="str">
        <f t="shared" si="355"/>
        <v/>
      </c>
      <c r="IAT33" t="str">
        <f t="shared" si="355"/>
        <v/>
      </c>
      <c r="IAU33" t="str">
        <f t="shared" si="355"/>
        <v/>
      </c>
      <c r="IAV33" t="str">
        <f t="shared" si="355"/>
        <v/>
      </c>
      <c r="IAW33" t="str">
        <f t="shared" si="355"/>
        <v/>
      </c>
      <c r="IAX33" t="str">
        <f t="shared" si="355"/>
        <v/>
      </c>
      <c r="IAY33" t="str">
        <f t="shared" si="355"/>
        <v/>
      </c>
      <c r="IAZ33" t="str">
        <f t="shared" si="355"/>
        <v/>
      </c>
      <c r="IBA33" t="str">
        <f t="shared" si="355"/>
        <v/>
      </c>
      <c r="IBB33" t="str">
        <f t="shared" si="355"/>
        <v/>
      </c>
      <c r="IBC33" t="str">
        <f t="shared" si="355"/>
        <v/>
      </c>
      <c r="IBD33" t="str">
        <f t="shared" si="355"/>
        <v/>
      </c>
      <c r="IBE33" t="str">
        <f t="shared" si="355"/>
        <v/>
      </c>
      <c r="IBF33" t="str">
        <f t="shared" si="355"/>
        <v/>
      </c>
      <c r="IBG33" t="str">
        <f t="shared" si="355"/>
        <v/>
      </c>
      <c r="IBH33" t="str">
        <f t="shared" si="355"/>
        <v/>
      </c>
      <c r="IBI33" t="str">
        <f t="shared" si="355"/>
        <v/>
      </c>
      <c r="IBJ33" t="str">
        <f t="shared" si="355"/>
        <v/>
      </c>
      <c r="IBK33" t="str">
        <f t="shared" si="355"/>
        <v/>
      </c>
      <c r="IBL33" t="str">
        <f t="shared" si="355"/>
        <v/>
      </c>
      <c r="IBM33" t="str">
        <f t="shared" si="355"/>
        <v/>
      </c>
      <c r="IBN33" t="str">
        <f t="shared" si="355"/>
        <v/>
      </c>
      <c r="IBO33" t="str">
        <f t="shared" si="355"/>
        <v/>
      </c>
      <c r="IBP33" t="str">
        <f t="shared" si="355"/>
        <v/>
      </c>
      <c r="IBQ33" t="str">
        <f t="shared" si="355"/>
        <v/>
      </c>
      <c r="IBR33" t="str">
        <f t="shared" si="355"/>
        <v/>
      </c>
      <c r="IBS33" t="str">
        <f t="shared" si="355"/>
        <v/>
      </c>
      <c r="IBT33" t="str">
        <f t="shared" si="355"/>
        <v/>
      </c>
      <c r="IBU33" t="str">
        <f t="shared" ref="IBU33:IEF33" si="356">TRIM(ICL17)</f>
        <v/>
      </c>
      <c r="IBV33" t="str">
        <f t="shared" si="356"/>
        <v/>
      </c>
      <c r="IBW33" t="str">
        <f t="shared" si="356"/>
        <v/>
      </c>
      <c r="IBX33" t="str">
        <f t="shared" si="356"/>
        <v/>
      </c>
      <c r="IBY33" t="str">
        <f t="shared" si="356"/>
        <v/>
      </c>
      <c r="IBZ33" t="str">
        <f t="shared" si="356"/>
        <v/>
      </c>
      <c r="ICA33" t="str">
        <f t="shared" si="356"/>
        <v/>
      </c>
      <c r="ICB33" t="str">
        <f t="shared" si="356"/>
        <v/>
      </c>
      <c r="ICC33" t="str">
        <f t="shared" si="356"/>
        <v/>
      </c>
      <c r="ICD33" t="str">
        <f t="shared" si="356"/>
        <v/>
      </c>
      <c r="ICE33" t="str">
        <f t="shared" si="356"/>
        <v/>
      </c>
      <c r="ICF33" t="str">
        <f t="shared" si="356"/>
        <v/>
      </c>
      <c r="ICG33" t="str">
        <f t="shared" si="356"/>
        <v/>
      </c>
      <c r="ICH33" t="str">
        <f t="shared" si="356"/>
        <v/>
      </c>
      <c r="ICI33" t="str">
        <f t="shared" si="356"/>
        <v/>
      </c>
      <c r="ICJ33" t="str">
        <f t="shared" si="356"/>
        <v/>
      </c>
      <c r="ICK33" t="str">
        <f t="shared" si="356"/>
        <v/>
      </c>
      <c r="ICL33" t="str">
        <f t="shared" si="356"/>
        <v/>
      </c>
      <c r="ICM33" t="str">
        <f t="shared" si="356"/>
        <v/>
      </c>
      <c r="ICN33" t="str">
        <f t="shared" si="356"/>
        <v/>
      </c>
      <c r="ICO33" t="str">
        <f t="shared" si="356"/>
        <v/>
      </c>
      <c r="ICP33" t="str">
        <f t="shared" si="356"/>
        <v/>
      </c>
      <c r="ICQ33" t="str">
        <f t="shared" si="356"/>
        <v/>
      </c>
      <c r="ICR33" t="str">
        <f t="shared" si="356"/>
        <v/>
      </c>
      <c r="ICS33" t="str">
        <f t="shared" si="356"/>
        <v/>
      </c>
      <c r="ICT33" t="str">
        <f t="shared" si="356"/>
        <v/>
      </c>
      <c r="ICU33" t="str">
        <f t="shared" si="356"/>
        <v/>
      </c>
      <c r="ICV33" t="str">
        <f t="shared" si="356"/>
        <v/>
      </c>
      <c r="ICW33" t="str">
        <f t="shared" si="356"/>
        <v/>
      </c>
      <c r="ICX33" t="str">
        <f t="shared" si="356"/>
        <v/>
      </c>
      <c r="ICY33" t="str">
        <f t="shared" si="356"/>
        <v/>
      </c>
      <c r="ICZ33" t="str">
        <f t="shared" si="356"/>
        <v/>
      </c>
      <c r="IDA33" t="str">
        <f t="shared" si="356"/>
        <v/>
      </c>
      <c r="IDB33" t="str">
        <f t="shared" si="356"/>
        <v/>
      </c>
      <c r="IDC33" t="str">
        <f t="shared" si="356"/>
        <v/>
      </c>
      <c r="IDD33" t="str">
        <f t="shared" si="356"/>
        <v/>
      </c>
      <c r="IDE33" t="str">
        <f t="shared" si="356"/>
        <v/>
      </c>
      <c r="IDF33" t="str">
        <f t="shared" si="356"/>
        <v/>
      </c>
      <c r="IDG33" t="str">
        <f t="shared" si="356"/>
        <v/>
      </c>
      <c r="IDH33" t="str">
        <f t="shared" si="356"/>
        <v/>
      </c>
      <c r="IDI33" t="str">
        <f t="shared" si="356"/>
        <v/>
      </c>
      <c r="IDJ33" t="str">
        <f t="shared" si="356"/>
        <v/>
      </c>
      <c r="IDK33" t="str">
        <f t="shared" si="356"/>
        <v/>
      </c>
      <c r="IDL33" t="str">
        <f t="shared" si="356"/>
        <v/>
      </c>
      <c r="IDM33" t="str">
        <f t="shared" si="356"/>
        <v/>
      </c>
      <c r="IDN33" t="str">
        <f t="shared" si="356"/>
        <v/>
      </c>
      <c r="IDO33" t="str">
        <f t="shared" si="356"/>
        <v/>
      </c>
      <c r="IDP33" t="str">
        <f t="shared" si="356"/>
        <v/>
      </c>
      <c r="IDQ33" t="str">
        <f t="shared" si="356"/>
        <v/>
      </c>
      <c r="IDR33" t="str">
        <f t="shared" si="356"/>
        <v/>
      </c>
      <c r="IDS33" t="str">
        <f t="shared" si="356"/>
        <v/>
      </c>
      <c r="IDT33" t="str">
        <f t="shared" si="356"/>
        <v/>
      </c>
      <c r="IDU33" t="str">
        <f t="shared" si="356"/>
        <v/>
      </c>
      <c r="IDV33" t="str">
        <f t="shared" si="356"/>
        <v/>
      </c>
      <c r="IDW33" t="str">
        <f t="shared" si="356"/>
        <v/>
      </c>
      <c r="IDX33" t="str">
        <f t="shared" si="356"/>
        <v/>
      </c>
      <c r="IDY33" t="str">
        <f t="shared" si="356"/>
        <v/>
      </c>
      <c r="IDZ33" t="str">
        <f t="shared" si="356"/>
        <v/>
      </c>
      <c r="IEA33" t="str">
        <f t="shared" si="356"/>
        <v/>
      </c>
      <c r="IEB33" t="str">
        <f t="shared" si="356"/>
        <v/>
      </c>
      <c r="IEC33" t="str">
        <f t="shared" si="356"/>
        <v/>
      </c>
      <c r="IED33" t="str">
        <f t="shared" si="356"/>
        <v/>
      </c>
      <c r="IEE33" t="str">
        <f t="shared" si="356"/>
        <v/>
      </c>
      <c r="IEF33" t="str">
        <f t="shared" si="356"/>
        <v/>
      </c>
      <c r="IEG33" t="str">
        <f t="shared" ref="IEG33:IGR33" si="357">TRIM(IEX17)</f>
        <v/>
      </c>
      <c r="IEH33" t="str">
        <f t="shared" si="357"/>
        <v/>
      </c>
      <c r="IEI33" t="str">
        <f t="shared" si="357"/>
        <v/>
      </c>
      <c r="IEJ33" t="str">
        <f t="shared" si="357"/>
        <v/>
      </c>
      <c r="IEK33" t="str">
        <f t="shared" si="357"/>
        <v/>
      </c>
      <c r="IEL33" t="str">
        <f t="shared" si="357"/>
        <v/>
      </c>
      <c r="IEM33" t="str">
        <f t="shared" si="357"/>
        <v/>
      </c>
      <c r="IEN33" t="str">
        <f t="shared" si="357"/>
        <v/>
      </c>
      <c r="IEO33" t="str">
        <f t="shared" si="357"/>
        <v/>
      </c>
      <c r="IEP33" t="str">
        <f t="shared" si="357"/>
        <v/>
      </c>
      <c r="IEQ33" t="str">
        <f t="shared" si="357"/>
        <v/>
      </c>
      <c r="IER33" t="str">
        <f t="shared" si="357"/>
        <v/>
      </c>
      <c r="IES33" t="str">
        <f t="shared" si="357"/>
        <v/>
      </c>
      <c r="IET33" t="str">
        <f t="shared" si="357"/>
        <v/>
      </c>
      <c r="IEU33" t="str">
        <f t="shared" si="357"/>
        <v/>
      </c>
      <c r="IEV33" t="str">
        <f t="shared" si="357"/>
        <v/>
      </c>
      <c r="IEW33" t="str">
        <f t="shared" si="357"/>
        <v/>
      </c>
      <c r="IEX33" t="str">
        <f t="shared" si="357"/>
        <v/>
      </c>
      <c r="IEY33" t="str">
        <f t="shared" si="357"/>
        <v/>
      </c>
      <c r="IEZ33" t="str">
        <f t="shared" si="357"/>
        <v/>
      </c>
      <c r="IFA33" t="str">
        <f t="shared" si="357"/>
        <v/>
      </c>
      <c r="IFB33" t="str">
        <f t="shared" si="357"/>
        <v/>
      </c>
      <c r="IFC33" t="str">
        <f t="shared" si="357"/>
        <v/>
      </c>
      <c r="IFD33" t="str">
        <f t="shared" si="357"/>
        <v/>
      </c>
      <c r="IFE33" t="str">
        <f t="shared" si="357"/>
        <v/>
      </c>
      <c r="IFF33" t="str">
        <f t="shared" si="357"/>
        <v/>
      </c>
      <c r="IFG33" t="str">
        <f t="shared" si="357"/>
        <v/>
      </c>
      <c r="IFH33" t="str">
        <f t="shared" si="357"/>
        <v/>
      </c>
      <c r="IFI33" t="str">
        <f t="shared" si="357"/>
        <v/>
      </c>
      <c r="IFJ33" t="str">
        <f t="shared" si="357"/>
        <v/>
      </c>
      <c r="IFK33" t="str">
        <f t="shared" si="357"/>
        <v/>
      </c>
      <c r="IFL33" t="str">
        <f t="shared" si="357"/>
        <v/>
      </c>
      <c r="IFM33" t="str">
        <f t="shared" si="357"/>
        <v/>
      </c>
      <c r="IFN33" t="str">
        <f t="shared" si="357"/>
        <v/>
      </c>
      <c r="IFO33" t="str">
        <f t="shared" si="357"/>
        <v/>
      </c>
      <c r="IFP33" t="str">
        <f t="shared" si="357"/>
        <v/>
      </c>
      <c r="IFQ33" t="str">
        <f t="shared" si="357"/>
        <v/>
      </c>
      <c r="IFR33" t="str">
        <f t="shared" si="357"/>
        <v/>
      </c>
      <c r="IFS33" t="str">
        <f t="shared" si="357"/>
        <v/>
      </c>
      <c r="IFT33" t="str">
        <f t="shared" si="357"/>
        <v/>
      </c>
      <c r="IFU33" t="str">
        <f t="shared" si="357"/>
        <v/>
      </c>
      <c r="IFV33" t="str">
        <f t="shared" si="357"/>
        <v/>
      </c>
      <c r="IFW33" t="str">
        <f t="shared" si="357"/>
        <v/>
      </c>
      <c r="IFX33" t="str">
        <f t="shared" si="357"/>
        <v/>
      </c>
      <c r="IFY33" t="str">
        <f t="shared" si="357"/>
        <v/>
      </c>
      <c r="IFZ33" t="str">
        <f t="shared" si="357"/>
        <v/>
      </c>
      <c r="IGA33" t="str">
        <f t="shared" si="357"/>
        <v/>
      </c>
      <c r="IGB33" t="str">
        <f t="shared" si="357"/>
        <v/>
      </c>
      <c r="IGC33" t="str">
        <f t="shared" si="357"/>
        <v/>
      </c>
      <c r="IGD33" t="str">
        <f t="shared" si="357"/>
        <v/>
      </c>
      <c r="IGE33" t="str">
        <f t="shared" si="357"/>
        <v/>
      </c>
      <c r="IGF33" t="str">
        <f t="shared" si="357"/>
        <v/>
      </c>
      <c r="IGG33" t="str">
        <f t="shared" si="357"/>
        <v/>
      </c>
      <c r="IGH33" t="str">
        <f t="shared" si="357"/>
        <v/>
      </c>
      <c r="IGI33" t="str">
        <f t="shared" si="357"/>
        <v/>
      </c>
      <c r="IGJ33" t="str">
        <f t="shared" si="357"/>
        <v/>
      </c>
      <c r="IGK33" t="str">
        <f t="shared" si="357"/>
        <v/>
      </c>
      <c r="IGL33" t="str">
        <f t="shared" si="357"/>
        <v/>
      </c>
      <c r="IGM33" t="str">
        <f t="shared" si="357"/>
        <v/>
      </c>
      <c r="IGN33" t="str">
        <f t="shared" si="357"/>
        <v/>
      </c>
      <c r="IGO33" t="str">
        <f t="shared" si="357"/>
        <v/>
      </c>
      <c r="IGP33" t="str">
        <f t="shared" si="357"/>
        <v/>
      </c>
      <c r="IGQ33" t="str">
        <f t="shared" si="357"/>
        <v/>
      </c>
      <c r="IGR33" t="str">
        <f t="shared" si="357"/>
        <v/>
      </c>
      <c r="IGS33" t="str">
        <f t="shared" ref="IGS33:IJD33" si="358">TRIM(IHJ17)</f>
        <v/>
      </c>
      <c r="IGT33" t="str">
        <f t="shared" si="358"/>
        <v/>
      </c>
      <c r="IGU33" t="str">
        <f t="shared" si="358"/>
        <v/>
      </c>
      <c r="IGV33" t="str">
        <f t="shared" si="358"/>
        <v/>
      </c>
      <c r="IGW33" t="str">
        <f t="shared" si="358"/>
        <v/>
      </c>
      <c r="IGX33" t="str">
        <f t="shared" si="358"/>
        <v/>
      </c>
      <c r="IGY33" t="str">
        <f t="shared" si="358"/>
        <v/>
      </c>
      <c r="IGZ33" t="str">
        <f t="shared" si="358"/>
        <v/>
      </c>
      <c r="IHA33" t="str">
        <f t="shared" si="358"/>
        <v/>
      </c>
      <c r="IHB33" t="str">
        <f t="shared" si="358"/>
        <v/>
      </c>
      <c r="IHC33" t="str">
        <f t="shared" si="358"/>
        <v/>
      </c>
      <c r="IHD33" t="str">
        <f t="shared" si="358"/>
        <v/>
      </c>
      <c r="IHE33" t="str">
        <f t="shared" si="358"/>
        <v/>
      </c>
      <c r="IHF33" t="str">
        <f t="shared" si="358"/>
        <v/>
      </c>
      <c r="IHG33" t="str">
        <f t="shared" si="358"/>
        <v/>
      </c>
      <c r="IHH33" t="str">
        <f t="shared" si="358"/>
        <v/>
      </c>
      <c r="IHI33" t="str">
        <f t="shared" si="358"/>
        <v/>
      </c>
      <c r="IHJ33" t="str">
        <f t="shared" si="358"/>
        <v/>
      </c>
      <c r="IHK33" t="str">
        <f t="shared" si="358"/>
        <v/>
      </c>
      <c r="IHL33" t="str">
        <f t="shared" si="358"/>
        <v/>
      </c>
      <c r="IHM33" t="str">
        <f t="shared" si="358"/>
        <v/>
      </c>
      <c r="IHN33" t="str">
        <f t="shared" si="358"/>
        <v/>
      </c>
      <c r="IHO33" t="str">
        <f t="shared" si="358"/>
        <v/>
      </c>
      <c r="IHP33" t="str">
        <f t="shared" si="358"/>
        <v/>
      </c>
      <c r="IHQ33" t="str">
        <f t="shared" si="358"/>
        <v/>
      </c>
      <c r="IHR33" t="str">
        <f t="shared" si="358"/>
        <v/>
      </c>
      <c r="IHS33" t="str">
        <f t="shared" si="358"/>
        <v/>
      </c>
      <c r="IHT33" t="str">
        <f t="shared" si="358"/>
        <v/>
      </c>
      <c r="IHU33" t="str">
        <f t="shared" si="358"/>
        <v/>
      </c>
      <c r="IHV33" t="str">
        <f t="shared" si="358"/>
        <v/>
      </c>
      <c r="IHW33" t="str">
        <f t="shared" si="358"/>
        <v/>
      </c>
      <c r="IHX33" t="str">
        <f t="shared" si="358"/>
        <v/>
      </c>
      <c r="IHY33" t="str">
        <f t="shared" si="358"/>
        <v/>
      </c>
      <c r="IHZ33" t="str">
        <f t="shared" si="358"/>
        <v/>
      </c>
      <c r="IIA33" t="str">
        <f t="shared" si="358"/>
        <v/>
      </c>
      <c r="IIB33" t="str">
        <f t="shared" si="358"/>
        <v/>
      </c>
      <c r="IIC33" t="str">
        <f t="shared" si="358"/>
        <v/>
      </c>
      <c r="IID33" t="str">
        <f t="shared" si="358"/>
        <v/>
      </c>
      <c r="IIE33" t="str">
        <f t="shared" si="358"/>
        <v/>
      </c>
      <c r="IIF33" t="str">
        <f t="shared" si="358"/>
        <v/>
      </c>
      <c r="IIG33" t="str">
        <f t="shared" si="358"/>
        <v/>
      </c>
      <c r="IIH33" t="str">
        <f t="shared" si="358"/>
        <v/>
      </c>
      <c r="III33" t="str">
        <f t="shared" si="358"/>
        <v/>
      </c>
      <c r="IIJ33" t="str">
        <f t="shared" si="358"/>
        <v/>
      </c>
      <c r="IIK33" t="str">
        <f t="shared" si="358"/>
        <v/>
      </c>
      <c r="IIL33" t="str">
        <f t="shared" si="358"/>
        <v/>
      </c>
      <c r="IIM33" t="str">
        <f t="shared" si="358"/>
        <v/>
      </c>
      <c r="IIN33" t="str">
        <f t="shared" si="358"/>
        <v/>
      </c>
      <c r="IIO33" t="str">
        <f t="shared" si="358"/>
        <v/>
      </c>
      <c r="IIP33" t="str">
        <f t="shared" si="358"/>
        <v/>
      </c>
      <c r="IIQ33" t="str">
        <f t="shared" si="358"/>
        <v/>
      </c>
      <c r="IIR33" t="str">
        <f t="shared" si="358"/>
        <v/>
      </c>
      <c r="IIS33" t="str">
        <f t="shared" si="358"/>
        <v/>
      </c>
      <c r="IIT33" t="str">
        <f t="shared" si="358"/>
        <v/>
      </c>
      <c r="IIU33" t="str">
        <f t="shared" si="358"/>
        <v/>
      </c>
      <c r="IIV33" t="str">
        <f t="shared" si="358"/>
        <v/>
      </c>
      <c r="IIW33" t="str">
        <f t="shared" si="358"/>
        <v/>
      </c>
      <c r="IIX33" t="str">
        <f t="shared" si="358"/>
        <v/>
      </c>
      <c r="IIY33" t="str">
        <f t="shared" si="358"/>
        <v/>
      </c>
      <c r="IIZ33" t="str">
        <f t="shared" si="358"/>
        <v/>
      </c>
      <c r="IJA33" t="str">
        <f t="shared" si="358"/>
        <v/>
      </c>
      <c r="IJB33" t="str">
        <f t="shared" si="358"/>
        <v/>
      </c>
      <c r="IJC33" t="str">
        <f t="shared" si="358"/>
        <v/>
      </c>
      <c r="IJD33" t="str">
        <f t="shared" si="358"/>
        <v/>
      </c>
      <c r="IJE33" t="str">
        <f t="shared" ref="IJE33:ILP33" si="359">TRIM(IJV17)</f>
        <v/>
      </c>
      <c r="IJF33" t="str">
        <f t="shared" si="359"/>
        <v/>
      </c>
      <c r="IJG33" t="str">
        <f t="shared" si="359"/>
        <v/>
      </c>
      <c r="IJH33" t="str">
        <f t="shared" si="359"/>
        <v/>
      </c>
      <c r="IJI33" t="str">
        <f t="shared" si="359"/>
        <v/>
      </c>
      <c r="IJJ33" t="str">
        <f t="shared" si="359"/>
        <v/>
      </c>
      <c r="IJK33" t="str">
        <f t="shared" si="359"/>
        <v/>
      </c>
      <c r="IJL33" t="str">
        <f t="shared" si="359"/>
        <v/>
      </c>
      <c r="IJM33" t="str">
        <f t="shared" si="359"/>
        <v/>
      </c>
      <c r="IJN33" t="str">
        <f t="shared" si="359"/>
        <v/>
      </c>
      <c r="IJO33" t="str">
        <f t="shared" si="359"/>
        <v/>
      </c>
      <c r="IJP33" t="str">
        <f t="shared" si="359"/>
        <v/>
      </c>
      <c r="IJQ33" t="str">
        <f t="shared" si="359"/>
        <v/>
      </c>
      <c r="IJR33" t="str">
        <f t="shared" si="359"/>
        <v/>
      </c>
      <c r="IJS33" t="str">
        <f t="shared" si="359"/>
        <v/>
      </c>
      <c r="IJT33" t="str">
        <f t="shared" si="359"/>
        <v/>
      </c>
      <c r="IJU33" t="str">
        <f t="shared" si="359"/>
        <v/>
      </c>
      <c r="IJV33" t="str">
        <f t="shared" si="359"/>
        <v/>
      </c>
      <c r="IJW33" t="str">
        <f t="shared" si="359"/>
        <v/>
      </c>
      <c r="IJX33" t="str">
        <f t="shared" si="359"/>
        <v/>
      </c>
      <c r="IJY33" t="str">
        <f t="shared" si="359"/>
        <v/>
      </c>
      <c r="IJZ33" t="str">
        <f t="shared" si="359"/>
        <v/>
      </c>
      <c r="IKA33" t="str">
        <f t="shared" si="359"/>
        <v/>
      </c>
      <c r="IKB33" t="str">
        <f t="shared" si="359"/>
        <v/>
      </c>
      <c r="IKC33" t="str">
        <f t="shared" si="359"/>
        <v/>
      </c>
      <c r="IKD33" t="str">
        <f t="shared" si="359"/>
        <v/>
      </c>
      <c r="IKE33" t="str">
        <f t="shared" si="359"/>
        <v/>
      </c>
      <c r="IKF33" t="str">
        <f t="shared" si="359"/>
        <v/>
      </c>
      <c r="IKG33" t="str">
        <f t="shared" si="359"/>
        <v/>
      </c>
      <c r="IKH33" t="str">
        <f t="shared" si="359"/>
        <v/>
      </c>
      <c r="IKI33" t="str">
        <f t="shared" si="359"/>
        <v/>
      </c>
      <c r="IKJ33" t="str">
        <f t="shared" si="359"/>
        <v/>
      </c>
      <c r="IKK33" t="str">
        <f t="shared" si="359"/>
        <v/>
      </c>
      <c r="IKL33" t="str">
        <f t="shared" si="359"/>
        <v/>
      </c>
      <c r="IKM33" t="str">
        <f t="shared" si="359"/>
        <v/>
      </c>
      <c r="IKN33" t="str">
        <f t="shared" si="359"/>
        <v/>
      </c>
      <c r="IKO33" t="str">
        <f t="shared" si="359"/>
        <v/>
      </c>
      <c r="IKP33" t="str">
        <f t="shared" si="359"/>
        <v/>
      </c>
      <c r="IKQ33" t="str">
        <f t="shared" si="359"/>
        <v/>
      </c>
      <c r="IKR33" t="str">
        <f t="shared" si="359"/>
        <v/>
      </c>
      <c r="IKS33" t="str">
        <f t="shared" si="359"/>
        <v/>
      </c>
      <c r="IKT33" t="str">
        <f t="shared" si="359"/>
        <v/>
      </c>
      <c r="IKU33" t="str">
        <f t="shared" si="359"/>
        <v/>
      </c>
      <c r="IKV33" t="str">
        <f t="shared" si="359"/>
        <v/>
      </c>
      <c r="IKW33" t="str">
        <f t="shared" si="359"/>
        <v/>
      </c>
      <c r="IKX33" t="str">
        <f t="shared" si="359"/>
        <v/>
      </c>
      <c r="IKY33" t="str">
        <f t="shared" si="359"/>
        <v/>
      </c>
      <c r="IKZ33" t="str">
        <f t="shared" si="359"/>
        <v/>
      </c>
      <c r="ILA33" t="str">
        <f t="shared" si="359"/>
        <v/>
      </c>
      <c r="ILB33" t="str">
        <f t="shared" si="359"/>
        <v/>
      </c>
      <c r="ILC33" t="str">
        <f t="shared" si="359"/>
        <v/>
      </c>
      <c r="ILD33" t="str">
        <f t="shared" si="359"/>
        <v/>
      </c>
      <c r="ILE33" t="str">
        <f t="shared" si="359"/>
        <v/>
      </c>
      <c r="ILF33" t="str">
        <f t="shared" si="359"/>
        <v/>
      </c>
      <c r="ILG33" t="str">
        <f t="shared" si="359"/>
        <v/>
      </c>
      <c r="ILH33" t="str">
        <f t="shared" si="359"/>
        <v/>
      </c>
      <c r="ILI33" t="str">
        <f t="shared" si="359"/>
        <v/>
      </c>
      <c r="ILJ33" t="str">
        <f t="shared" si="359"/>
        <v/>
      </c>
      <c r="ILK33" t="str">
        <f t="shared" si="359"/>
        <v/>
      </c>
      <c r="ILL33" t="str">
        <f t="shared" si="359"/>
        <v/>
      </c>
      <c r="ILM33" t="str">
        <f t="shared" si="359"/>
        <v/>
      </c>
      <c r="ILN33" t="str">
        <f t="shared" si="359"/>
        <v/>
      </c>
      <c r="ILO33" t="str">
        <f t="shared" si="359"/>
        <v/>
      </c>
      <c r="ILP33" t="str">
        <f t="shared" si="359"/>
        <v/>
      </c>
      <c r="ILQ33" t="str">
        <f t="shared" ref="ILQ33:IOB33" si="360">TRIM(IMH17)</f>
        <v/>
      </c>
      <c r="ILR33" t="str">
        <f t="shared" si="360"/>
        <v/>
      </c>
      <c r="ILS33" t="str">
        <f t="shared" si="360"/>
        <v/>
      </c>
      <c r="ILT33" t="str">
        <f t="shared" si="360"/>
        <v/>
      </c>
      <c r="ILU33" t="str">
        <f t="shared" si="360"/>
        <v/>
      </c>
      <c r="ILV33" t="str">
        <f t="shared" si="360"/>
        <v/>
      </c>
      <c r="ILW33" t="str">
        <f t="shared" si="360"/>
        <v/>
      </c>
      <c r="ILX33" t="str">
        <f t="shared" si="360"/>
        <v/>
      </c>
      <c r="ILY33" t="str">
        <f t="shared" si="360"/>
        <v/>
      </c>
      <c r="ILZ33" t="str">
        <f t="shared" si="360"/>
        <v/>
      </c>
      <c r="IMA33" t="str">
        <f t="shared" si="360"/>
        <v/>
      </c>
      <c r="IMB33" t="str">
        <f t="shared" si="360"/>
        <v/>
      </c>
      <c r="IMC33" t="str">
        <f t="shared" si="360"/>
        <v/>
      </c>
      <c r="IMD33" t="str">
        <f t="shared" si="360"/>
        <v/>
      </c>
      <c r="IME33" t="str">
        <f t="shared" si="360"/>
        <v/>
      </c>
      <c r="IMF33" t="str">
        <f t="shared" si="360"/>
        <v/>
      </c>
      <c r="IMG33" t="str">
        <f t="shared" si="360"/>
        <v/>
      </c>
      <c r="IMH33" t="str">
        <f t="shared" si="360"/>
        <v/>
      </c>
      <c r="IMI33" t="str">
        <f t="shared" si="360"/>
        <v/>
      </c>
      <c r="IMJ33" t="str">
        <f t="shared" si="360"/>
        <v/>
      </c>
      <c r="IMK33" t="str">
        <f t="shared" si="360"/>
        <v/>
      </c>
      <c r="IML33" t="str">
        <f t="shared" si="360"/>
        <v/>
      </c>
      <c r="IMM33" t="str">
        <f t="shared" si="360"/>
        <v/>
      </c>
      <c r="IMN33" t="str">
        <f t="shared" si="360"/>
        <v/>
      </c>
      <c r="IMO33" t="str">
        <f t="shared" si="360"/>
        <v/>
      </c>
      <c r="IMP33" t="str">
        <f t="shared" si="360"/>
        <v/>
      </c>
      <c r="IMQ33" t="str">
        <f t="shared" si="360"/>
        <v/>
      </c>
      <c r="IMR33" t="str">
        <f t="shared" si="360"/>
        <v/>
      </c>
      <c r="IMS33" t="str">
        <f t="shared" si="360"/>
        <v/>
      </c>
      <c r="IMT33" t="str">
        <f t="shared" si="360"/>
        <v/>
      </c>
      <c r="IMU33" t="str">
        <f t="shared" si="360"/>
        <v/>
      </c>
      <c r="IMV33" t="str">
        <f t="shared" si="360"/>
        <v/>
      </c>
      <c r="IMW33" t="str">
        <f t="shared" si="360"/>
        <v/>
      </c>
      <c r="IMX33" t="str">
        <f t="shared" si="360"/>
        <v/>
      </c>
      <c r="IMY33" t="str">
        <f t="shared" si="360"/>
        <v/>
      </c>
      <c r="IMZ33" t="str">
        <f t="shared" si="360"/>
        <v/>
      </c>
      <c r="INA33" t="str">
        <f t="shared" si="360"/>
        <v/>
      </c>
      <c r="INB33" t="str">
        <f t="shared" si="360"/>
        <v/>
      </c>
      <c r="INC33" t="str">
        <f t="shared" si="360"/>
        <v/>
      </c>
      <c r="IND33" t="str">
        <f t="shared" si="360"/>
        <v/>
      </c>
      <c r="INE33" t="str">
        <f t="shared" si="360"/>
        <v/>
      </c>
      <c r="INF33" t="str">
        <f t="shared" si="360"/>
        <v/>
      </c>
      <c r="ING33" t="str">
        <f t="shared" si="360"/>
        <v/>
      </c>
      <c r="INH33" t="str">
        <f t="shared" si="360"/>
        <v/>
      </c>
      <c r="INI33" t="str">
        <f t="shared" si="360"/>
        <v/>
      </c>
      <c r="INJ33" t="str">
        <f t="shared" si="360"/>
        <v/>
      </c>
      <c r="INK33" t="str">
        <f t="shared" si="360"/>
        <v/>
      </c>
      <c r="INL33" t="str">
        <f t="shared" si="360"/>
        <v/>
      </c>
      <c r="INM33" t="str">
        <f t="shared" si="360"/>
        <v/>
      </c>
      <c r="INN33" t="str">
        <f t="shared" si="360"/>
        <v/>
      </c>
      <c r="INO33" t="str">
        <f t="shared" si="360"/>
        <v/>
      </c>
      <c r="INP33" t="str">
        <f t="shared" si="360"/>
        <v/>
      </c>
      <c r="INQ33" t="str">
        <f t="shared" si="360"/>
        <v/>
      </c>
      <c r="INR33" t="str">
        <f t="shared" si="360"/>
        <v/>
      </c>
      <c r="INS33" t="str">
        <f t="shared" si="360"/>
        <v/>
      </c>
      <c r="INT33" t="str">
        <f t="shared" si="360"/>
        <v/>
      </c>
      <c r="INU33" t="str">
        <f t="shared" si="360"/>
        <v/>
      </c>
      <c r="INV33" t="str">
        <f t="shared" si="360"/>
        <v/>
      </c>
      <c r="INW33" t="str">
        <f t="shared" si="360"/>
        <v/>
      </c>
      <c r="INX33" t="str">
        <f t="shared" si="360"/>
        <v/>
      </c>
      <c r="INY33" t="str">
        <f t="shared" si="360"/>
        <v/>
      </c>
      <c r="INZ33" t="str">
        <f t="shared" si="360"/>
        <v/>
      </c>
      <c r="IOA33" t="str">
        <f t="shared" si="360"/>
        <v/>
      </c>
      <c r="IOB33" t="str">
        <f t="shared" si="360"/>
        <v/>
      </c>
      <c r="IOC33" t="str">
        <f t="shared" ref="IOC33:IQN33" si="361">TRIM(IOT17)</f>
        <v/>
      </c>
      <c r="IOD33" t="str">
        <f t="shared" si="361"/>
        <v/>
      </c>
      <c r="IOE33" t="str">
        <f t="shared" si="361"/>
        <v/>
      </c>
      <c r="IOF33" t="str">
        <f t="shared" si="361"/>
        <v/>
      </c>
      <c r="IOG33" t="str">
        <f t="shared" si="361"/>
        <v/>
      </c>
      <c r="IOH33" t="str">
        <f t="shared" si="361"/>
        <v/>
      </c>
      <c r="IOI33" t="str">
        <f t="shared" si="361"/>
        <v/>
      </c>
      <c r="IOJ33" t="str">
        <f t="shared" si="361"/>
        <v/>
      </c>
      <c r="IOK33" t="str">
        <f t="shared" si="361"/>
        <v/>
      </c>
      <c r="IOL33" t="str">
        <f t="shared" si="361"/>
        <v/>
      </c>
      <c r="IOM33" t="str">
        <f t="shared" si="361"/>
        <v/>
      </c>
      <c r="ION33" t="str">
        <f t="shared" si="361"/>
        <v/>
      </c>
      <c r="IOO33" t="str">
        <f t="shared" si="361"/>
        <v/>
      </c>
      <c r="IOP33" t="str">
        <f t="shared" si="361"/>
        <v/>
      </c>
      <c r="IOQ33" t="str">
        <f t="shared" si="361"/>
        <v/>
      </c>
      <c r="IOR33" t="str">
        <f t="shared" si="361"/>
        <v/>
      </c>
      <c r="IOS33" t="str">
        <f t="shared" si="361"/>
        <v/>
      </c>
      <c r="IOT33" t="str">
        <f t="shared" si="361"/>
        <v/>
      </c>
      <c r="IOU33" t="str">
        <f t="shared" si="361"/>
        <v/>
      </c>
      <c r="IOV33" t="str">
        <f t="shared" si="361"/>
        <v/>
      </c>
      <c r="IOW33" t="str">
        <f t="shared" si="361"/>
        <v/>
      </c>
      <c r="IOX33" t="str">
        <f t="shared" si="361"/>
        <v/>
      </c>
      <c r="IOY33" t="str">
        <f t="shared" si="361"/>
        <v/>
      </c>
      <c r="IOZ33" t="str">
        <f t="shared" si="361"/>
        <v/>
      </c>
      <c r="IPA33" t="str">
        <f t="shared" si="361"/>
        <v/>
      </c>
      <c r="IPB33" t="str">
        <f t="shared" si="361"/>
        <v/>
      </c>
      <c r="IPC33" t="str">
        <f t="shared" si="361"/>
        <v/>
      </c>
      <c r="IPD33" t="str">
        <f t="shared" si="361"/>
        <v/>
      </c>
      <c r="IPE33" t="str">
        <f t="shared" si="361"/>
        <v/>
      </c>
      <c r="IPF33" t="str">
        <f t="shared" si="361"/>
        <v/>
      </c>
      <c r="IPG33" t="str">
        <f t="shared" si="361"/>
        <v/>
      </c>
      <c r="IPH33" t="str">
        <f t="shared" si="361"/>
        <v/>
      </c>
      <c r="IPI33" t="str">
        <f t="shared" si="361"/>
        <v/>
      </c>
      <c r="IPJ33" t="str">
        <f t="shared" si="361"/>
        <v/>
      </c>
      <c r="IPK33" t="str">
        <f t="shared" si="361"/>
        <v/>
      </c>
      <c r="IPL33" t="str">
        <f t="shared" si="361"/>
        <v/>
      </c>
      <c r="IPM33" t="str">
        <f t="shared" si="361"/>
        <v/>
      </c>
      <c r="IPN33" t="str">
        <f t="shared" si="361"/>
        <v/>
      </c>
      <c r="IPO33" t="str">
        <f t="shared" si="361"/>
        <v/>
      </c>
      <c r="IPP33" t="str">
        <f t="shared" si="361"/>
        <v/>
      </c>
      <c r="IPQ33" t="str">
        <f t="shared" si="361"/>
        <v/>
      </c>
      <c r="IPR33" t="str">
        <f t="shared" si="361"/>
        <v/>
      </c>
      <c r="IPS33" t="str">
        <f t="shared" si="361"/>
        <v/>
      </c>
      <c r="IPT33" t="str">
        <f t="shared" si="361"/>
        <v/>
      </c>
      <c r="IPU33" t="str">
        <f t="shared" si="361"/>
        <v/>
      </c>
      <c r="IPV33" t="str">
        <f t="shared" si="361"/>
        <v/>
      </c>
      <c r="IPW33" t="str">
        <f t="shared" si="361"/>
        <v/>
      </c>
      <c r="IPX33" t="str">
        <f t="shared" si="361"/>
        <v/>
      </c>
      <c r="IPY33" t="str">
        <f t="shared" si="361"/>
        <v/>
      </c>
      <c r="IPZ33" t="str">
        <f t="shared" si="361"/>
        <v/>
      </c>
      <c r="IQA33" t="str">
        <f t="shared" si="361"/>
        <v/>
      </c>
      <c r="IQB33" t="str">
        <f t="shared" si="361"/>
        <v/>
      </c>
      <c r="IQC33" t="str">
        <f t="shared" si="361"/>
        <v/>
      </c>
      <c r="IQD33" t="str">
        <f t="shared" si="361"/>
        <v/>
      </c>
      <c r="IQE33" t="str">
        <f t="shared" si="361"/>
        <v/>
      </c>
      <c r="IQF33" t="str">
        <f t="shared" si="361"/>
        <v/>
      </c>
      <c r="IQG33" t="str">
        <f t="shared" si="361"/>
        <v/>
      </c>
      <c r="IQH33" t="str">
        <f t="shared" si="361"/>
        <v/>
      </c>
      <c r="IQI33" t="str">
        <f t="shared" si="361"/>
        <v/>
      </c>
      <c r="IQJ33" t="str">
        <f t="shared" si="361"/>
        <v/>
      </c>
      <c r="IQK33" t="str">
        <f t="shared" si="361"/>
        <v/>
      </c>
      <c r="IQL33" t="str">
        <f t="shared" si="361"/>
        <v/>
      </c>
      <c r="IQM33" t="str">
        <f t="shared" si="361"/>
        <v/>
      </c>
      <c r="IQN33" t="str">
        <f t="shared" si="361"/>
        <v/>
      </c>
      <c r="IQO33" t="str">
        <f t="shared" ref="IQO33:ISZ33" si="362">TRIM(IRF17)</f>
        <v/>
      </c>
      <c r="IQP33" t="str">
        <f t="shared" si="362"/>
        <v/>
      </c>
      <c r="IQQ33" t="str">
        <f t="shared" si="362"/>
        <v/>
      </c>
      <c r="IQR33" t="str">
        <f t="shared" si="362"/>
        <v/>
      </c>
      <c r="IQS33" t="str">
        <f t="shared" si="362"/>
        <v/>
      </c>
      <c r="IQT33" t="str">
        <f t="shared" si="362"/>
        <v/>
      </c>
      <c r="IQU33" t="str">
        <f t="shared" si="362"/>
        <v/>
      </c>
      <c r="IQV33" t="str">
        <f t="shared" si="362"/>
        <v/>
      </c>
      <c r="IQW33" t="str">
        <f t="shared" si="362"/>
        <v/>
      </c>
      <c r="IQX33" t="str">
        <f t="shared" si="362"/>
        <v/>
      </c>
      <c r="IQY33" t="str">
        <f t="shared" si="362"/>
        <v/>
      </c>
      <c r="IQZ33" t="str">
        <f t="shared" si="362"/>
        <v/>
      </c>
      <c r="IRA33" t="str">
        <f t="shared" si="362"/>
        <v/>
      </c>
      <c r="IRB33" t="str">
        <f t="shared" si="362"/>
        <v/>
      </c>
      <c r="IRC33" t="str">
        <f t="shared" si="362"/>
        <v/>
      </c>
      <c r="IRD33" t="str">
        <f t="shared" si="362"/>
        <v/>
      </c>
      <c r="IRE33" t="str">
        <f t="shared" si="362"/>
        <v/>
      </c>
      <c r="IRF33" t="str">
        <f t="shared" si="362"/>
        <v/>
      </c>
      <c r="IRG33" t="str">
        <f t="shared" si="362"/>
        <v/>
      </c>
      <c r="IRH33" t="str">
        <f t="shared" si="362"/>
        <v/>
      </c>
      <c r="IRI33" t="str">
        <f t="shared" si="362"/>
        <v/>
      </c>
      <c r="IRJ33" t="str">
        <f t="shared" si="362"/>
        <v/>
      </c>
      <c r="IRK33" t="str">
        <f t="shared" si="362"/>
        <v/>
      </c>
      <c r="IRL33" t="str">
        <f t="shared" si="362"/>
        <v/>
      </c>
      <c r="IRM33" t="str">
        <f t="shared" si="362"/>
        <v/>
      </c>
      <c r="IRN33" t="str">
        <f t="shared" si="362"/>
        <v/>
      </c>
      <c r="IRO33" t="str">
        <f t="shared" si="362"/>
        <v/>
      </c>
      <c r="IRP33" t="str">
        <f t="shared" si="362"/>
        <v/>
      </c>
      <c r="IRQ33" t="str">
        <f t="shared" si="362"/>
        <v/>
      </c>
      <c r="IRR33" t="str">
        <f t="shared" si="362"/>
        <v/>
      </c>
      <c r="IRS33" t="str">
        <f t="shared" si="362"/>
        <v/>
      </c>
      <c r="IRT33" t="str">
        <f t="shared" si="362"/>
        <v/>
      </c>
      <c r="IRU33" t="str">
        <f t="shared" si="362"/>
        <v/>
      </c>
      <c r="IRV33" t="str">
        <f t="shared" si="362"/>
        <v/>
      </c>
      <c r="IRW33" t="str">
        <f t="shared" si="362"/>
        <v/>
      </c>
      <c r="IRX33" t="str">
        <f t="shared" si="362"/>
        <v/>
      </c>
      <c r="IRY33" t="str">
        <f t="shared" si="362"/>
        <v/>
      </c>
      <c r="IRZ33" t="str">
        <f t="shared" si="362"/>
        <v/>
      </c>
      <c r="ISA33" t="str">
        <f t="shared" si="362"/>
        <v/>
      </c>
      <c r="ISB33" t="str">
        <f t="shared" si="362"/>
        <v/>
      </c>
      <c r="ISC33" t="str">
        <f t="shared" si="362"/>
        <v/>
      </c>
      <c r="ISD33" t="str">
        <f t="shared" si="362"/>
        <v/>
      </c>
      <c r="ISE33" t="str">
        <f t="shared" si="362"/>
        <v/>
      </c>
      <c r="ISF33" t="str">
        <f t="shared" si="362"/>
        <v/>
      </c>
      <c r="ISG33" t="str">
        <f t="shared" si="362"/>
        <v/>
      </c>
      <c r="ISH33" t="str">
        <f t="shared" si="362"/>
        <v/>
      </c>
      <c r="ISI33" t="str">
        <f t="shared" si="362"/>
        <v/>
      </c>
      <c r="ISJ33" t="str">
        <f t="shared" si="362"/>
        <v/>
      </c>
      <c r="ISK33" t="str">
        <f t="shared" si="362"/>
        <v/>
      </c>
      <c r="ISL33" t="str">
        <f t="shared" si="362"/>
        <v/>
      </c>
      <c r="ISM33" t="str">
        <f t="shared" si="362"/>
        <v/>
      </c>
      <c r="ISN33" t="str">
        <f t="shared" si="362"/>
        <v/>
      </c>
      <c r="ISO33" t="str">
        <f t="shared" si="362"/>
        <v/>
      </c>
      <c r="ISP33" t="str">
        <f t="shared" si="362"/>
        <v/>
      </c>
      <c r="ISQ33" t="str">
        <f t="shared" si="362"/>
        <v/>
      </c>
      <c r="ISR33" t="str">
        <f t="shared" si="362"/>
        <v/>
      </c>
      <c r="ISS33" t="str">
        <f t="shared" si="362"/>
        <v/>
      </c>
      <c r="IST33" t="str">
        <f t="shared" si="362"/>
        <v/>
      </c>
      <c r="ISU33" t="str">
        <f t="shared" si="362"/>
        <v/>
      </c>
      <c r="ISV33" t="str">
        <f t="shared" si="362"/>
        <v/>
      </c>
      <c r="ISW33" t="str">
        <f t="shared" si="362"/>
        <v/>
      </c>
      <c r="ISX33" t="str">
        <f t="shared" si="362"/>
        <v/>
      </c>
      <c r="ISY33" t="str">
        <f t="shared" si="362"/>
        <v/>
      </c>
      <c r="ISZ33" t="str">
        <f t="shared" si="362"/>
        <v/>
      </c>
      <c r="ITA33" t="str">
        <f t="shared" ref="ITA33:IVL33" si="363">TRIM(ITR17)</f>
        <v/>
      </c>
      <c r="ITB33" t="str">
        <f t="shared" si="363"/>
        <v/>
      </c>
      <c r="ITC33" t="str">
        <f t="shared" si="363"/>
        <v/>
      </c>
      <c r="ITD33" t="str">
        <f t="shared" si="363"/>
        <v/>
      </c>
      <c r="ITE33" t="str">
        <f t="shared" si="363"/>
        <v/>
      </c>
      <c r="ITF33" t="str">
        <f t="shared" si="363"/>
        <v/>
      </c>
      <c r="ITG33" t="str">
        <f t="shared" si="363"/>
        <v/>
      </c>
      <c r="ITH33" t="str">
        <f t="shared" si="363"/>
        <v/>
      </c>
      <c r="ITI33" t="str">
        <f t="shared" si="363"/>
        <v/>
      </c>
      <c r="ITJ33" t="str">
        <f t="shared" si="363"/>
        <v/>
      </c>
      <c r="ITK33" t="str">
        <f t="shared" si="363"/>
        <v/>
      </c>
      <c r="ITL33" t="str">
        <f t="shared" si="363"/>
        <v/>
      </c>
      <c r="ITM33" t="str">
        <f t="shared" si="363"/>
        <v/>
      </c>
      <c r="ITN33" t="str">
        <f t="shared" si="363"/>
        <v/>
      </c>
      <c r="ITO33" t="str">
        <f t="shared" si="363"/>
        <v/>
      </c>
      <c r="ITP33" t="str">
        <f t="shared" si="363"/>
        <v/>
      </c>
      <c r="ITQ33" t="str">
        <f t="shared" si="363"/>
        <v/>
      </c>
      <c r="ITR33" t="str">
        <f t="shared" si="363"/>
        <v/>
      </c>
      <c r="ITS33" t="str">
        <f t="shared" si="363"/>
        <v/>
      </c>
      <c r="ITT33" t="str">
        <f t="shared" si="363"/>
        <v/>
      </c>
      <c r="ITU33" t="str">
        <f t="shared" si="363"/>
        <v/>
      </c>
      <c r="ITV33" t="str">
        <f t="shared" si="363"/>
        <v/>
      </c>
      <c r="ITW33" t="str">
        <f t="shared" si="363"/>
        <v/>
      </c>
      <c r="ITX33" t="str">
        <f t="shared" si="363"/>
        <v/>
      </c>
      <c r="ITY33" t="str">
        <f t="shared" si="363"/>
        <v/>
      </c>
      <c r="ITZ33" t="str">
        <f t="shared" si="363"/>
        <v/>
      </c>
      <c r="IUA33" t="str">
        <f t="shared" si="363"/>
        <v/>
      </c>
      <c r="IUB33" t="str">
        <f t="shared" si="363"/>
        <v/>
      </c>
      <c r="IUC33" t="str">
        <f t="shared" si="363"/>
        <v/>
      </c>
      <c r="IUD33" t="str">
        <f t="shared" si="363"/>
        <v/>
      </c>
      <c r="IUE33" t="str">
        <f t="shared" si="363"/>
        <v/>
      </c>
      <c r="IUF33" t="str">
        <f t="shared" si="363"/>
        <v/>
      </c>
      <c r="IUG33" t="str">
        <f t="shared" si="363"/>
        <v/>
      </c>
      <c r="IUH33" t="str">
        <f t="shared" si="363"/>
        <v/>
      </c>
      <c r="IUI33" t="str">
        <f t="shared" si="363"/>
        <v/>
      </c>
      <c r="IUJ33" t="str">
        <f t="shared" si="363"/>
        <v/>
      </c>
      <c r="IUK33" t="str">
        <f t="shared" si="363"/>
        <v/>
      </c>
      <c r="IUL33" t="str">
        <f t="shared" si="363"/>
        <v/>
      </c>
      <c r="IUM33" t="str">
        <f t="shared" si="363"/>
        <v/>
      </c>
      <c r="IUN33" t="str">
        <f t="shared" si="363"/>
        <v/>
      </c>
      <c r="IUO33" t="str">
        <f t="shared" si="363"/>
        <v/>
      </c>
      <c r="IUP33" t="str">
        <f t="shared" si="363"/>
        <v/>
      </c>
      <c r="IUQ33" t="str">
        <f t="shared" si="363"/>
        <v/>
      </c>
      <c r="IUR33" t="str">
        <f t="shared" si="363"/>
        <v/>
      </c>
      <c r="IUS33" t="str">
        <f t="shared" si="363"/>
        <v/>
      </c>
      <c r="IUT33" t="str">
        <f t="shared" si="363"/>
        <v/>
      </c>
      <c r="IUU33" t="str">
        <f t="shared" si="363"/>
        <v/>
      </c>
      <c r="IUV33" t="str">
        <f t="shared" si="363"/>
        <v/>
      </c>
      <c r="IUW33" t="str">
        <f t="shared" si="363"/>
        <v/>
      </c>
      <c r="IUX33" t="str">
        <f t="shared" si="363"/>
        <v/>
      </c>
      <c r="IUY33" t="str">
        <f t="shared" si="363"/>
        <v/>
      </c>
      <c r="IUZ33" t="str">
        <f t="shared" si="363"/>
        <v/>
      </c>
      <c r="IVA33" t="str">
        <f t="shared" si="363"/>
        <v/>
      </c>
      <c r="IVB33" t="str">
        <f t="shared" si="363"/>
        <v/>
      </c>
      <c r="IVC33" t="str">
        <f t="shared" si="363"/>
        <v/>
      </c>
      <c r="IVD33" t="str">
        <f t="shared" si="363"/>
        <v/>
      </c>
      <c r="IVE33" t="str">
        <f t="shared" si="363"/>
        <v/>
      </c>
      <c r="IVF33" t="str">
        <f t="shared" si="363"/>
        <v/>
      </c>
      <c r="IVG33" t="str">
        <f t="shared" si="363"/>
        <v/>
      </c>
      <c r="IVH33" t="str">
        <f t="shared" si="363"/>
        <v/>
      </c>
      <c r="IVI33" t="str">
        <f t="shared" si="363"/>
        <v/>
      </c>
      <c r="IVJ33" t="str">
        <f t="shared" si="363"/>
        <v/>
      </c>
      <c r="IVK33" t="str">
        <f t="shared" si="363"/>
        <v/>
      </c>
      <c r="IVL33" t="str">
        <f t="shared" si="363"/>
        <v/>
      </c>
      <c r="IVM33" t="str">
        <f t="shared" ref="IVM33:IXX33" si="364">TRIM(IWD17)</f>
        <v/>
      </c>
      <c r="IVN33" t="str">
        <f t="shared" si="364"/>
        <v/>
      </c>
      <c r="IVO33" t="str">
        <f t="shared" si="364"/>
        <v/>
      </c>
      <c r="IVP33" t="str">
        <f t="shared" si="364"/>
        <v/>
      </c>
      <c r="IVQ33" t="str">
        <f t="shared" si="364"/>
        <v/>
      </c>
      <c r="IVR33" t="str">
        <f t="shared" si="364"/>
        <v/>
      </c>
      <c r="IVS33" t="str">
        <f t="shared" si="364"/>
        <v/>
      </c>
      <c r="IVT33" t="str">
        <f t="shared" si="364"/>
        <v/>
      </c>
      <c r="IVU33" t="str">
        <f t="shared" si="364"/>
        <v/>
      </c>
      <c r="IVV33" t="str">
        <f t="shared" si="364"/>
        <v/>
      </c>
      <c r="IVW33" t="str">
        <f t="shared" si="364"/>
        <v/>
      </c>
      <c r="IVX33" t="str">
        <f t="shared" si="364"/>
        <v/>
      </c>
      <c r="IVY33" t="str">
        <f t="shared" si="364"/>
        <v/>
      </c>
      <c r="IVZ33" t="str">
        <f t="shared" si="364"/>
        <v/>
      </c>
      <c r="IWA33" t="str">
        <f t="shared" si="364"/>
        <v/>
      </c>
      <c r="IWB33" t="str">
        <f t="shared" si="364"/>
        <v/>
      </c>
      <c r="IWC33" t="str">
        <f t="shared" si="364"/>
        <v/>
      </c>
      <c r="IWD33" t="str">
        <f t="shared" si="364"/>
        <v/>
      </c>
      <c r="IWE33" t="str">
        <f t="shared" si="364"/>
        <v/>
      </c>
      <c r="IWF33" t="str">
        <f t="shared" si="364"/>
        <v/>
      </c>
      <c r="IWG33" t="str">
        <f t="shared" si="364"/>
        <v/>
      </c>
      <c r="IWH33" t="str">
        <f t="shared" si="364"/>
        <v/>
      </c>
      <c r="IWI33" t="str">
        <f t="shared" si="364"/>
        <v/>
      </c>
      <c r="IWJ33" t="str">
        <f t="shared" si="364"/>
        <v/>
      </c>
      <c r="IWK33" t="str">
        <f t="shared" si="364"/>
        <v/>
      </c>
      <c r="IWL33" t="str">
        <f t="shared" si="364"/>
        <v/>
      </c>
      <c r="IWM33" t="str">
        <f t="shared" si="364"/>
        <v/>
      </c>
      <c r="IWN33" t="str">
        <f t="shared" si="364"/>
        <v/>
      </c>
      <c r="IWO33" t="str">
        <f t="shared" si="364"/>
        <v/>
      </c>
      <c r="IWP33" t="str">
        <f t="shared" si="364"/>
        <v/>
      </c>
      <c r="IWQ33" t="str">
        <f t="shared" si="364"/>
        <v/>
      </c>
      <c r="IWR33" t="str">
        <f t="shared" si="364"/>
        <v/>
      </c>
      <c r="IWS33" t="str">
        <f t="shared" si="364"/>
        <v/>
      </c>
      <c r="IWT33" t="str">
        <f t="shared" si="364"/>
        <v/>
      </c>
      <c r="IWU33" t="str">
        <f t="shared" si="364"/>
        <v/>
      </c>
      <c r="IWV33" t="str">
        <f t="shared" si="364"/>
        <v/>
      </c>
      <c r="IWW33" t="str">
        <f t="shared" si="364"/>
        <v/>
      </c>
      <c r="IWX33" t="str">
        <f t="shared" si="364"/>
        <v/>
      </c>
      <c r="IWY33" t="str">
        <f t="shared" si="364"/>
        <v/>
      </c>
      <c r="IWZ33" t="str">
        <f t="shared" si="364"/>
        <v/>
      </c>
      <c r="IXA33" t="str">
        <f t="shared" si="364"/>
        <v/>
      </c>
      <c r="IXB33" t="str">
        <f t="shared" si="364"/>
        <v/>
      </c>
      <c r="IXC33" t="str">
        <f t="shared" si="364"/>
        <v/>
      </c>
      <c r="IXD33" t="str">
        <f t="shared" si="364"/>
        <v/>
      </c>
      <c r="IXE33" t="str">
        <f t="shared" si="364"/>
        <v/>
      </c>
      <c r="IXF33" t="str">
        <f t="shared" si="364"/>
        <v/>
      </c>
      <c r="IXG33" t="str">
        <f t="shared" si="364"/>
        <v/>
      </c>
      <c r="IXH33" t="str">
        <f t="shared" si="364"/>
        <v/>
      </c>
      <c r="IXI33" t="str">
        <f t="shared" si="364"/>
        <v/>
      </c>
      <c r="IXJ33" t="str">
        <f t="shared" si="364"/>
        <v/>
      </c>
      <c r="IXK33" t="str">
        <f t="shared" si="364"/>
        <v/>
      </c>
      <c r="IXL33" t="str">
        <f t="shared" si="364"/>
        <v/>
      </c>
      <c r="IXM33" t="str">
        <f t="shared" si="364"/>
        <v/>
      </c>
      <c r="IXN33" t="str">
        <f t="shared" si="364"/>
        <v/>
      </c>
      <c r="IXO33" t="str">
        <f t="shared" si="364"/>
        <v/>
      </c>
      <c r="IXP33" t="str">
        <f t="shared" si="364"/>
        <v/>
      </c>
      <c r="IXQ33" t="str">
        <f t="shared" si="364"/>
        <v/>
      </c>
      <c r="IXR33" t="str">
        <f t="shared" si="364"/>
        <v/>
      </c>
      <c r="IXS33" t="str">
        <f t="shared" si="364"/>
        <v/>
      </c>
      <c r="IXT33" t="str">
        <f t="shared" si="364"/>
        <v/>
      </c>
      <c r="IXU33" t="str">
        <f t="shared" si="364"/>
        <v/>
      </c>
      <c r="IXV33" t="str">
        <f t="shared" si="364"/>
        <v/>
      </c>
      <c r="IXW33" t="str">
        <f t="shared" si="364"/>
        <v/>
      </c>
      <c r="IXX33" t="str">
        <f t="shared" si="364"/>
        <v/>
      </c>
      <c r="IXY33" t="str">
        <f t="shared" ref="IXY33:JAJ33" si="365">TRIM(IYP17)</f>
        <v/>
      </c>
      <c r="IXZ33" t="str">
        <f t="shared" si="365"/>
        <v/>
      </c>
      <c r="IYA33" t="str">
        <f t="shared" si="365"/>
        <v/>
      </c>
      <c r="IYB33" t="str">
        <f t="shared" si="365"/>
        <v/>
      </c>
      <c r="IYC33" t="str">
        <f t="shared" si="365"/>
        <v/>
      </c>
      <c r="IYD33" t="str">
        <f t="shared" si="365"/>
        <v/>
      </c>
      <c r="IYE33" t="str">
        <f t="shared" si="365"/>
        <v/>
      </c>
      <c r="IYF33" t="str">
        <f t="shared" si="365"/>
        <v/>
      </c>
      <c r="IYG33" t="str">
        <f t="shared" si="365"/>
        <v/>
      </c>
      <c r="IYH33" t="str">
        <f t="shared" si="365"/>
        <v/>
      </c>
      <c r="IYI33" t="str">
        <f t="shared" si="365"/>
        <v/>
      </c>
      <c r="IYJ33" t="str">
        <f t="shared" si="365"/>
        <v/>
      </c>
      <c r="IYK33" t="str">
        <f t="shared" si="365"/>
        <v/>
      </c>
      <c r="IYL33" t="str">
        <f t="shared" si="365"/>
        <v/>
      </c>
      <c r="IYM33" t="str">
        <f t="shared" si="365"/>
        <v/>
      </c>
      <c r="IYN33" t="str">
        <f t="shared" si="365"/>
        <v/>
      </c>
      <c r="IYO33" t="str">
        <f t="shared" si="365"/>
        <v/>
      </c>
      <c r="IYP33" t="str">
        <f t="shared" si="365"/>
        <v/>
      </c>
      <c r="IYQ33" t="str">
        <f t="shared" si="365"/>
        <v/>
      </c>
      <c r="IYR33" t="str">
        <f t="shared" si="365"/>
        <v/>
      </c>
      <c r="IYS33" t="str">
        <f t="shared" si="365"/>
        <v/>
      </c>
      <c r="IYT33" t="str">
        <f t="shared" si="365"/>
        <v/>
      </c>
      <c r="IYU33" t="str">
        <f t="shared" si="365"/>
        <v/>
      </c>
      <c r="IYV33" t="str">
        <f t="shared" si="365"/>
        <v/>
      </c>
      <c r="IYW33" t="str">
        <f t="shared" si="365"/>
        <v/>
      </c>
      <c r="IYX33" t="str">
        <f t="shared" si="365"/>
        <v/>
      </c>
      <c r="IYY33" t="str">
        <f t="shared" si="365"/>
        <v/>
      </c>
      <c r="IYZ33" t="str">
        <f t="shared" si="365"/>
        <v/>
      </c>
      <c r="IZA33" t="str">
        <f t="shared" si="365"/>
        <v/>
      </c>
      <c r="IZB33" t="str">
        <f t="shared" si="365"/>
        <v/>
      </c>
      <c r="IZC33" t="str">
        <f t="shared" si="365"/>
        <v/>
      </c>
      <c r="IZD33" t="str">
        <f t="shared" si="365"/>
        <v/>
      </c>
      <c r="IZE33" t="str">
        <f t="shared" si="365"/>
        <v/>
      </c>
      <c r="IZF33" t="str">
        <f t="shared" si="365"/>
        <v/>
      </c>
      <c r="IZG33" t="str">
        <f t="shared" si="365"/>
        <v/>
      </c>
      <c r="IZH33" t="str">
        <f t="shared" si="365"/>
        <v/>
      </c>
      <c r="IZI33" t="str">
        <f t="shared" si="365"/>
        <v/>
      </c>
      <c r="IZJ33" t="str">
        <f t="shared" si="365"/>
        <v/>
      </c>
      <c r="IZK33" t="str">
        <f t="shared" si="365"/>
        <v/>
      </c>
      <c r="IZL33" t="str">
        <f t="shared" si="365"/>
        <v/>
      </c>
      <c r="IZM33" t="str">
        <f t="shared" si="365"/>
        <v/>
      </c>
      <c r="IZN33" t="str">
        <f t="shared" si="365"/>
        <v/>
      </c>
      <c r="IZO33" t="str">
        <f t="shared" si="365"/>
        <v/>
      </c>
      <c r="IZP33" t="str">
        <f t="shared" si="365"/>
        <v/>
      </c>
      <c r="IZQ33" t="str">
        <f t="shared" si="365"/>
        <v/>
      </c>
      <c r="IZR33" t="str">
        <f t="shared" si="365"/>
        <v/>
      </c>
      <c r="IZS33" t="str">
        <f t="shared" si="365"/>
        <v/>
      </c>
      <c r="IZT33" t="str">
        <f t="shared" si="365"/>
        <v/>
      </c>
      <c r="IZU33" t="str">
        <f t="shared" si="365"/>
        <v/>
      </c>
      <c r="IZV33" t="str">
        <f t="shared" si="365"/>
        <v/>
      </c>
      <c r="IZW33" t="str">
        <f t="shared" si="365"/>
        <v/>
      </c>
      <c r="IZX33" t="str">
        <f t="shared" si="365"/>
        <v/>
      </c>
      <c r="IZY33" t="str">
        <f t="shared" si="365"/>
        <v/>
      </c>
      <c r="IZZ33" t="str">
        <f t="shared" si="365"/>
        <v/>
      </c>
      <c r="JAA33" t="str">
        <f t="shared" si="365"/>
        <v/>
      </c>
      <c r="JAB33" t="str">
        <f t="shared" si="365"/>
        <v/>
      </c>
      <c r="JAC33" t="str">
        <f t="shared" si="365"/>
        <v/>
      </c>
      <c r="JAD33" t="str">
        <f t="shared" si="365"/>
        <v/>
      </c>
      <c r="JAE33" t="str">
        <f t="shared" si="365"/>
        <v/>
      </c>
      <c r="JAF33" t="str">
        <f t="shared" si="365"/>
        <v/>
      </c>
      <c r="JAG33" t="str">
        <f t="shared" si="365"/>
        <v/>
      </c>
      <c r="JAH33" t="str">
        <f t="shared" si="365"/>
        <v/>
      </c>
      <c r="JAI33" t="str">
        <f t="shared" si="365"/>
        <v/>
      </c>
      <c r="JAJ33" t="str">
        <f t="shared" si="365"/>
        <v/>
      </c>
      <c r="JAK33" t="str">
        <f t="shared" ref="JAK33:JCV33" si="366">TRIM(JBB17)</f>
        <v/>
      </c>
      <c r="JAL33" t="str">
        <f t="shared" si="366"/>
        <v/>
      </c>
      <c r="JAM33" t="str">
        <f t="shared" si="366"/>
        <v/>
      </c>
      <c r="JAN33" t="str">
        <f t="shared" si="366"/>
        <v/>
      </c>
      <c r="JAO33" t="str">
        <f t="shared" si="366"/>
        <v/>
      </c>
      <c r="JAP33" t="str">
        <f t="shared" si="366"/>
        <v/>
      </c>
      <c r="JAQ33" t="str">
        <f t="shared" si="366"/>
        <v/>
      </c>
      <c r="JAR33" t="str">
        <f t="shared" si="366"/>
        <v/>
      </c>
      <c r="JAS33" t="str">
        <f t="shared" si="366"/>
        <v/>
      </c>
      <c r="JAT33" t="str">
        <f t="shared" si="366"/>
        <v/>
      </c>
      <c r="JAU33" t="str">
        <f t="shared" si="366"/>
        <v/>
      </c>
      <c r="JAV33" t="str">
        <f t="shared" si="366"/>
        <v/>
      </c>
      <c r="JAW33" t="str">
        <f t="shared" si="366"/>
        <v/>
      </c>
      <c r="JAX33" t="str">
        <f t="shared" si="366"/>
        <v/>
      </c>
      <c r="JAY33" t="str">
        <f t="shared" si="366"/>
        <v/>
      </c>
      <c r="JAZ33" t="str">
        <f t="shared" si="366"/>
        <v/>
      </c>
      <c r="JBA33" t="str">
        <f t="shared" si="366"/>
        <v/>
      </c>
      <c r="JBB33" t="str">
        <f t="shared" si="366"/>
        <v/>
      </c>
      <c r="JBC33" t="str">
        <f t="shared" si="366"/>
        <v/>
      </c>
      <c r="JBD33" t="str">
        <f t="shared" si="366"/>
        <v/>
      </c>
      <c r="JBE33" t="str">
        <f t="shared" si="366"/>
        <v/>
      </c>
      <c r="JBF33" t="str">
        <f t="shared" si="366"/>
        <v/>
      </c>
      <c r="JBG33" t="str">
        <f t="shared" si="366"/>
        <v/>
      </c>
      <c r="JBH33" t="str">
        <f t="shared" si="366"/>
        <v/>
      </c>
      <c r="JBI33" t="str">
        <f t="shared" si="366"/>
        <v/>
      </c>
      <c r="JBJ33" t="str">
        <f t="shared" si="366"/>
        <v/>
      </c>
      <c r="JBK33" t="str">
        <f t="shared" si="366"/>
        <v/>
      </c>
      <c r="JBL33" t="str">
        <f t="shared" si="366"/>
        <v/>
      </c>
      <c r="JBM33" t="str">
        <f t="shared" si="366"/>
        <v/>
      </c>
      <c r="JBN33" t="str">
        <f t="shared" si="366"/>
        <v/>
      </c>
      <c r="JBO33" t="str">
        <f t="shared" si="366"/>
        <v/>
      </c>
      <c r="JBP33" t="str">
        <f t="shared" si="366"/>
        <v/>
      </c>
      <c r="JBQ33" t="str">
        <f t="shared" si="366"/>
        <v/>
      </c>
      <c r="JBR33" t="str">
        <f t="shared" si="366"/>
        <v/>
      </c>
      <c r="JBS33" t="str">
        <f t="shared" si="366"/>
        <v/>
      </c>
      <c r="JBT33" t="str">
        <f t="shared" si="366"/>
        <v/>
      </c>
      <c r="JBU33" t="str">
        <f t="shared" si="366"/>
        <v/>
      </c>
      <c r="JBV33" t="str">
        <f t="shared" si="366"/>
        <v/>
      </c>
      <c r="JBW33" t="str">
        <f t="shared" si="366"/>
        <v/>
      </c>
      <c r="JBX33" t="str">
        <f t="shared" si="366"/>
        <v/>
      </c>
      <c r="JBY33" t="str">
        <f t="shared" si="366"/>
        <v/>
      </c>
      <c r="JBZ33" t="str">
        <f t="shared" si="366"/>
        <v/>
      </c>
      <c r="JCA33" t="str">
        <f t="shared" si="366"/>
        <v/>
      </c>
      <c r="JCB33" t="str">
        <f t="shared" si="366"/>
        <v/>
      </c>
      <c r="JCC33" t="str">
        <f t="shared" si="366"/>
        <v/>
      </c>
      <c r="JCD33" t="str">
        <f t="shared" si="366"/>
        <v/>
      </c>
      <c r="JCE33" t="str">
        <f t="shared" si="366"/>
        <v/>
      </c>
      <c r="JCF33" t="str">
        <f t="shared" si="366"/>
        <v/>
      </c>
      <c r="JCG33" t="str">
        <f t="shared" si="366"/>
        <v/>
      </c>
      <c r="JCH33" t="str">
        <f t="shared" si="366"/>
        <v/>
      </c>
      <c r="JCI33" t="str">
        <f t="shared" si="366"/>
        <v/>
      </c>
      <c r="JCJ33" t="str">
        <f t="shared" si="366"/>
        <v/>
      </c>
      <c r="JCK33" t="str">
        <f t="shared" si="366"/>
        <v/>
      </c>
      <c r="JCL33" t="str">
        <f t="shared" si="366"/>
        <v/>
      </c>
      <c r="JCM33" t="str">
        <f t="shared" si="366"/>
        <v/>
      </c>
      <c r="JCN33" t="str">
        <f t="shared" si="366"/>
        <v/>
      </c>
      <c r="JCO33" t="str">
        <f t="shared" si="366"/>
        <v/>
      </c>
      <c r="JCP33" t="str">
        <f t="shared" si="366"/>
        <v/>
      </c>
      <c r="JCQ33" t="str">
        <f t="shared" si="366"/>
        <v/>
      </c>
      <c r="JCR33" t="str">
        <f t="shared" si="366"/>
        <v/>
      </c>
      <c r="JCS33" t="str">
        <f t="shared" si="366"/>
        <v/>
      </c>
      <c r="JCT33" t="str">
        <f t="shared" si="366"/>
        <v/>
      </c>
      <c r="JCU33" t="str">
        <f t="shared" si="366"/>
        <v/>
      </c>
      <c r="JCV33" t="str">
        <f t="shared" si="366"/>
        <v/>
      </c>
      <c r="JCW33" t="str">
        <f t="shared" ref="JCW33:JFH33" si="367">TRIM(JDN17)</f>
        <v/>
      </c>
      <c r="JCX33" t="str">
        <f t="shared" si="367"/>
        <v/>
      </c>
      <c r="JCY33" t="str">
        <f t="shared" si="367"/>
        <v/>
      </c>
      <c r="JCZ33" t="str">
        <f t="shared" si="367"/>
        <v/>
      </c>
      <c r="JDA33" t="str">
        <f t="shared" si="367"/>
        <v/>
      </c>
      <c r="JDB33" t="str">
        <f t="shared" si="367"/>
        <v/>
      </c>
      <c r="JDC33" t="str">
        <f t="shared" si="367"/>
        <v/>
      </c>
      <c r="JDD33" t="str">
        <f t="shared" si="367"/>
        <v/>
      </c>
      <c r="JDE33" t="str">
        <f t="shared" si="367"/>
        <v/>
      </c>
      <c r="JDF33" t="str">
        <f t="shared" si="367"/>
        <v/>
      </c>
      <c r="JDG33" t="str">
        <f t="shared" si="367"/>
        <v/>
      </c>
      <c r="JDH33" t="str">
        <f t="shared" si="367"/>
        <v/>
      </c>
      <c r="JDI33" t="str">
        <f t="shared" si="367"/>
        <v/>
      </c>
      <c r="JDJ33" t="str">
        <f t="shared" si="367"/>
        <v/>
      </c>
      <c r="JDK33" t="str">
        <f t="shared" si="367"/>
        <v/>
      </c>
      <c r="JDL33" t="str">
        <f t="shared" si="367"/>
        <v/>
      </c>
      <c r="JDM33" t="str">
        <f t="shared" si="367"/>
        <v/>
      </c>
      <c r="JDN33" t="str">
        <f t="shared" si="367"/>
        <v/>
      </c>
      <c r="JDO33" t="str">
        <f t="shared" si="367"/>
        <v/>
      </c>
      <c r="JDP33" t="str">
        <f t="shared" si="367"/>
        <v/>
      </c>
      <c r="JDQ33" t="str">
        <f t="shared" si="367"/>
        <v/>
      </c>
      <c r="JDR33" t="str">
        <f t="shared" si="367"/>
        <v/>
      </c>
      <c r="JDS33" t="str">
        <f t="shared" si="367"/>
        <v/>
      </c>
      <c r="JDT33" t="str">
        <f t="shared" si="367"/>
        <v/>
      </c>
      <c r="JDU33" t="str">
        <f t="shared" si="367"/>
        <v/>
      </c>
      <c r="JDV33" t="str">
        <f t="shared" si="367"/>
        <v/>
      </c>
      <c r="JDW33" t="str">
        <f t="shared" si="367"/>
        <v/>
      </c>
      <c r="JDX33" t="str">
        <f t="shared" si="367"/>
        <v/>
      </c>
      <c r="JDY33" t="str">
        <f t="shared" si="367"/>
        <v/>
      </c>
      <c r="JDZ33" t="str">
        <f t="shared" si="367"/>
        <v/>
      </c>
      <c r="JEA33" t="str">
        <f t="shared" si="367"/>
        <v/>
      </c>
      <c r="JEB33" t="str">
        <f t="shared" si="367"/>
        <v/>
      </c>
      <c r="JEC33" t="str">
        <f t="shared" si="367"/>
        <v/>
      </c>
      <c r="JED33" t="str">
        <f t="shared" si="367"/>
        <v/>
      </c>
      <c r="JEE33" t="str">
        <f t="shared" si="367"/>
        <v/>
      </c>
      <c r="JEF33" t="str">
        <f t="shared" si="367"/>
        <v/>
      </c>
      <c r="JEG33" t="str">
        <f t="shared" si="367"/>
        <v/>
      </c>
      <c r="JEH33" t="str">
        <f t="shared" si="367"/>
        <v/>
      </c>
      <c r="JEI33" t="str">
        <f t="shared" si="367"/>
        <v/>
      </c>
      <c r="JEJ33" t="str">
        <f t="shared" si="367"/>
        <v/>
      </c>
      <c r="JEK33" t="str">
        <f t="shared" si="367"/>
        <v/>
      </c>
      <c r="JEL33" t="str">
        <f t="shared" si="367"/>
        <v/>
      </c>
      <c r="JEM33" t="str">
        <f t="shared" si="367"/>
        <v/>
      </c>
      <c r="JEN33" t="str">
        <f t="shared" si="367"/>
        <v/>
      </c>
      <c r="JEO33" t="str">
        <f t="shared" si="367"/>
        <v/>
      </c>
      <c r="JEP33" t="str">
        <f t="shared" si="367"/>
        <v/>
      </c>
      <c r="JEQ33" t="str">
        <f t="shared" si="367"/>
        <v/>
      </c>
      <c r="JER33" t="str">
        <f t="shared" si="367"/>
        <v/>
      </c>
      <c r="JES33" t="str">
        <f t="shared" si="367"/>
        <v/>
      </c>
      <c r="JET33" t="str">
        <f t="shared" si="367"/>
        <v/>
      </c>
      <c r="JEU33" t="str">
        <f t="shared" si="367"/>
        <v/>
      </c>
      <c r="JEV33" t="str">
        <f t="shared" si="367"/>
        <v/>
      </c>
      <c r="JEW33" t="str">
        <f t="shared" si="367"/>
        <v/>
      </c>
      <c r="JEX33" t="str">
        <f t="shared" si="367"/>
        <v/>
      </c>
      <c r="JEY33" t="str">
        <f t="shared" si="367"/>
        <v/>
      </c>
      <c r="JEZ33" t="str">
        <f t="shared" si="367"/>
        <v/>
      </c>
      <c r="JFA33" t="str">
        <f t="shared" si="367"/>
        <v/>
      </c>
      <c r="JFB33" t="str">
        <f t="shared" si="367"/>
        <v/>
      </c>
      <c r="JFC33" t="str">
        <f t="shared" si="367"/>
        <v/>
      </c>
      <c r="JFD33" t="str">
        <f t="shared" si="367"/>
        <v/>
      </c>
      <c r="JFE33" t="str">
        <f t="shared" si="367"/>
        <v/>
      </c>
      <c r="JFF33" t="str">
        <f t="shared" si="367"/>
        <v/>
      </c>
      <c r="JFG33" t="str">
        <f t="shared" si="367"/>
        <v/>
      </c>
      <c r="JFH33" t="str">
        <f t="shared" si="367"/>
        <v/>
      </c>
      <c r="JFI33" t="str">
        <f t="shared" ref="JFI33:JHT33" si="368">TRIM(JFZ17)</f>
        <v/>
      </c>
      <c r="JFJ33" t="str">
        <f t="shared" si="368"/>
        <v/>
      </c>
      <c r="JFK33" t="str">
        <f t="shared" si="368"/>
        <v/>
      </c>
      <c r="JFL33" t="str">
        <f t="shared" si="368"/>
        <v/>
      </c>
      <c r="JFM33" t="str">
        <f t="shared" si="368"/>
        <v/>
      </c>
      <c r="JFN33" t="str">
        <f t="shared" si="368"/>
        <v/>
      </c>
      <c r="JFO33" t="str">
        <f t="shared" si="368"/>
        <v/>
      </c>
      <c r="JFP33" t="str">
        <f t="shared" si="368"/>
        <v/>
      </c>
      <c r="JFQ33" t="str">
        <f t="shared" si="368"/>
        <v/>
      </c>
      <c r="JFR33" t="str">
        <f t="shared" si="368"/>
        <v/>
      </c>
      <c r="JFS33" t="str">
        <f t="shared" si="368"/>
        <v/>
      </c>
      <c r="JFT33" t="str">
        <f t="shared" si="368"/>
        <v/>
      </c>
      <c r="JFU33" t="str">
        <f t="shared" si="368"/>
        <v/>
      </c>
      <c r="JFV33" t="str">
        <f t="shared" si="368"/>
        <v/>
      </c>
      <c r="JFW33" t="str">
        <f t="shared" si="368"/>
        <v/>
      </c>
      <c r="JFX33" t="str">
        <f t="shared" si="368"/>
        <v/>
      </c>
      <c r="JFY33" t="str">
        <f t="shared" si="368"/>
        <v/>
      </c>
      <c r="JFZ33" t="str">
        <f t="shared" si="368"/>
        <v/>
      </c>
      <c r="JGA33" t="str">
        <f t="shared" si="368"/>
        <v/>
      </c>
      <c r="JGB33" t="str">
        <f t="shared" si="368"/>
        <v/>
      </c>
      <c r="JGC33" t="str">
        <f t="shared" si="368"/>
        <v/>
      </c>
      <c r="JGD33" t="str">
        <f t="shared" si="368"/>
        <v/>
      </c>
      <c r="JGE33" t="str">
        <f t="shared" si="368"/>
        <v/>
      </c>
      <c r="JGF33" t="str">
        <f t="shared" si="368"/>
        <v/>
      </c>
      <c r="JGG33" t="str">
        <f t="shared" si="368"/>
        <v/>
      </c>
      <c r="JGH33" t="str">
        <f t="shared" si="368"/>
        <v/>
      </c>
      <c r="JGI33" t="str">
        <f t="shared" si="368"/>
        <v/>
      </c>
      <c r="JGJ33" t="str">
        <f t="shared" si="368"/>
        <v/>
      </c>
      <c r="JGK33" t="str">
        <f t="shared" si="368"/>
        <v/>
      </c>
      <c r="JGL33" t="str">
        <f t="shared" si="368"/>
        <v/>
      </c>
      <c r="JGM33" t="str">
        <f t="shared" si="368"/>
        <v/>
      </c>
      <c r="JGN33" t="str">
        <f t="shared" si="368"/>
        <v/>
      </c>
      <c r="JGO33" t="str">
        <f t="shared" si="368"/>
        <v/>
      </c>
      <c r="JGP33" t="str">
        <f t="shared" si="368"/>
        <v/>
      </c>
      <c r="JGQ33" t="str">
        <f t="shared" si="368"/>
        <v/>
      </c>
      <c r="JGR33" t="str">
        <f t="shared" si="368"/>
        <v/>
      </c>
      <c r="JGS33" t="str">
        <f t="shared" si="368"/>
        <v/>
      </c>
      <c r="JGT33" t="str">
        <f t="shared" si="368"/>
        <v/>
      </c>
      <c r="JGU33" t="str">
        <f t="shared" si="368"/>
        <v/>
      </c>
      <c r="JGV33" t="str">
        <f t="shared" si="368"/>
        <v/>
      </c>
      <c r="JGW33" t="str">
        <f t="shared" si="368"/>
        <v/>
      </c>
      <c r="JGX33" t="str">
        <f t="shared" si="368"/>
        <v/>
      </c>
      <c r="JGY33" t="str">
        <f t="shared" si="368"/>
        <v/>
      </c>
      <c r="JGZ33" t="str">
        <f t="shared" si="368"/>
        <v/>
      </c>
      <c r="JHA33" t="str">
        <f t="shared" si="368"/>
        <v/>
      </c>
      <c r="JHB33" t="str">
        <f t="shared" si="368"/>
        <v/>
      </c>
      <c r="JHC33" t="str">
        <f t="shared" si="368"/>
        <v/>
      </c>
      <c r="JHD33" t="str">
        <f t="shared" si="368"/>
        <v/>
      </c>
      <c r="JHE33" t="str">
        <f t="shared" si="368"/>
        <v/>
      </c>
      <c r="JHF33" t="str">
        <f t="shared" si="368"/>
        <v/>
      </c>
      <c r="JHG33" t="str">
        <f t="shared" si="368"/>
        <v/>
      </c>
      <c r="JHH33" t="str">
        <f t="shared" si="368"/>
        <v/>
      </c>
      <c r="JHI33" t="str">
        <f t="shared" si="368"/>
        <v/>
      </c>
      <c r="JHJ33" t="str">
        <f t="shared" si="368"/>
        <v/>
      </c>
      <c r="JHK33" t="str">
        <f t="shared" si="368"/>
        <v/>
      </c>
      <c r="JHL33" t="str">
        <f t="shared" si="368"/>
        <v/>
      </c>
      <c r="JHM33" t="str">
        <f t="shared" si="368"/>
        <v/>
      </c>
      <c r="JHN33" t="str">
        <f t="shared" si="368"/>
        <v/>
      </c>
      <c r="JHO33" t="str">
        <f t="shared" si="368"/>
        <v/>
      </c>
      <c r="JHP33" t="str">
        <f t="shared" si="368"/>
        <v/>
      </c>
      <c r="JHQ33" t="str">
        <f t="shared" si="368"/>
        <v/>
      </c>
      <c r="JHR33" t="str">
        <f t="shared" si="368"/>
        <v/>
      </c>
      <c r="JHS33" t="str">
        <f t="shared" si="368"/>
        <v/>
      </c>
      <c r="JHT33" t="str">
        <f t="shared" si="368"/>
        <v/>
      </c>
      <c r="JHU33" t="str">
        <f t="shared" ref="JHU33:JKF33" si="369">TRIM(JIL17)</f>
        <v/>
      </c>
      <c r="JHV33" t="str">
        <f t="shared" si="369"/>
        <v/>
      </c>
      <c r="JHW33" t="str">
        <f t="shared" si="369"/>
        <v/>
      </c>
      <c r="JHX33" t="str">
        <f t="shared" si="369"/>
        <v/>
      </c>
      <c r="JHY33" t="str">
        <f t="shared" si="369"/>
        <v/>
      </c>
      <c r="JHZ33" t="str">
        <f t="shared" si="369"/>
        <v/>
      </c>
      <c r="JIA33" t="str">
        <f t="shared" si="369"/>
        <v/>
      </c>
      <c r="JIB33" t="str">
        <f t="shared" si="369"/>
        <v/>
      </c>
      <c r="JIC33" t="str">
        <f t="shared" si="369"/>
        <v/>
      </c>
      <c r="JID33" t="str">
        <f t="shared" si="369"/>
        <v/>
      </c>
      <c r="JIE33" t="str">
        <f t="shared" si="369"/>
        <v/>
      </c>
      <c r="JIF33" t="str">
        <f t="shared" si="369"/>
        <v/>
      </c>
      <c r="JIG33" t="str">
        <f t="shared" si="369"/>
        <v/>
      </c>
      <c r="JIH33" t="str">
        <f t="shared" si="369"/>
        <v/>
      </c>
      <c r="JII33" t="str">
        <f t="shared" si="369"/>
        <v/>
      </c>
      <c r="JIJ33" t="str">
        <f t="shared" si="369"/>
        <v/>
      </c>
      <c r="JIK33" t="str">
        <f t="shared" si="369"/>
        <v/>
      </c>
      <c r="JIL33" t="str">
        <f t="shared" si="369"/>
        <v/>
      </c>
      <c r="JIM33" t="str">
        <f t="shared" si="369"/>
        <v/>
      </c>
      <c r="JIN33" t="str">
        <f t="shared" si="369"/>
        <v/>
      </c>
      <c r="JIO33" t="str">
        <f t="shared" si="369"/>
        <v/>
      </c>
      <c r="JIP33" t="str">
        <f t="shared" si="369"/>
        <v/>
      </c>
      <c r="JIQ33" t="str">
        <f t="shared" si="369"/>
        <v/>
      </c>
      <c r="JIR33" t="str">
        <f t="shared" si="369"/>
        <v/>
      </c>
      <c r="JIS33" t="str">
        <f t="shared" si="369"/>
        <v/>
      </c>
      <c r="JIT33" t="str">
        <f t="shared" si="369"/>
        <v/>
      </c>
      <c r="JIU33" t="str">
        <f t="shared" si="369"/>
        <v/>
      </c>
      <c r="JIV33" t="str">
        <f t="shared" si="369"/>
        <v/>
      </c>
      <c r="JIW33" t="str">
        <f t="shared" si="369"/>
        <v/>
      </c>
      <c r="JIX33" t="str">
        <f t="shared" si="369"/>
        <v/>
      </c>
      <c r="JIY33" t="str">
        <f t="shared" si="369"/>
        <v/>
      </c>
      <c r="JIZ33" t="str">
        <f t="shared" si="369"/>
        <v/>
      </c>
      <c r="JJA33" t="str">
        <f t="shared" si="369"/>
        <v/>
      </c>
      <c r="JJB33" t="str">
        <f t="shared" si="369"/>
        <v/>
      </c>
      <c r="JJC33" t="str">
        <f t="shared" si="369"/>
        <v/>
      </c>
      <c r="JJD33" t="str">
        <f t="shared" si="369"/>
        <v/>
      </c>
      <c r="JJE33" t="str">
        <f t="shared" si="369"/>
        <v/>
      </c>
      <c r="JJF33" t="str">
        <f t="shared" si="369"/>
        <v/>
      </c>
      <c r="JJG33" t="str">
        <f t="shared" si="369"/>
        <v/>
      </c>
      <c r="JJH33" t="str">
        <f t="shared" si="369"/>
        <v/>
      </c>
      <c r="JJI33" t="str">
        <f t="shared" si="369"/>
        <v/>
      </c>
      <c r="JJJ33" t="str">
        <f t="shared" si="369"/>
        <v/>
      </c>
      <c r="JJK33" t="str">
        <f t="shared" si="369"/>
        <v/>
      </c>
      <c r="JJL33" t="str">
        <f t="shared" si="369"/>
        <v/>
      </c>
      <c r="JJM33" t="str">
        <f t="shared" si="369"/>
        <v/>
      </c>
      <c r="JJN33" t="str">
        <f t="shared" si="369"/>
        <v/>
      </c>
      <c r="JJO33" t="str">
        <f t="shared" si="369"/>
        <v/>
      </c>
      <c r="JJP33" t="str">
        <f t="shared" si="369"/>
        <v/>
      </c>
      <c r="JJQ33" t="str">
        <f t="shared" si="369"/>
        <v/>
      </c>
      <c r="JJR33" t="str">
        <f t="shared" si="369"/>
        <v/>
      </c>
      <c r="JJS33" t="str">
        <f t="shared" si="369"/>
        <v/>
      </c>
      <c r="JJT33" t="str">
        <f t="shared" si="369"/>
        <v/>
      </c>
      <c r="JJU33" t="str">
        <f t="shared" si="369"/>
        <v/>
      </c>
      <c r="JJV33" t="str">
        <f t="shared" si="369"/>
        <v/>
      </c>
      <c r="JJW33" t="str">
        <f t="shared" si="369"/>
        <v/>
      </c>
      <c r="JJX33" t="str">
        <f t="shared" si="369"/>
        <v/>
      </c>
      <c r="JJY33" t="str">
        <f t="shared" si="369"/>
        <v/>
      </c>
      <c r="JJZ33" t="str">
        <f t="shared" si="369"/>
        <v/>
      </c>
      <c r="JKA33" t="str">
        <f t="shared" si="369"/>
        <v/>
      </c>
      <c r="JKB33" t="str">
        <f t="shared" si="369"/>
        <v/>
      </c>
      <c r="JKC33" t="str">
        <f t="shared" si="369"/>
        <v/>
      </c>
      <c r="JKD33" t="str">
        <f t="shared" si="369"/>
        <v/>
      </c>
      <c r="JKE33" t="str">
        <f t="shared" si="369"/>
        <v/>
      </c>
      <c r="JKF33" t="str">
        <f t="shared" si="369"/>
        <v/>
      </c>
      <c r="JKG33" t="str">
        <f t="shared" ref="JKG33:JMR33" si="370">TRIM(JKX17)</f>
        <v/>
      </c>
      <c r="JKH33" t="str">
        <f t="shared" si="370"/>
        <v/>
      </c>
      <c r="JKI33" t="str">
        <f t="shared" si="370"/>
        <v/>
      </c>
      <c r="JKJ33" t="str">
        <f t="shared" si="370"/>
        <v/>
      </c>
      <c r="JKK33" t="str">
        <f t="shared" si="370"/>
        <v/>
      </c>
      <c r="JKL33" t="str">
        <f t="shared" si="370"/>
        <v/>
      </c>
      <c r="JKM33" t="str">
        <f t="shared" si="370"/>
        <v/>
      </c>
      <c r="JKN33" t="str">
        <f t="shared" si="370"/>
        <v/>
      </c>
      <c r="JKO33" t="str">
        <f t="shared" si="370"/>
        <v/>
      </c>
      <c r="JKP33" t="str">
        <f t="shared" si="370"/>
        <v/>
      </c>
      <c r="JKQ33" t="str">
        <f t="shared" si="370"/>
        <v/>
      </c>
      <c r="JKR33" t="str">
        <f t="shared" si="370"/>
        <v/>
      </c>
      <c r="JKS33" t="str">
        <f t="shared" si="370"/>
        <v/>
      </c>
      <c r="JKT33" t="str">
        <f t="shared" si="370"/>
        <v/>
      </c>
      <c r="JKU33" t="str">
        <f t="shared" si="370"/>
        <v/>
      </c>
      <c r="JKV33" t="str">
        <f t="shared" si="370"/>
        <v/>
      </c>
      <c r="JKW33" t="str">
        <f t="shared" si="370"/>
        <v/>
      </c>
      <c r="JKX33" t="str">
        <f t="shared" si="370"/>
        <v/>
      </c>
      <c r="JKY33" t="str">
        <f t="shared" si="370"/>
        <v/>
      </c>
      <c r="JKZ33" t="str">
        <f t="shared" si="370"/>
        <v/>
      </c>
      <c r="JLA33" t="str">
        <f t="shared" si="370"/>
        <v/>
      </c>
      <c r="JLB33" t="str">
        <f t="shared" si="370"/>
        <v/>
      </c>
      <c r="JLC33" t="str">
        <f t="shared" si="370"/>
        <v/>
      </c>
      <c r="JLD33" t="str">
        <f t="shared" si="370"/>
        <v/>
      </c>
      <c r="JLE33" t="str">
        <f t="shared" si="370"/>
        <v/>
      </c>
      <c r="JLF33" t="str">
        <f t="shared" si="370"/>
        <v/>
      </c>
      <c r="JLG33" t="str">
        <f t="shared" si="370"/>
        <v/>
      </c>
      <c r="JLH33" t="str">
        <f t="shared" si="370"/>
        <v/>
      </c>
      <c r="JLI33" t="str">
        <f t="shared" si="370"/>
        <v/>
      </c>
      <c r="JLJ33" t="str">
        <f t="shared" si="370"/>
        <v/>
      </c>
      <c r="JLK33" t="str">
        <f t="shared" si="370"/>
        <v/>
      </c>
      <c r="JLL33" t="str">
        <f t="shared" si="370"/>
        <v/>
      </c>
      <c r="JLM33" t="str">
        <f t="shared" si="370"/>
        <v/>
      </c>
      <c r="JLN33" t="str">
        <f t="shared" si="370"/>
        <v/>
      </c>
      <c r="JLO33" t="str">
        <f t="shared" si="370"/>
        <v/>
      </c>
      <c r="JLP33" t="str">
        <f t="shared" si="370"/>
        <v/>
      </c>
      <c r="JLQ33" t="str">
        <f t="shared" si="370"/>
        <v/>
      </c>
      <c r="JLR33" t="str">
        <f t="shared" si="370"/>
        <v/>
      </c>
      <c r="JLS33" t="str">
        <f t="shared" si="370"/>
        <v/>
      </c>
      <c r="JLT33" t="str">
        <f t="shared" si="370"/>
        <v/>
      </c>
      <c r="JLU33" t="str">
        <f t="shared" si="370"/>
        <v/>
      </c>
      <c r="JLV33" t="str">
        <f t="shared" si="370"/>
        <v/>
      </c>
      <c r="JLW33" t="str">
        <f t="shared" si="370"/>
        <v/>
      </c>
      <c r="JLX33" t="str">
        <f t="shared" si="370"/>
        <v/>
      </c>
      <c r="JLY33" t="str">
        <f t="shared" si="370"/>
        <v/>
      </c>
      <c r="JLZ33" t="str">
        <f t="shared" si="370"/>
        <v/>
      </c>
      <c r="JMA33" t="str">
        <f t="shared" si="370"/>
        <v/>
      </c>
      <c r="JMB33" t="str">
        <f t="shared" si="370"/>
        <v/>
      </c>
      <c r="JMC33" t="str">
        <f t="shared" si="370"/>
        <v/>
      </c>
      <c r="JMD33" t="str">
        <f t="shared" si="370"/>
        <v/>
      </c>
      <c r="JME33" t="str">
        <f t="shared" si="370"/>
        <v/>
      </c>
      <c r="JMF33" t="str">
        <f t="shared" si="370"/>
        <v/>
      </c>
      <c r="JMG33" t="str">
        <f t="shared" si="370"/>
        <v/>
      </c>
      <c r="JMH33" t="str">
        <f t="shared" si="370"/>
        <v/>
      </c>
      <c r="JMI33" t="str">
        <f t="shared" si="370"/>
        <v/>
      </c>
      <c r="JMJ33" t="str">
        <f t="shared" si="370"/>
        <v/>
      </c>
      <c r="JMK33" t="str">
        <f t="shared" si="370"/>
        <v/>
      </c>
      <c r="JML33" t="str">
        <f t="shared" si="370"/>
        <v/>
      </c>
      <c r="JMM33" t="str">
        <f t="shared" si="370"/>
        <v/>
      </c>
      <c r="JMN33" t="str">
        <f t="shared" si="370"/>
        <v/>
      </c>
      <c r="JMO33" t="str">
        <f t="shared" si="370"/>
        <v/>
      </c>
      <c r="JMP33" t="str">
        <f t="shared" si="370"/>
        <v/>
      </c>
      <c r="JMQ33" t="str">
        <f t="shared" si="370"/>
        <v/>
      </c>
      <c r="JMR33" t="str">
        <f t="shared" si="370"/>
        <v/>
      </c>
      <c r="JMS33" t="str">
        <f t="shared" ref="JMS33:JPD33" si="371">TRIM(JNJ17)</f>
        <v/>
      </c>
      <c r="JMT33" t="str">
        <f t="shared" si="371"/>
        <v/>
      </c>
      <c r="JMU33" t="str">
        <f t="shared" si="371"/>
        <v/>
      </c>
      <c r="JMV33" t="str">
        <f t="shared" si="371"/>
        <v/>
      </c>
      <c r="JMW33" t="str">
        <f t="shared" si="371"/>
        <v/>
      </c>
      <c r="JMX33" t="str">
        <f t="shared" si="371"/>
        <v/>
      </c>
      <c r="JMY33" t="str">
        <f t="shared" si="371"/>
        <v/>
      </c>
      <c r="JMZ33" t="str">
        <f t="shared" si="371"/>
        <v/>
      </c>
      <c r="JNA33" t="str">
        <f t="shared" si="371"/>
        <v/>
      </c>
      <c r="JNB33" t="str">
        <f t="shared" si="371"/>
        <v/>
      </c>
      <c r="JNC33" t="str">
        <f t="shared" si="371"/>
        <v/>
      </c>
      <c r="JND33" t="str">
        <f t="shared" si="371"/>
        <v/>
      </c>
      <c r="JNE33" t="str">
        <f t="shared" si="371"/>
        <v/>
      </c>
      <c r="JNF33" t="str">
        <f t="shared" si="371"/>
        <v/>
      </c>
      <c r="JNG33" t="str">
        <f t="shared" si="371"/>
        <v/>
      </c>
      <c r="JNH33" t="str">
        <f t="shared" si="371"/>
        <v/>
      </c>
      <c r="JNI33" t="str">
        <f t="shared" si="371"/>
        <v/>
      </c>
      <c r="JNJ33" t="str">
        <f t="shared" si="371"/>
        <v/>
      </c>
      <c r="JNK33" t="str">
        <f t="shared" si="371"/>
        <v/>
      </c>
      <c r="JNL33" t="str">
        <f t="shared" si="371"/>
        <v/>
      </c>
      <c r="JNM33" t="str">
        <f t="shared" si="371"/>
        <v/>
      </c>
      <c r="JNN33" t="str">
        <f t="shared" si="371"/>
        <v/>
      </c>
      <c r="JNO33" t="str">
        <f t="shared" si="371"/>
        <v/>
      </c>
      <c r="JNP33" t="str">
        <f t="shared" si="371"/>
        <v/>
      </c>
      <c r="JNQ33" t="str">
        <f t="shared" si="371"/>
        <v/>
      </c>
      <c r="JNR33" t="str">
        <f t="shared" si="371"/>
        <v/>
      </c>
      <c r="JNS33" t="str">
        <f t="shared" si="371"/>
        <v/>
      </c>
      <c r="JNT33" t="str">
        <f t="shared" si="371"/>
        <v/>
      </c>
      <c r="JNU33" t="str">
        <f t="shared" si="371"/>
        <v/>
      </c>
      <c r="JNV33" t="str">
        <f t="shared" si="371"/>
        <v/>
      </c>
      <c r="JNW33" t="str">
        <f t="shared" si="371"/>
        <v/>
      </c>
      <c r="JNX33" t="str">
        <f t="shared" si="371"/>
        <v/>
      </c>
      <c r="JNY33" t="str">
        <f t="shared" si="371"/>
        <v/>
      </c>
      <c r="JNZ33" t="str">
        <f t="shared" si="371"/>
        <v/>
      </c>
      <c r="JOA33" t="str">
        <f t="shared" si="371"/>
        <v/>
      </c>
      <c r="JOB33" t="str">
        <f t="shared" si="371"/>
        <v/>
      </c>
      <c r="JOC33" t="str">
        <f t="shared" si="371"/>
        <v/>
      </c>
      <c r="JOD33" t="str">
        <f t="shared" si="371"/>
        <v/>
      </c>
      <c r="JOE33" t="str">
        <f t="shared" si="371"/>
        <v/>
      </c>
      <c r="JOF33" t="str">
        <f t="shared" si="371"/>
        <v/>
      </c>
      <c r="JOG33" t="str">
        <f t="shared" si="371"/>
        <v/>
      </c>
      <c r="JOH33" t="str">
        <f t="shared" si="371"/>
        <v/>
      </c>
      <c r="JOI33" t="str">
        <f t="shared" si="371"/>
        <v/>
      </c>
      <c r="JOJ33" t="str">
        <f t="shared" si="371"/>
        <v/>
      </c>
      <c r="JOK33" t="str">
        <f t="shared" si="371"/>
        <v/>
      </c>
      <c r="JOL33" t="str">
        <f t="shared" si="371"/>
        <v/>
      </c>
      <c r="JOM33" t="str">
        <f t="shared" si="371"/>
        <v/>
      </c>
      <c r="JON33" t="str">
        <f t="shared" si="371"/>
        <v/>
      </c>
      <c r="JOO33" t="str">
        <f t="shared" si="371"/>
        <v/>
      </c>
      <c r="JOP33" t="str">
        <f t="shared" si="371"/>
        <v/>
      </c>
      <c r="JOQ33" t="str">
        <f t="shared" si="371"/>
        <v/>
      </c>
      <c r="JOR33" t="str">
        <f t="shared" si="371"/>
        <v/>
      </c>
      <c r="JOS33" t="str">
        <f t="shared" si="371"/>
        <v/>
      </c>
      <c r="JOT33" t="str">
        <f t="shared" si="371"/>
        <v/>
      </c>
      <c r="JOU33" t="str">
        <f t="shared" si="371"/>
        <v/>
      </c>
      <c r="JOV33" t="str">
        <f t="shared" si="371"/>
        <v/>
      </c>
      <c r="JOW33" t="str">
        <f t="shared" si="371"/>
        <v/>
      </c>
      <c r="JOX33" t="str">
        <f t="shared" si="371"/>
        <v/>
      </c>
      <c r="JOY33" t="str">
        <f t="shared" si="371"/>
        <v/>
      </c>
      <c r="JOZ33" t="str">
        <f t="shared" si="371"/>
        <v/>
      </c>
      <c r="JPA33" t="str">
        <f t="shared" si="371"/>
        <v/>
      </c>
      <c r="JPB33" t="str">
        <f t="shared" si="371"/>
        <v/>
      </c>
      <c r="JPC33" t="str">
        <f t="shared" si="371"/>
        <v/>
      </c>
      <c r="JPD33" t="str">
        <f t="shared" si="371"/>
        <v/>
      </c>
      <c r="JPE33" t="str">
        <f t="shared" ref="JPE33:JRP33" si="372">TRIM(JPV17)</f>
        <v/>
      </c>
      <c r="JPF33" t="str">
        <f t="shared" si="372"/>
        <v/>
      </c>
      <c r="JPG33" t="str">
        <f t="shared" si="372"/>
        <v/>
      </c>
      <c r="JPH33" t="str">
        <f t="shared" si="372"/>
        <v/>
      </c>
      <c r="JPI33" t="str">
        <f t="shared" si="372"/>
        <v/>
      </c>
      <c r="JPJ33" t="str">
        <f t="shared" si="372"/>
        <v/>
      </c>
      <c r="JPK33" t="str">
        <f t="shared" si="372"/>
        <v/>
      </c>
      <c r="JPL33" t="str">
        <f t="shared" si="372"/>
        <v/>
      </c>
      <c r="JPM33" t="str">
        <f t="shared" si="372"/>
        <v/>
      </c>
      <c r="JPN33" t="str">
        <f t="shared" si="372"/>
        <v/>
      </c>
      <c r="JPO33" t="str">
        <f t="shared" si="372"/>
        <v/>
      </c>
      <c r="JPP33" t="str">
        <f t="shared" si="372"/>
        <v/>
      </c>
      <c r="JPQ33" t="str">
        <f t="shared" si="372"/>
        <v/>
      </c>
      <c r="JPR33" t="str">
        <f t="shared" si="372"/>
        <v/>
      </c>
      <c r="JPS33" t="str">
        <f t="shared" si="372"/>
        <v/>
      </c>
      <c r="JPT33" t="str">
        <f t="shared" si="372"/>
        <v/>
      </c>
      <c r="JPU33" t="str">
        <f t="shared" si="372"/>
        <v/>
      </c>
      <c r="JPV33" t="str">
        <f t="shared" si="372"/>
        <v/>
      </c>
      <c r="JPW33" t="str">
        <f t="shared" si="372"/>
        <v/>
      </c>
      <c r="JPX33" t="str">
        <f t="shared" si="372"/>
        <v/>
      </c>
      <c r="JPY33" t="str">
        <f t="shared" si="372"/>
        <v/>
      </c>
      <c r="JPZ33" t="str">
        <f t="shared" si="372"/>
        <v/>
      </c>
      <c r="JQA33" t="str">
        <f t="shared" si="372"/>
        <v/>
      </c>
      <c r="JQB33" t="str">
        <f t="shared" si="372"/>
        <v/>
      </c>
      <c r="JQC33" t="str">
        <f t="shared" si="372"/>
        <v/>
      </c>
      <c r="JQD33" t="str">
        <f t="shared" si="372"/>
        <v/>
      </c>
      <c r="JQE33" t="str">
        <f t="shared" si="372"/>
        <v/>
      </c>
      <c r="JQF33" t="str">
        <f t="shared" si="372"/>
        <v/>
      </c>
      <c r="JQG33" t="str">
        <f t="shared" si="372"/>
        <v/>
      </c>
      <c r="JQH33" t="str">
        <f t="shared" si="372"/>
        <v/>
      </c>
      <c r="JQI33" t="str">
        <f t="shared" si="372"/>
        <v/>
      </c>
      <c r="JQJ33" t="str">
        <f t="shared" si="372"/>
        <v/>
      </c>
      <c r="JQK33" t="str">
        <f t="shared" si="372"/>
        <v/>
      </c>
      <c r="JQL33" t="str">
        <f t="shared" si="372"/>
        <v/>
      </c>
      <c r="JQM33" t="str">
        <f t="shared" si="372"/>
        <v/>
      </c>
      <c r="JQN33" t="str">
        <f t="shared" si="372"/>
        <v/>
      </c>
      <c r="JQO33" t="str">
        <f t="shared" si="372"/>
        <v/>
      </c>
      <c r="JQP33" t="str">
        <f t="shared" si="372"/>
        <v/>
      </c>
      <c r="JQQ33" t="str">
        <f t="shared" si="372"/>
        <v/>
      </c>
      <c r="JQR33" t="str">
        <f t="shared" si="372"/>
        <v/>
      </c>
      <c r="JQS33" t="str">
        <f t="shared" si="372"/>
        <v/>
      </c>
      <c r="JQT33" t="str">
        <f t="shared" si="372"/>
        <v/>
      </c>
      <c r="JQU33" t="str">
        <f t="shared" si="372"/>
        <v/>
      </c>
      <c r="JQV33" t="str">
        <f t="shared" si="372"/>
        <v/>
      </c>
      <c r="JQW33" t="str">
        <f t="shared" si="372"/>
        <v/>
      </c>
      <c r="JQX33" t="str">
        <f t="shared" si="372"/>
        <v/>
      </c>
      <c r="JQY33" t="str">
        <f t="shared" si="372"/>
        <v/>
      </c>
      <c r="JQZ33" t="str">
        <f t="shared" si="372"/>
        <v/>
      </c>
      <c r="JRA33" t="str">
        <f t="shared" si="372"/>
        <v/>
      </c>
      <c r="JRB33" t="str">
        <f t="shared" si="372"/>
        <v/>
      </c>
      <c r="JRC33" t="str">
        <f t="shared" si="372"/>
        <v/>
      </c>
      <c r="JRD33" t="str">
        <f t="shared" si="372"/>
        <v/>
      </c>
      <c r="JRE33" t="str">
        <f t="shared" si="372"/>
        <v/>
      </c>
      <c r="JRF33" t="str">
        <f t="shared" si="372"/>
        <v/>
      </c>
      <c r="JRG33" t="str">
        <f t="shared" si="372"/>
        <v/>
      </c>
      <c r="JRH33" t="str">
        <f t="shared" si="372"/>
        <v/>
      </c>
      <c r="JRI33" t="str">
        <f t="shared" si="372"/>
        <v/>
      </c>
      <c r="JRJ33" t="str">
        <f t="shared" si="372"/>
        <v/>
      </c>
      <c r="JRK33" t="str">
        <f t="shared" si="372"/>
        <v/>
      </c>
      <c r="JRL33" t="str">
        <f t="shared" si="372"/>
        <v/>
      </c>
      <c r="JRM33" t="str">
        <f t="shared" si="372"/>
        <v/>
      </c>
      <c r="JRN33" t="str">
        <f t="shared" si="372"/>
        <v/>
      </c>
      <c r="JRO33" t="str">
        <f t="shared" si="372"/>
        <v/>
      </c>
      <c r="JRP33" t="str">
        <f t="shared" si="372"/>
        <v/>
      </c>
      <c r="JRQ33" t="str">
        <f t="shared" ref="JRQ33:JUB33" si="373">TRIM(JSH17)</f>
        <v/>
      </c>
      <c r="JRR33" t="str">
        <f t="shared" si="373"/>
        <v/>
      </c>
      <c r="JRS33" t="str">
        <f t="shared" si="373"/>
        <v/>
      </c>
      <c r="JRT33" t="str">
        <f t="shared" si="373"/>
        <v/>
      </c>
      <c r="JRU33" t="str">
        <f t="shared" si="373"/>
        <v/>
      </c>
      <c r="JRV33" t="str">
        <f t="shared" si="373"/>
        <v/>
      </c>
      <c r="JRW33" t="str">
        <f t="shared" si="373"/>
        <v/>
      </c>
      <c r="JRX33" t="str">
        <f t="shared" si="373"/>
        <v/>
      </c>
      <c r="JRY33" t="str">
        <f t="shared" si="373"/>
        <v/>
      </c>
      <c r="JRZ33" t="str">
        <f t="shared" si="373"/>
        <v/>
      </c>
      <c r="JSA33" t="str">
        <f t="shared" si="373"/>
        <v/>
      </c>
      <c r="JSB33" t="str">
        <f t="shared" si="373"/>
        <v/>
      </c>
      <c r="JSC33" t="str">
        <f t="shared" si="373"/>
        <v/>
      </c>
      <c r="JSD33" t="str">
        <f t="shared" si="373"/>
        <v/>
      </c>
      <c r="JSE33" t="str">
        <f t="shared" si="373"/>
        <v/>
      </c>
      <c r="JSF33" t="str">
        <f t="shared" si="373"/>
        <v/>
      </c>
      <c r="JSG33" t="str">
        <f t="shared" si="373"/>
        <v/>
      </c>
      <c r="JSH33" t="str">
        <f t="shared" si="373"/>
        <v/>
      </c>
      <c r="JSI33" t="str">
        <f t="shared" si="373"/>
        <v/>
      </c>
      <c r="JSJ33" t="str">
        <f t="shared" si="373"/>
        <v/>
      </c>
      <c r="JSK33" t="str">
        <f t="shared" si="373"/>
        <v/>
      </c>
      <c r="JSL33" t="str">
        <f t="shared" si="373"/>
        <v/>
      </c>
      <c r="JSM33" t="str">
        <f t="shared" si="373"/>
        <v/>
      </c>
      <c r="JSN33" t="str">
        <f t="shared" si="373"/>
        <v/>
      </c>
      <c r="JSO33" t="str">
        <f t="shared" si="373"/>
        <v/>
      </c>
      <c r="JSP33" t="str">
        <f t="shared" si="373"/>
        <v/>
      </c>
      <c r="JSQ33" t="str">
        <f t="shared" si="373"/>
        <v/>
      </c>
      <c r="JSR33" t="str">
        <f t="shared" si="373"/>
        <v/>
      </c>
      <c r="JSS33" t="str">
        <f t="shared" si="373"/>
        <v/>
      </c>
      <c r="JST33" t="str">
        <f t="shared" si="373"/>
        <v/>
      </c>
      <c r="JSU33" t="str">
        <f t="shared" si="373"/>
        <v/>
      </c>
      <c r="JSV33" t="str">
        <f t="shared" si="373"/>
        <v/>
      </c>
      <c r="JSW33" t="str">
        <f t="shared" si="373"/>
        <v/>
      </c>
      <c r="JSX33" t="str">
        <f t="shared" si="373"/>
        <v/>
      </c>
      <c r="JSY33" t="str">
        <f t="shared" si="373"/>
        <v/>
      </c>
      <c r="JSZ33" t="str">
        <f t="shared" si="373"/>
        <v/>
      </c>
      <c r="JTA33" t="str">
        <f t="shared" si="373"/>
        <v/>
      </c>
      <c r="JTB33" t="str">
        <f t="shared" si="373"/>
        <v/>
      </c>
      <c r="JTC33" t="str">
        <f t="shared" si="373"/>
        <v/>
      </c>
      <c r="JTD33" t="str">
        <f t="shared" si="373"/>
        <v/>
      </c>
      <c r="JTE33" t="str">
        <f t="shared" si="373"/>
        <v/>
      </c>
      <c r="JTF33" t="str">
        <f t="shared" si="373"/>
        <v/>
      </c>
      <c r="JTG33" t="str">
        <f t="shared" si="373"/>
        <v/>
      </c>
      <c r="JTH33" t="str">
        <f t="shared" si="373"/>
        <v/>
      </c>
      <c r="JTI33" t="str">
        <f t="shared" si="373"/>
        <v/>
      </c>
      <c r="JTJ33" t="str">
        <f t="shared" si="373"/>
        <v/>
      </c>
      <c r="JTK33" t="str">
        <f t="shared" si="373"/>
        <v/>
      </c>
      <c r="JTL33" t="str">
        <f t="shared" si="373"/>
        <v/>
      </c>
      <c r="JTM33" t="str">
        <f t="shared" si="373"/>
        <v/>
      </c>
      <c r="JTN33" t="str">
        <f t="shared" si="373"/>
        <v/>
      </c>
      <c r="JTO33" t="str">
        <f t="shared" si="373"/>
        <v/>
      </c>
      <c r="JTP33" t="str">
        <f t="shared" si="373"/>
        <v/>
      </c>
      <c r="JTQ33" t="str">
        <f t="shared" si="373"/>
        <v/>
      </c>
      <c r="JTR33" t="str">
        <f t="shared" si="373"/>
        <v/>
      </c>
      <c r="JTS33" t="str">
        <f t="shared" si="373"/>
        <v/>
      </c>
      <c r="JTT33" t="str">
        <f t="shared" si="373"/>
        <v/>
      </c>
      <c r="JTU33" t="str">
        <f t="shared" si="373"/>
        <v/>
      </c>
      <c r="JTV33" t="str">
        <f t="shared" si="373"/>
        <v/>
      </c>
      <c r="JTW33" t="str">
        <f t="shared" si="373"/>
        <v/>
      </c>
      <c r="JTX33" t="str">
        <f t="shared" si="373"/>
        <v/>
      </c>
      <c r="JTY33" t="str">
        <f t="shared" si="373"/>
        <v/>
      </c>
      <c r="JTZ33" t="str">
        <f t="shared" si="373"/>
        <v/>
      </c>
      <c r="JUA33" t="str">
        <f t="shared" si="373"/>
        <v/>
      </c>
      <c r="JUB33" t="str">
        <f t="shared" si="373"/>
        <v/>
      </c>
      <c r="JUC33" t="str">
        <f t="shared" ref="JUC33:JWN33" si="374">TRIM(JUT17)</f>
        <v/>
      </c>
      <c r="JUD33" t="str">
        <f t="shared" si="374"/>
        <v/>
      </c>
      <c r="JUE33" t="str">
        <f t="shared" si="374"/>
        <v/>
      </c>
      <c r="JUF33" t="str">
        <f t="shared" si="374"/>
        <v/>
      </c>
      <c r="JUG33" t="str">
        <f t="shared" si="374"/>
        <v/>
      </c>
      <c r="JUH33" t="str">
        <f t="shared" si="374"/>
        <v/>
      </c>
      <c r="JUI33" t="str">
        <f t="shared" si="374"/>
        <v/>
      </c>
      <c r="JUJ33" t="str">
        <f t="shared" si="374"/>
        <v/>
      </c>
      <c r="JUK33" t="str">
        <f t="shared" si="374"/>
        <v/>
      </c>
      <c r="JUL33" t="str">
        <f t="shared" si="374"/>
        <v/>
      </c>
      <c r="JUM33" t="str">
        <f t="shared" si="374"/>
        <v/>
      </c>
      <c r="JUN33" t="str">
        <f t="shared" si="374"/>
        <v/>
      </c>
      <c r="JUO33" t="str">
        <f t="shared" si="374"/>
        <v/>
      </c>
      <c r="JUP33" t="str">
        <f t="shared" si="374"/>
        <v/>
      </c>
      <c r="JUQ33" t="str">
        <f t="shared" si="374"/>
        <v/>
      </c>
      <c r="JUR33" t="str">
        <f t="shared" si="374"/>
        <v/>
      </c>
      <c r="JUS33" t="str">
        <f t="shared" si="374"/>
        <v/>
      </c>
      <c r="JUT33" t="str">
        <f t="shared" si="374"/>
        <v/>
      </c>
      <c r="JUU33" t="str">
        <f t="shared" si="374"/>
        <v/>
      </c>
      <c r="JUV33" t="str">
        <f t="shared" si="374"/>
        <v/>
      </c>
      <c r="JUW33" t="str">
        <f t="shared" si="374"/>
        <v/>
      </c>
      <c r="JUX33" t="str">
        <f t="shared" si="374"/>
        <v/>
      </c>
      <c r="JUY33" t="str">
        <f t="shared" si="374"/>
        <v/>
      </c>
      <c r="JUZ33" t="str">
        <f t="shared" si="374"/>
        <v/>
      </c>
      <c r="JVA33" t="str">
        <f t="shared" si="374"/>
        <v/>
      </c>
      <c r="JVB33" t="str">
        <f t="shared" si="374"/>
        <v/>
      </c>
      <c r="JVC33" t="str">
        <f t="shared" si="374"/>
        <v/>
      </c>
      <c r="JVD33" t="str">
        <f t="shared" si="374"/>
        <v/>
      </c>
      <c r="JVE33" t="str">
        <f t="shared" si="374"/>
        <v/>
      </c>
      <c r="JVF33" t="str">
        <f t="shared" si="374"/>
        <v/>
      </c>
      <c r="JVG33" t="str">
        <f t="shared" si="374"/>
        <v/>
      </c>
      <c r="JVH33" t="str">
        <f t="shared" si="374"/>
        <v/>
      </c>
      <c r="JVI33" t="str">
        <f t="shared" si="374"/>
        <v/>
      </c>
      <c r="JVJ33" t="str">
        <f t="shared" si="374"/>
        <v/>
      </c>
      <c r="JVK33" t="str">
        <f t="shared" si="374"/>
        <v/>
      </c>
      <c r="JVL33" t="str">
        <f t="shared" si="374"/>
        <v/>
      </c>
      <c r="JVM33" t="str">
        <f t="shared" si="374"/>
        <v/>
      </c>
      <c r="JVN33" t="str">
        <f t="shared" si="374"/>
        <v/>
      </c>
      <c r="JVO33" t="str">
        <f t="shared" si="374"/>
        <v/>
      </c>
      <c r="JVP33" t="str">
        <f t="shared" si="374"/>
        <v/>
      </c>
      <c r="JVQ33" t="str">
        <f t="shared" si="374"/>
        <v/>
      </c>
      <c r="JVR33" t="str">
        <f t="shared" si="374"/>
        <v/>
      </c>
      <c r="JVS33" t="str">
        <f t="shared" si="374"/>
        <v/>
      </c>
      <c r="JVT33" t="str">
        <f t="shared" si="374"/>
        <v/>
      </c>
      <c r="JVU33" t="str">
        <f t="shared" si="374"/>
        <v/>
      </c>
      <c r="JVV33" t="str">
        <f t="shared" si="374"/>
        <v/>
      </c>
      <c r="JVW33" t="str">
        <f t="shared" si="374"/>
        <v/>
      </c>
      <c r="JVX33" t="str">
        <f t="shared" si="374"/>
        <v/>
      </c>
      <c r="JVY33" t="str">
        <f t="shared" si="374"/>
        <v/>
      </c>
      <c r="JVZ33" t="str">
        <f t="shared" si="374"/>
        <v/>
      </c>
      <c r="JWA33" t="str">
        <f t="shared" si="374"/>
        <v/>
      </c>
      <c r="JWB33" t="str">
        <f t="shared" si="374"/>
        <v/>
      </c>
      <c r="JWC33" t="str">
        <f t="shared" si="374"/>
        <v/>
      </c>
      <c r="JWD33" t="str">
        <f t="shared" si="374"/>
        <v/>
      </c>
      <c r="JWE33" t="str">
        <f t="shared" si="374"/>
        <v/>
      </c>
      <c r="JWF33" t="str">
        <f t="shared" si="374"/>
        <v/>
      </c>
      <c r="JWG33" t="str">
        <f t="shared" si="374"/>
        <v/>
      </c>
      <c r="JWH33" t="str">
        <f t="shared" si="374"/>
        <v/>
      </c>
      <c r="JWI33" t="str">
        <f t="shared" si="374"/>
        <v/>
      </c>
      <c r="JWJ33" t="str">
        <f t="shared" si="374"/>
        <v/>
      </c>
      <c r="JWK33" t="str">
        <f t="shared" si="374"/>
        <v/>
      </c>
      <c r="JWL33" t="str">
        <f t="shared" si="374"/>
        <v/>
      </c>
      <c r="JWM33" t="str">
        <f t="shared" si="374"/>
        <v/>
      </c>
      <c r="JWN33" t="str">
        <f t="shared" si="374"/>
        <v/>
      </c>
      <c r="JWO33" t="str">
        <f t="shared" ref="JWO33:JYZ33" si="375">TRIM(JXF17)</f>
        <v/>
      </c>
      <c r="JWP33" t="str">
        <f t="shared" si="375"/>
        <v/>
      </c>
      <c r="JWQ33" t="str">
        <f t="shared" si="375"/>
        <v/>
      </c>
      <c r="JWR33" t="str">
        <f t="shared" si="375"/>
        <v/>
      </c>
      <c r="JWS33" t="str">
        <f t="shared" si="375"/>
        <v/>
      </c>
      <c r="JWT33" t="str">
        <f t="shared" si="375"/>
        <v/>
      </c>
      <c r="JWU33" t="str">
        <f t="shared" si="375"/>
        <v/>
      </c>
      <c r="JWV33" t="str">
        <f t="shared" si="375"/>
        <v/>
      </c>
      <c r="JWW33" t="str">
        <f t="shared" si="375"/>
        <v/>
      </c>
      <c r="JWX33" t="str">
        <f t="shared" si="375"/>
        <v/>
      </c>
      <c r="JWY33" t="str">
        <f t="shared" si="375"/>
        <v/>
      </c>
      <c r="JWZ33" t="str">
        <f t="shared" si="375"/>
        <v/>
      </c>
      <c r="JXA33" t="str">
        <f t="shared" si="375"/>
        <v/>
      </c>
      <c r="JXB33" t="str">
        <f t="shared" si="375"/>
        <v/>
      </c>
      <c r="JXC33" t="str">
        <f t="shared" si="375"/>
        <v/>
      </c>
      <c r="JXD33" t="str">
        <f t="shared" si="375"/>
        <v/>
      </c>
      <c r="JXE33" t="str">
        <f t="shared" si="375"/>
        <v/>
      </c>
      <c r="JXF33" t="str">
        <f t="shared" si="375"/>
        <v/>
      </c>
      <c r="JXG33" t="str">
        <f t="shared" si="375"/>
        <v/>
      </c>
      <c r="JXH33" t="str">
        <f t="shared" si="375"/>
        <v/>
      </c>
      <c r="JXI33" t="str">
        <f t="shared" si="375"/>
        <v/>
      </c>
      <c r="JXJ33" t="str">
        <f t="shared" si="375"/>
        <v/>
      </c>
      <c r="JXK33" t="str">
        <f t="shared" si="375"/>
        <v/>
      </c>
      <c r="JXL33" t="str">
        <f t="shared" si="375"/>
        <v/>
      </c>
      <c r="JXM33" t="str">
        <f t="shared" si="375"/>
        <v/>
      </c>
      <c r="JXN33" t="str">
        <f t="shared" si="375"/>
        <v/>
      </c>
      <c r="JXO33" t="str">
        <f t="shared" si="375"/>
        <v/>
      </c>
      <c r="JXP33" t="str">
        <f t="shared" si="375"/>
        <v/>
      </c>
      <c r="JXQ33" t="str">
        <f t="shared" si="375"/>
        <v/>
      </c>
      <c r="JXR33" t="str">
        <f t="shared" si="375"/>
        <v/>
      </c>
      <c r="JXS33" t="str">
        <f t="shared" si="375"/>
        <v/>
      </c>
      <c r="JXT33" t="str">
        <f t="shared" si="375"/>
        <v/>
      </c>
      <c r="JXU33" t="str">
        <f t="shared" si="375"/>
        <v/>
      </c>
      <c r="JXV33" t="str">
        <f t="shared" si="375"/>
        <v/>
      </c>
      <c r="JXW33" t="str">
        <f t="shared" si="375"/>
        <v/>
      </c>
      <c r="JXX33" t="str">
        <f t="shared" si="375"/>
        <v/>
      </c>
      <c r="JXY33" t="str">
        <f t="shared" si="375"/>
        <v/>
      </c>
      <c r="JXZ33" t="str">
        <f t="shared" si="375"/>
        <v/>
      </c>
      <c r="JYA33" t="str">
        <f t="shared" si="375"/>
        <v/>
      </c>
      <c r="JYB33" t="str">
        <f t="shared" si="375"/>
        <v/>
      </c>
      <c r="JYC33" t="str">
        <f t="shared" si="375"/>
        <v/>
      </c>
      <c r="JYD33" t="str">
        <f t="shared" si="375"/>
        <v/>
      </c>
      <c r="JYE33" t="str">
        <f t="shared" si="375"/>
        <v/>
      </c>
      <c r="JYF33" t="str">
        <f t="shared" si="375"/>
        <v/>
      </c>
      <c r="JYG33" t="str">
        <f t="shared" si="375"/>
        <v/>
      </c>
      <c r="JYH33" t="str">
        <f t="shared" si="375"/>
        <v/>
      </c>
      <c r="JYI33" t="str">
        <f t="shared" si="375"/>
        <v/>
      </c>
      <c r="JYJ33" t="str">
        <f t="shared" si="375"/>
        <v/>
      </c>
      <c r="JYK33" t="str">
        <f t="shared" si="375"/>
        <v/>
      </c>
      <c r="JYL33" t="str">
        <f t="shared" si="375"/>
        <v/>
      </c>
      <c r="JYM33" t="str">
        <f t="shared" si="375"/>
        <v/>
      </c>
      <c r="JYN33" t="str">
        <f t="shared" si="375"/>
        <v/>
      </c>
      <c r="JYO33" t="str">
        <f t="shared" si="375"/>
        <v/>
      </c>
      <c r="JYP33" t="str">
        <f t="shared" si="375"/>
        <v/>
      </c>
      <c r="JYQ33" t="str">
        <f t="shared" si="375"/>
        <v/>
      </c>
      <c r="JYR33" t="str">
        <f t="shared" si="375"/>
        <v/>
      </c>
      <c r="JYS33" t="str">
        <f t="shared" si="375"/>
        <v/>
      </c>
      <c r="JYT33" t="str">
        <f t="shared" si="375"/>
        <v/>
      </c>
      <c r="JYU33" t="str">
        <f t="shared" si="375"/>
        <v/>
      </c>
      <c r="JYV33" t="str">
        <f t="shared" si="375"/>
        <v/>
      </c>
      <c r="JYW33" t="str">
        <f t="shared" si="375"/>
        <v/>
      </c>
      <c r="JYX33" t="str">
        <f t="shared" si="375"/>
        <v/>
      </c>
      <c r="JYY33" t="str">
        <f t="shared" si="375"/>
        <v/>
      </c>
      <c r="JYZ33" t="str">
        <f t="shared" si="375"/>
        <v/>
      </c>
      <c r="JZA33" t="str">
        <f t="shared" ref="JZA33:KBL33" si="376">TRIM(JZR17)</f>
        <v/>
      </c>
      <c r="JZB33" t="str">
        <f t="shared" si="376"/>
        <v/>
      </c>
      <c r="JZC33" t="str">
        <f t="shared" si="376"/>
        <v/>
      </c>
      <c r="JZD33" t="str">
        <f t="shared" si="376"/>
        <v/>
      </c>
      <c r="JZE33" t="str">
        <f t="shared" si="376"/>
        <v/>
      </c>
      <c r="JZF33" t="str">
        <f t="shared" si="376"/>
        <v/>
      </c>
      <c r="JZG33" t="str">
        <f t="shared" si="376"/>
        <v/>
      </c>
      <c r="JZH33" t="str">
        <f t="shared" si="376"/>
        <v/>
      </c>
      <c r="JZI33" t="str">
        <f t="shared" si="376"/>
        <v/>
      </c>
      <c r="JZJ33" t="str">
        <f t="shared" si="376"/>
        <v/>
      </c>
      <c r="JZK33" t="str">
        <f t="shared" si="376"/>
        <v/>
      </c>
      <c r="JZL33" t="str">
        <f t="shared" si="376"/>
        <v/>
      </c>
      <c r="JZM33" t="str">
        <f t="shared" si="376"/>
        <v/>
      </c>
      <c r="JZN33" t="str">
        <f t="shared" si="376"/>
        <v/>
      </c>
      <c r="JZO33" t="str">
        <f t="shared" si="376"/>
        <v/>
      </c>
      <c r="JZP33" t="str">
        <f t="shared" si="376"/>
        <v/>
      </c>
      <c r="JZQ33" t="str">
        <f t="shared" si="376"/>
        <v/>
      </c>
      <c r="JZR33" t="str">
        <f t="shared" si="376"/>
        <v/>
      </c>
      <c r="JZS33" t="str">
        <f t="shared" si="376"/>
        <v/>
      </c>
      <c r="JZT33" t="str">
        <f t="shared" si="376"/>
        <v/>
      </c>
      <c r="JZU33" t="str">
        <f t="shared" si="376"/>
        <v/>
      </c>
      <c r="JZV33" t="str">
        <f t="shared" si="376"/>
        <v/>
      </c>
      <c r="JZW33" t="str">
        <f t="shared" si="376"/>
        <v/>
      </c>
      <c r="JZX33" t="str">
        <f t="shared" si="376"/>
        <v/>
      </c>
      <c r="JZY33" t="str">
        <f t="shared" si="376"/>
        <v/>
      </c>
      <c r="JZZ33" t="str">
        <f t="shared" si="376"/>
        <v/>
      </c>
      <c r="KAA33" t="str">
        <f t="shared" si="376"/>
        <v/>
      </c>
      <c r="KAB33" t="str">
        <f t="shared" si="376"/>
        <v/>
      </c>
      <c r="KAC33" t="str">
        <f t="shared" si="376"/>
        <v/>
      </c>
      <c r="KAD33" t="str">
        <f t="shared" si="376"/>
        <v/>
      </c>
      <c r="KAE33" t="str">
        <f t="shared" si="376"/>
        <v/>
      </c>
      <c r="KAF33" t="str">
        <f t="shared" si="376"/>
        <v/>
      </c>
      <c r="KAG33" t="str">
        <f t="shared" si="376"/>
        <v/>
      </c>
      <c r="KAH33" t="str">
        <f t="shared" si="376"/>
        <v/>
      </c>
      <c r="KAI33" t="str">
        <f t="shared" si="376"/>
        <v/>
      </c>
      <c r="KAJ33" t="str">
        <f t="shared" si="376"/>
        <v/>
      </c>
      <c r="KAK33" t="str">
        <f t="shared" si="376"/>
        <v/>
      </c>
      <c r="KAL33" t="str">
        <f t="shared" si="376"/>
        <v/>
      </c>
      <c r="KAM33" t="str">
        <f t="shared" si="376"/>
        <v/>
      </c>
      <c r="KAN33" t="str">
        <f t="shared" si="376"/>
        <v/>
      </c>
      <c r="KAO33" t="str">
        <f t="shared" si="376"/>
        <v/>
      </c>
      <c r="KAP33" t="str">
        <f t="shared" si="376"/>
        <v/>
      </c>
      <c r="KAQ33" t="str">
        <f t="shared" si="376"/>
        <v/>
      </c>
      <c r="KAR33" t="str">
        <f t="shared" si="376"/>
        <v/>
      </c>
      <c r="KAS33" t="str">
        <f t="shared" si="376"/>
        <v/>
      </c>
      <c r="KAT33" t="str">
        <f t="shared" si="376"/>
        <v/>
      </c>
      <c r="KAU33" t="str">
        <f t="shared" si="376"/>
        <v/>
      </c>
      <c r="KAV33" t="str">
        <f t="shared" si="376"/>
        <v/>
      </c>
      <c r="KAW33" t="str">
        <f t="shared" si="376"/>
        <v/>
      </c>
      <c r="KAX33" t="str">
        <f t="shared" si="376"/>
        <v/>
      </c>
      <c r="KAY33" t="str">
        <f t="shared" si="376"/>
        <v/>
      </c>
      <c r="KAZ33" t="str">
        <f t="shared" si="376"/>
        <v/>
      </c>
      <c r="KBA33" t="str">
        <f t="shared" si="376"/>
        <v/>
      </c>
      <c r="KBB33" t="str">
        <f t="shared" si="376"/>
        <v/>
      </c>
      <c r="KBC33" t="str">
        <f t="shared" si="376"/>
        <v/>
      </c>
      <c r="KBD33" t="str">
        <f t="shared" si="376"/>
        <v/>
      </c>
      <c r="KBE33" t="str">
        <f t="shared" si="376"/>
        <v/>
      </c>
      <c r="KBF33" t="str">
        <f t="shared" si="376"/>
        <v/>
      </c>
      <c r="KBG33" t="str">
        <f t="shared" si="376"/>
        <v/>
      </c>
      <c r="KBH33" t="str">
        <f t="shared" si="376"/>
        <v/>
      </c>
      <c r="KBI33" t="str">
        <f t="shared" si="376"/>
        <v/>
      </c>
      <c r="KBJ33" t="str">
        <f t="shared" si="376"/>
        <v/>
      </c>
      <c r="KBK33" t="str">
        <f t="shared" si="376"/>
        <v/>
      </c>
      <c r="KBL33" t="str">
        <f t="shared" si="376"/>
        <v/>
      </c>
      <c r="KBM33" t="str">
        <f t="shared" ref="KBM33:KDX33" si="377">TRIM(KCD17)</f>
        <v/>
      </c>
      <c r="KBN33" t="str">
        <f t="shared" si="377"/>
        <v/>
      </c>
      <c r="KBO33" t="str">
        <f t="shared" si="377"/>
        <v/>
      </c>
      <c r="KBP33" t="str">
        <f t="shared" si="377"/>
        <v/>
      </c>
      <c r="KBQ33" t="str">
        <f t="shared" si="377"/>
        <v/>
      </c>
      <c r="KBR33" t="str">
        <f t="shared" si="377"/>
        <v/>
      </c>
      <c r="KBS33" t="str">
        <f t="shared" si="377"/>
        <v/>
      </c>
      <c r="KBT33" t="str">
        <f t="shared" si="377"/>
        <v/>
      </c>
      <c r="KBU33" t="str">
        <f t="shared" si="377"/>
        <v/>
      </c>
      <c r="KBV33" t="str">
        <f t="shared" si="377"/>
        <v/>
      </c>
      <c r="KBW33" t="str">
        <f t="shared" si="377"/>
        <v/>
      </c>
      <c r="KBX33" t="str">
        <f t="shared" si="377"/>
        <v/>
      </c>
      <c r="KBY33" t="str">
        <f t="shared" si="377"/>
        <v/>
      </c>
      <c r="KBZ33" t="str">
        <f t="shared" si="377"/>
        <v/>
      </c>
      <c r="KCA33" t="str">
        <f t="shared" si="377"/>
        <v/>
      </c>
      <c r="KCB33" t="str">
        <f t="shared" si="377"/>
        <v/>
      </c>
      <c r="KCC33" t="str">
        <f t="shared" si="377"/>
        <v/>
      </c>
      <c r="KCD33" t="str">
        <f t="shared" si="377"/>
        <v/>
      </c>
      <c r="KCE33" t="str">
        <f t="shared" si="377"/>
        <v/>
      </c>
      <c r="KCF33" t="str">
        <f t="shared" si="377"/>
        <v/>
      </c>
      <c r="KCG33" t="str">
        <f t="shared" si="377"/>
        <v/>
      </c>
      <c r="KCH33" t="str">
        <f t="shared" si="377"/>
        <v/>
      </c>
      <c r="KCI33" t="str">
        <f t="shared" si="377"/>
        <v/>
      </c>
      <c r="KCJ33" t="str">
        <f t="shared" si="377"/>
        <v/>
      </c>
      <c r="KCK33" t="str">
        <f t="shared" si="377"/>
        <v/>
      </c>
      <c r="KCL33" t="str">
        <f t="shared" si="377"/>
        <v/>
      </c>
      <c r="KCM33" t="str">
        <f t="shared" si="377"/>
        <v/>
      </c>
      <c r="KCN33" t="str">
        <f t="shared" si="377"/>
        <v/>
      </c>
      <c r="KCO33" t="str">
        <f t="shared" si="377"/>
        <v/>
      </c>
      <c r="KCP33" t="str">
        <f t="shared" si="377"/>
        <v/>
      </c>
      <c r="KCQ33" t="str">
        <f t="shared" si="377"/>
        <v/>
      </c>
      <c r="KCR33" t="str">
        <f t="shared" si="377"/>
        <v/>
      </c>
      <c r="KCS33" t="str">
        <f t="shared" si="377"/>
        <v/>
      </c>
      <c r="KCT33" t="str">
        <f t="shared" si="377"/>
        <v/>
      </c>
      <c r="KCU33" t="str">
        <f t="shared" si="377"/>
        <v/>
      </c>
      <c r="KCV33" t="str">
        <f t="shared" si="377"/>
        <v/>
      </c>
      <c r="KCW33" t="str">
        <f t="shared" si="377"/>
        <v/>
      </c>
      <c r="KCX33" t="str">
        <f t="shared" si="377"/>
        <v/>
      </c>
      <c r="KCY33" t="str">
        <f t="shared" si="377"/>
        <v/>
      </c>
      <c r="KCZ33" t="str">
        <f t="shared" si="377"/>
        <v/>
      </c>
      <c r="KDA33" t="str">
        <f t="shared" si="377"/>
        <v/>
      </c>
      <c r="KDB33" t="str">
        <f t="shared" si="377"/>
        <v/>
      </c>
      <c r="KDC33" t="str">
        <f t="shared" si="377"/>
        <v/>
      </c>
      <c r="KDD33" t="str">
        <f t="shared" si="377"/>
        <v/>
      </c>
      <c r="KDE33" t="str">
        <f t="shared" si="377"/>
        <v/>
      </c>
      <c r="KDF33" t="str">
        <f t="shared" si="377"/>
        <v/>
      </c>
      <c r="KDG33" t="str">
        <f t="shared" si="377"/>
        <v/>
      </c>
      <c r="KDH33" t="str">
        <f t="shared" si="377"/>
        <v/>
      </c>
      <c r="KDI33" t="str">
        <f t="shared" si="377"/>
        <v/>
      </c>
      <c r="KDJ33" t="str">
        <f t="shared" si="377"/>
        <v/>
      </c>
      <c r="KDK33" t="str">
        <f t="shared" si="377"/>
        <v/>
      </c>
      <c r="KDL33" t="str">
        <f t="shared" si="377"/>
        <v/>
      </c>
      <c r="KDM33" t="str">
        <f t="shared" si="377"/>
        <v/>
      </c>
      <c r="KDN33" t="str">
        <f t="shared" si="377"/>
        <v/>
      </c>
      <c r="KDO33" t="str">
        <f t="shared" si="377"/>
        <v/>
      </c>
      <c r="KDP33" t="str">
        <f t="shared" si="377"/>
        <v/>
      </c>
      <c r="KDQ33" t="str">
        <f t="shared" si="377"/>
        <v/>
      </c>
      <c r="KDR33" t="str">
        <f t="shared" si="377"/>
        <v/>
      </c>
      <c r="KDS33" t="str">
        <f t="shared" si="377"/>
        <v/>
      </c>
      <c r="KDT33" t="str">
        <f t="shared" si="377"/>
        <v/>
      </c>
      <c r="KDU33" t="str">
        <f t="shared" si="377"/>
        <v/>
      </c>
      <c r="KDV33" t="str">
        <f t="shared" si="377"/>
        <v/>
      </c>
      <c r="KDW33" t="str">
        <f t="shared" si="377"/>
        <v/>
      </c>
      <c r="KDX33" t="str">
        <f t="shared" si="377"/>
        <v/>
      </c>
      <c r="KDY33" t="str">
        <f t="shared" ref="KDY33:KGJ33" si="378">TRIM(KEP17)</f>
        <v/>
      </c>
      <c r="KDZ33" t="str">
        <f t="shared" si="378"/>
        <v/>
      </c>
      <c r="KEA33" t="str">
        <f t="shared" si="378"/>
        <v/>
      </c>
      <c r="KEB33" t="str">
        <f t="shared" si="378"/>
        <v/>
      </c>
      <c r="KEC33" t="str">
        <f t="shared" si="378"/>
        <v/>
      </c>
      <c r="KED33" t="str">
        <f t="shared" si="378"/>
        <v/>
      </c>
      <c r="KEE33" t="str">
        <f t="shared" si="378"/>
        <v/>
      </c>
      <c r="KEF33" t="str">
        <f t="shared" si="378"/>
        <v/>
      </c>
      <c r="KEG33" t="str">
        <f t="shared" si="378"/>
        <v/>
      </c>
      <c r="KEH33" t="str">
        <f t="shared" si="378"/>
        <v/>
      </c>
      <c r="KEI33" t="str">
        <f t="shared" si="378"/>
        <v/>
      </c>
      <c r="KEJ33" t="str">
        <f t="shared" si="378"/>
        <v/>
      </c>
      <c r="KEK33" t="str">
        <f t="shared" si="378"/>
        <v/>
      </c>
      <c r="KEL33" t="str">
        <f t="shared" si="378"/>
        <v/>
      </c>
      <c r="KEM33" t="str">
        <f t="shared" si="378"/>
        <v/>
      </c>
      <c r="KEN33" t="str">
        <f t="shared" si="378"/>
        <v/>
      </c>
      <c r="KEO33" t="str">
        <f t="shared" si="378"/>
        <v/>
      </c>
      <c r="KEP33" t="str">
        <f t="shared" si="378"/>
        <v/>
      </c>
      <c r="KEQ33" t="str">
        <f t="shared" si="378"/>
        <v/>
      </c>
      <c r="KER33" t="str">
        <f t="shared" si="378"/>
        <v/>
      </c>
      <c r="KES33" t="str">
        <f t="shared" si="378"/>
        <v/>
      </c>
      <c r="KET33" t="str">
        <f t="shared" si="378"/>
        <v/>
      </c>
      <c r="KEU33" t="str">
        <f t="shared" si="378"/>
        <v/>
      </c>
      <c r="KEV33" t="str">
        <f t="shared" si="378"/>
        <v/>
      </c>
      <c r="KEW33" t="str">
        <f t="shared" si="378"/>
        <v/>
      </c>
      <c r="KEX33" t="str">
        <f t="shared" si="378"/>
        <v/>
      </c>
      <c r="KEY33" t="str">
        <f t="shared" si="378"/>
        <v/>
      </c>
      <c r="KEZ33" t="str">
        <f t="shared" si="378"/>
        <v/>
      </c>
      <c r="KFA33" t="str">
        <f t="shared" si="378"/>
        <v/>
      </c>
      <c r="KFB33" t="str">
        <f t="shared" si="378"/>
        <v/>
      </c>
      <c r="KFC33" t="str">
        <f t="shared" si="378"/>
        <v/>
      </c>
      <c r="KFD33" t="str">
        <f t="shared" si="378"/>
        <v/>
      </c>
      <c r="KFE33" t="str">
        <f t="shared" si="378"/>
        <v/>
      </c>
      <c r="KFF33" t="str">
        <f t="shared" si="378"/>
        <v/>
      </c>
      <c r="KFG33" t="str">
        <f t="shared" si="378"/>
        <v/>
      </c>
      <c r="KFH33" t="str">
        <f t="shared" si="378"/>
        <v/>
      </c>
      <c r="KFI33" t="str">
        <f t="shared" si="378"/>
        <v/>
      </c>
      <c r="KFJ33" t="str">
        <f t="shared" si="378"/>
        <v/>
      </c>
      <c r="KFK33" t="str">
        <f t="shared" si="378"/>
        <v/>
      </c>
      <c r="KFL33" t="str">
        <f t="shared" si="378"/>
        <v/>
      </c>
      <c r="KFM33" t="str">
        <f t="shared" si="378"/>
        <v/>
      </c>
      <c r="KFN33" t="str">
        <f t="shared" si="378"/>
        <v/>
      </c>
      <c r="KFO33" t="str">
        <f t="shared" si="378"/>
        <v/>
      </c>
      <c r="KFP33" t="str">
        <f t="shared" si="378"/>
        <v/>
      </c>
      <c r="KFQ33" t="str">
        <f t="shared" si="378"/>
        <v/>
      </c>
      <c r="KFR33" t="str">
        <f t="shared" si="378"/>
        <v/>
      </c>
      <c r="KFS33" t="str">
        <f t="shared" si="378"/>
        <v/>
      </c>
      <c r="KFT33" t="str">
        <f t="shared" si="378"/>
        <v/>
      </c>
      <c r="KFU33" t="str">
        <f t="shared" si="378"/>
        <v/>
      </c>
      <c r="KFV33" t="str">
        <f t="shared" si="378"/>
        <v/>
      </c>
      <c r="KFW33" t="str">
        <f t="shared" si="378"/>
        <v/>
      </c>
      <c r="KFX33" t="str">
        <f t="shared" si="378"/>
        <v/>
      </c>
      <c r="KFY33" t="str">
        <f t="shared" si="378"/>
        <v/>
      </c>
      <c r="KFZ33" t="str">
        <f t="shared" si="378"/>
        <v/>
      </c>
      <c r="KGA33" t="str">
        <f t="shared" si="378"/>
        <v/>
      </c>
      <c r="KGB33" t="str">
        <f t="shared" si="378"/>
        <v/>
      </c>
      <c r="KGC33" t="str">
        <f t="shared" si="378"/>
        <v/>
      </c>
      <c r="KGD33" t="str">
        <f t="shared" si="378"/>
        <v/>
      </c>
      <c r="KGE33" t="str">
        <f t="shared" si="378"/>
        <v/>
      </c>
      <c r="KGF33" t="str">
        <f t="shared" si="378"/>
        <v/>
      </c>
      <c r="KGG33" t="str">
        <f t="shared" si="378"/>
        <v/>
      </c>
      <c r="KGH33" t="str">
        <f t="shared" si="378"/>
        <v/>
      </c>
      <c r="KGI33" t="str">
        <f t="shared" si="378"/>
        <v/>
      </c>
      <c r="KGJ33" t="str">
        <f t="shared" si="378"/>
        <v/>
      </c>
      <c r="KGK33" t="str">
        <f t="shared" ref="KGK33:KIV33" si="379">TRIM(KHB17)</f>
        <v/>
      </c>
      <c r="KGL33" t="str">
        <f t="shared" si="379"/>
        <v/>
      </c>
      <c r="KGM33" t="str">
        <f t="shared" si="379"/>
        <v/>
      </c>
      <c r="KGN33" t="str">
        <f t="shared" si="379"/>
        <v/>
      </c>
      <c r="KGO33" t="str">
        <f t="shared" si="379"/>
        <v/>
      </c>
      <c r="KGP33" t="str">
        <f t="shared" si="379"/>
        <v/>
      </c>
      <c r="KGQ33" t="str">
        <f t="shared" si="379"/>
        <v/>
      </c>
      <c r="KGR33" t="str">
        <f t="shared" si="379"/>
        <v/>
      </c>
      <c r="KGS33" t="str">
        <f t="shared" si="379"/>
        <v/>
      </c>
      <c r="KGT33" t="str">
        <f t="shared" si="379"/>
        <v/>
      </c>
      <c r="KGU33" t="str">
        <f t="shared" si="379"/>
        <v/>
      </c>
      <c r="KGV33" t="str">
        <f t="shared" si="379"/>
        <v/>
      </c>
      <c r="KGW33" t="str">
        <f t="shared" si="379"/>
        <v/>
      </c>
      <c r="KGX33" t="str">
        <f t="shared" si="379"/>
        <v/>
      </c>
      <c r="KGY33" t="str">
        <f t="shared" si="379"/>
        <v/>
      </c>
      <c r="KGZ33" t="str">
        <f t="shared" si="379"/>
        <v/>
      </c>
      <c r="KHA33" t="str">
        <f t="shared" si="379"/>
        <v/>
      </c>
      <c r="KHB33" t="str">
        <f t="shared" si="379"/>
        <v/>
      </c>
      <c r="KHC33" t="str">
        <f t="shared" si="379"/>
        <v/>
      </c>
      <c r="KHD33" t="str">
        <f t="shared" si="379"/>
        <v/>
      </c>
      <c r="KHE33" t="str">
        <f t="shared" si="379"/>
        <v/>
      </c>
      <c r="KHF33" t="str">
        <f t="shared" si="379"/>
        <v/>
      </c>
      <c r="KHG33" t="str">
        <f t="shared" si="379"/>
        <v/>
      </c>
      <c r="KHH33" t="str">
        <f t="shared" si="379"/>
        <v/>
      </c>
      <c r="KHI33" t="str">
        <f t="shared" si="379"/>
        <v/>
      </c>
      <c r="KHJ33" t="str">
        <f t="shared" si="379"/>
        <v/>
      </c>
      <c r="KHK33" t="str">
        <f t="shared" si="379"/>
        <v/>
      </c>
      <c r="KHL33" t="str">
        <f t="shared" si="379"/>
        <v/>
      </c>
      <c r="KHM33" t="str">
        <f t="shared" si="379"/>
        <v/>
      </c>
      <c r="KHN33" t="str">
        <f t="shared" si="379"/>
        <v/>
      </c>
      <c r="KHO33" t="str">
        <f t="shared" si="379"/>
        <v/>
      </c>
      <c r="KHP33" t="str">
        <f t="shared" si="379"/>
        <v/>
      </c>
      <c r="KHQ33" t="str">
        <f t="shared" si="379"/>
        <v/>
      </c>
      <c r="KHR33" t="str">
        <f t="shared" si="379"/>
        <v/>
      </c>
      <c r="KHS33" t="str">
        <f t="shared" si="379"/>
        <v/>
      </c>
      <c r="KHT33" t="str">
        <f t="shared" si="379"/>
        <v/>
      </c>
      <c r="KHU33" t="str">
        <f t="shared" si="379"/>
        <v/>
      </c>
      <c r="KHV33" t="str">
        <f t="shared" si="379"/>
        <v/>
      </c>
      <c r="KHW33" t="str">
        <f t="shared" si="379"/>
        <v/>
      </c>
      <c r="KHX33" t="str">
        <f t="shared" si="379"/>
        <v/>
      </c>
      <c r="KHY33" t="str">
        <f t="shared" si="379"/>
        <v/>
      </c>
      <c r="KHZ33" t="str">
        <f t="shared" si="379"/>
        <v/>
      </c>
      <c r="KIA33" t="str">
        <f t="shared" si="379"/>
        <v/>
      </c>
      <c r="KIB33" t="str">
        <f t="shared" si="379"/>
        <v/>
      </c>
      <c r="KIC33" t="str">
        <f t="shared" si="379"/>
        <v/>
      </c>
      <c r="KID33" t="str">
        <f t="shared" si="379"/>
        <v/>
      </c>
      <c r="KIE33" t="str">
        <f t="shared" si="379"/>
        <v/>
      </c>
      <c r="KIF33" t="str">
        <f t="shared" si="379"/>
        <v/>
      </c>
      <c r="KIG33" t="str">
        <f t="shared" si="379"/>
        <v/>
      </c>
      <c r="KIH33" t="str">
        <f t="shared" si="379"/>
        <v/>
      </c>
      <c r="KII33" t="str">
        <f t="shared" si="379"/>
        <v/>
      </c>
      <c r="KIJ33" t="str">
        <f t="shared" si="379"/>
        <v/>
      </c>
      <c r="KIK33" t="str">
        <f t="shared" si="379"/>
        <v/>
      </c>
      <c r="KIL33" t="str">
        <f t="shared" si="379"/>
        <v/>
      </c>
      <c r="KIM33" t="str">
        <f t="shared" si="379"/>
        <v/>
      </c>
      <c r="KIN33" t="str">
        <f t="shared" si="379"/>
        <v/>
      </c>
      <c r="KIO33" t="str">
        <f t="shared" si="379"/>
        <v/>
      </c>
      <c r="KIP33" t="str">
        <f t="shared" si="379"/>
        <v/>
      </c>
      <c r="KIQ33" t="str">
        <f t="shared" si="379"/>
        <v/>
      </c>
      <c r="KIR33" t="str">
        <f t="shared" si="379"/>
        <v/>
      </c>
      <c r="KIS33" t="str">
        <f t="shared" si="379"/>
        <v/>
      </c>
      <c r="KIT33" t="str">
        <f t="shared" si="379"/>
        <v/>
      </c>
      <c r="KIU33" t="str">
        <f t="shared" si="379"/>
        <v/>
      </c>
      <c r="KIV33" t="str">
        <f t="shared" si="379"/>
        <v/>
      </c>
      <c r="KIW33" t="str">
        <f t="shared" ref="KIW33:KLH33" si="380">TRIM(KJN17)</f>
        <v/>
      </c>
      <c r="KIX33" t="str">
        <f t="shared" si="380"/>
        <v/>
      </c>
      <c r="KIY33" t="str">
        <f t="shared" si="380"/>
        <v/>
      </c>
      <c r="KIZ33" t="str">
        <f t="shared" si="380"/>
        <v/>
      </c>
      <c r="KJA33" t="str">
        <f t="shared" si="380"/>
        <v/>
      </c>
      <c r="KJB33" t="str">
        <f t="shared" si="380"/>
        <v/>
      </c>
      <c r="KJC33" t="str">
        <f t="shared" si="380"/>
        <v/>
      </c>
      <c r="KJD33" t="str">
        <f t="shared" si="380"/>
        <v/>
      </c>
      <c r="KJE33" t="str">
        <f t="shared" si="380"/>
        <v/>
      </c>
      <c r="KJF33" t="str">
        <f t="shared" si="380"/>
        <v/>
      </c>
      <c r="KJG33" t="str">
        <f t="shared" si="380"/>
        <v/>
      </c>
      <c r="KJH33" t="str">
        <f t="shared" si="380"/>
        <v/>
      </c>
      <c r="KJI33" t="str">
        <f t="shared" si="380"/>
        <v/>
      </c>
      <c r="KJJ33" t="str">
        <f t="shared" si="380"/>
        <v/>
      </c>
      <c r="KJK33" t="str">
        <f t="shared" si="380"/>
        <v/>
      </c>
      <c r="KJL33" t="str">
        <f t="shared" si="380"/>
        <v/>
      </c>
      <c r="KJM33" t="str">
        <f t="shared" si="380"/>
        <v/>
      </c>
      <c r="KJN33" t="str">
        <f t="shared" si="380"/>
        <v/>
      </c>
      <c r="KJO33" t="str">
        <f t="shared" si="380"/>
        <v/>
      </c>
      <c r="KJP33" t="str">
        <f t="shared" si="380"/>
        <v/>
      </c>
      <c r="KJQ33" t="str">
        <f t="shared" si="380"/>
        <v/>
      </c>
      <c r="KJR33" t="str">
        <f t="shared" si="380"/>
        <v/>
      </c>
      <c r="KJS33" t="str">
        <f t="shared" si="380"/>
        <v/>
      </c>
      <c r="KJT33" t="str">
        <f t="shared" si="380"/>
        <v/>
      </c>
      <c r="KJU33" t="str">
        <f t="shared" si="380"/>
        <v/>
      </c>
      <c r="KJV33" t="str">
        <f t="shared" si="380"/>
        <v/>
      </c>
      <c r="KJW33" t="str">
        <f t="shared" si="380"/>
        <v/>
      </c>
      <c r="KJX33" t="str">
        <f t="shared" si="380"/>
        <v/>
      </c>
      <c r="KJY33" t="str">
        <f t="shared" si="380"/>
        <v/>
      </c>
      <c r="KJZ33" t="str">
        <f t="shared" si="380"/>
        <v/>
      </c>
      <c r="KKA33" t="str">
        <f t="shared" si="380"/>
        <v/>
      </c>
      <c r="KKB33" t="str">
        <f t="shared" si="380"/>
        <v/>
      </c>
      <c r="KKC33" t="str">
        <f t="shared" si="380"/>
        <v/>
      </c>
      <c r="KKD33" t="str">
        <f t="shared" si="380"/>
        <v/>
      </c>
      <c r="KKE33" t="str">
        <f t="shared" si="380"/>
        <v/>
      </c>
      <c r="KKF33" t="str">
        <f t="shared" si="380"/>
        <v/>
      </c>
      <c r="KKG33" t="str">
        <f t="shared" si="380"/>
        <v/>
      </c>
      <c r="KKH33" t="str">
        <f t="shared" si="380"/>
        <v/>
      </c>
      <c r="KKI33" t="str">
        <f t="shared" si="380"/>
        <v/>
      </c>
      <c r="KKJ33" t="str">
        <f t="shared" si="380"/>
        <v/>
      </c>
      <c r="KKK33" t="str">
        <f t="shared" si="380"/>
        <v/>
      </c>
      <c r="KKL33" t="str">
        <f t="shared" si="380"/>
        <v/>
      </c>
      <c r="KKM33" t="str">
        <f t="shared" si="380"/>
        <v/>
      </c>
      <c r="KKN33" t="str">
        <f t="shared" si="380"/>
        <v/>
      </c>
      <c r="KKO33" t="str">
        <f t="shared" si="380"/>
        <v/>
      </c>
      <c r="KKP33" t="str">
        <f t="shared" si="380"/>
        <v/>
      </c>
      <c r="KKQ33" t="str">
        <f t="shared" si="380"/>
        <v/>
      </c>
      <c r="KKR33" t="str">
        <f t="shared" si="380"/>
        <v/>
      </c>
      <c r="KKS33" t="str">
        <f t="shared" si="380"/>
        <v/>
      </c>
      <c r="KKT33" t="str">
        <f t="shared" si="380"/>
        <v/>
      </c>
      <c r="KKU33" t="str">
        <f t="shared" si="380"/>
        <v/>
      </c>
      <c r="KKV33" t="str">
        <f t="shared" si="380"/>
        <v/>
      </c>
      <c r="KKW33" t="str">
        <f t="shared" si="380"/>
        <v/>
      </c>
      <c r="KKX33" t="str">
        <f t="shared" si="380"/>
        <v/>
      </c>
      <c r="KKY33" t="str">
        <f t="shared" si="380"/>
        <v/>
      </c>
      <c r="KKZ33" t="str">
        <f t="shared" si="380"/>
        <v/>
      </c>
      <c r="KLA33" t="str">
        <f t="shared" si="380"/>
        <v/>
      </c>
      <c r="KLB33" t="str">
        <f t="shared" si="380"/>
        <v/>
      </c>
      <c r="KLC33" t="str">
        <f t="shared" si="380"/>
        <v/>
      </c>
      <c r="KLD33" t="str">
        <f t="shared" si="380"/>
        <v/>
      </c>
      <c r="KLE33" t="str">
        <f t="shared" si="380"/>
        <v/>
      </c>
      <c r="KLF33" t="str">
        <f t="shared" si="380"/>
        <v/>
      </c>
      <c r="KLG33" t="str">
        <f t="shared" si="380"/>
        <v/>
      </c>
      <c r="KLH33" t="str">
        <f t="shared" si="380"/>
        <v/>
      </c>
      <c r="KLI33" t="str">
        <f t="shared" ref="KLI33:KNT33" si="381">TRIM(KLZ17)</f>
        <v/>
      </c>
      <c r="KLJ33" t="str">
        <f t="shared" si="381"/>
        <v/>
      </c>
      <c r="KLK33" t="str">
        <f t="shared" si="381"/>
        <v/>
      </c>
      <c r="KLL33" t="str">
        <f t="shared" si="381"/>
        <v/>
      </c>
      <c r="KLM33" t="str">
        <f t="shared" si="381"/>
        <v/>
      </c>
      <c r="KLN33" t="str">
        <f t="shared" si="381"/>
        <v/>
      </c>
      <c r="KLO33" t="str">
        <f t="shared" si="381"/>
        <v/>
      </c>
      <c r="KLP33" t="str">
        <f t="shared" si="381"/>
        <v/>
      </c>
      <c r="KLQ33" t="str">
        <f t="shared" si="381"/>
        <v/>
      </c>
      <c r="KLR33" t="str">
        <f t="shared" si="381"/>
        <v/>
      </c>
      <c r="KLS33" t="str">
        <f t="shared" si="381"/>
        <v/>
      </c>
      <c r="KLT33" t="str">
        <f t="shared" si="381"/>
        <v/>
      </c>
      <c r="KLU33" t="str">
        <f t="shared" si="381"/>
        <v/>
      </c>
      <c r="KLV33" t="str">
        <f t="shared" si="381"/>
        <v/>
      </c>
      <c r="KLW33" t="str">
        <f t="shared" si="381"/>
        <v/>
      </c>
      <c r="KLX33" t="str">
        <f t="shared" si="381"/>
        <v/>
      </c>
      <c r="KLY33" t="str">
        <f t="shared" si="381"/>
        <v/>
      </c>
      <c r="KLZ33" t="str">
        <f t="shared" si="381"/>
        <v/>
      </c>
      <c r="KMA33" t="str">
        <f t="shared" si="381"/>
        <v/>
      </c>
      <c r="KMB33" t="str">
        <f t="shared" si="381"/>
        <v/>
      </c>
      <c r="KMC33" t="str">
        <f t="shared" si="381"/>
        <v/>
      </c>
      <c r="KMD33" t="str">
        <f t="shared" si="381"/>
        <v/>
      </c>
      <c r="KME33" t="str">
        <f t="shared" si="381"/>
        <v/>
      </c>
      <c r="KMF33" t="str">
        <f t="shared" si="381"/>
        <v/>
      </c>
      <c r="KMG33" t="str">
        <f t="shared" si="381"/>
        <v/>
      </c>
      <c r="KMH33" t="str">
        <f t="shared" si="381"/>
        <v/>
      </c>
      <c r="KMI33" t="str">
        <f t="shared" si="381"/>
        <v/>
      </c>
      <c r="KMJ33" t="str">
        <f t="shared" si="381"/>
        <v/>
      </c>
      <c r="KMK33" t="str">
        <f t="shared" si="381"/>
        <v/>
      </c>
      <c r="KML33" t="str">
        <f t="shared" si="381"/>
        <v/>
      </c>
      <c r="KMM33" t="str">
        <f t="shared" si="381"/>
        <v/>
      </c>
      <c r="KMN33" t="str">
        <f t="shared" si="381"/>
        <v/>
      </c>
      <c r="KMO33" t="str">
        <f t="shared" si="381"/>
        <v/>
      </c>
      <c r="KMP33" t="str">
        <f t="shared" si="381"/>
        <v/>
      </c>
      <c r="KMQ33" t="str">
        <f t="shared" si="381"/>
        <v/>
      </c>
      <c r="KMR33" t="str">
        <f t="shared" si="381"/>
        <v/>
      </c>
      <c r="KMS33" t="str">
        <f t="shared" si="381"/>
        <v/>
      </c>
      <c r="KMT33" t="str">
        <f t="shared" si="381"/>
        <v/>
      </c>
      <c r="KMU33" t="str">
        <f t="shared" si="381"/>
        <v/>
      </c>
      <c r="KMV33" t="str">
        <f t="shared" si="381"/>
        <v/>
      </c>
      <c r="KMW33" t="str">
        <f t="shared" si="381"/>
        <v/>
      </c>
      <c r="KMX33" t="str">
        <f t="shared" si="381"/>
        <v/>
      </c>
      <c r="KMY33" t="str">
        <f t="shared" si="381"/>
        <v/>
      </c>
      <c r="KMZ33" t="str">
        <f t="shared" si="381"/>
        <v/>
      </c>
      <c r="KNA33" t="str">
        <f t="shared" si="381"/>
        <v/>
      </c>
      <c r="KNB33" t="str">
        <f t="shared" si="381"/>
        <v/>
      </c>
      <c r="KNC33" t="str">
        <f t="shared" si="381"/>
        <v/>
      </c>
      <c r="KND33" t="str">
        <f t="shared" si="381"/>
        <v/>
      </c>
      <c r="KNE33" t="str">
        <f t="shared" si="381"/>
        <v/>
      </c>
      <c r="KNF33" t="str">
        <f t="shared" si="381"/>
        <v/>
      </c>
      <c r="KNG33" t="str">
        <f t="shared" si="381"/>
        <v/>
      </c>
      <c r="KNH33" t="str">
        <f t="shared" si="381"/>
        <v/>
      </c>
      <c r="KNI33" t="str">
        <f t="shared" si="381"/>
        <v/>
      </c>
      <c r="KNJ33" t="str">
        <f t="shared" si="381"/>
        <v/>
      </c>
      <c r="KNK33" t="str">
        <f t="shared" si="381"/>
        <v/>
      </c>
      <c r="KNL33" t="str">
        <f t="shared" si="381"/>
        <v/>
      </c>
      <c r="KNM33" t="str">
        <f t="shared" si="381"/>
        <v/>
      </c>
      <c r="KNN33" t="str">
        <f t="shared" si="381"/>
        <v/>
      </c>
      <c r="KNO33" t="str">
        <f t="shared" si="381"/>
        <v/>
      </c>
      <c r="KNP33" t="str">
        <f t="shared" si="381"/>
        <v/>
      </c>
      <c r="KNQ33" t="str">
        <f t="shared" si="381"/>
        <v/>
      </c>
      <c r="KNR33" t="str">
        <f t="shared" si="381"/>
        <v/>
      </c>
      <c r="KNS33" t="str">
        <f t="shared" si="381"/>
        <v/>
      </c>
      <c r="KNT33" t="str">
        <f t="shared" si="381"/>
        <v/>
      </c>
      <c r="KNU33" t="str">
        <f t="shared" ref="KNU33:KQF33" si="382">TRIM(KOL17)</f>
        <v/>
      </c>
      <c r="KNV33" t="str">
        <f t="shared" si="382"/>
        <v/>
      </c>
      <c r="KNW33" t="str">
        <f t="shared" si="382"/>
        <v/>
      </c>
      <c r="KNX33" t="str">
        <f t="shared" si="382"/>
        <v/>
      </c>
      <c r="KNY33" t="str">
        <f t="shared" si="382"/>
        <v/>
      </c>
      <c r="KNZ33" t="str">
        <f t="shared" si="382"/>
        <v/>
      </c>
      <c r="KOA33" t="str">
        <f t="shared" si="382"/>
        <v/>
      </c>
      <c r="KOB33" t="str">
        <f t="shared" si="382"/>
        <v/>
      </c>
      <c r="KOC33" t="str">
        <f t="shared" si="382"/>
        <v/>
      </c>
      <c r="KOD33" t="str">
        <f t="shared" si="382"/>
        <v/>
      </c>
      <c r="KOE33" t="str">
        <f t="shared" si="382"/>
        <v/>
      </c>
      <c r="KOF33" t="str">
        <f t="shared" si="382"/>
        <v/>
      </c>
      <c r="KOG33" t="str">
        <f t="shared" si="382"/>
        <v/>
      </c>
      <c r="KOH33" t="str">
        <f t="shared" si="382"/>
        <v/>
      </c>
      <c r="KOI33" t="str">
        <f t="shared" si="382"/>
        <v/>
      </c>
      <c r="KOJ33" t="str">
        <f t="shared" si="382"/>
        <v/>
      </c>
      <c r="KOK33" t="str">
        <f t="shared" si="382"/>
        <v/>
      </c>
      <c r="KOL33" t="str">
        <f t="shared" si="382"/>
        <v/>
      </c>
      <c r="KOM33" t="str">
        <f t="shared" si="382"/>
        <v/>
      </c>
      <c r="KON33" t="str">
        <f t="shared" si="382"/>
        <v/>
      </c>
      <c r="KOO33" t="str">
        <f t="shared" si="382"/>
        <v/>
      </c>
      <c r="KOP33" t="str">
        <f t="shared" si="382"/>
        <v/>
      </c>
      <c r="KOQ33" t="str">
        <f t="shared" si="382"/>
        <v/>
      </c>
      <c r="KOR33" t="str">
        <f t="shared" si="382"/>
        <v/>
      </c>
      <c r="KOS33" t="str">
        <f t="shared" si="382"/>
        <v/>
      </c>
      <c r="KOT33" t="str">
        <f t="shared" si="382"/>
        <v/>
      </c>
      <c r="KOU33" t="str">
        <f t="shared" si="382"/>
        <v/>
      </c>
      <c r="KOV33" t="str">
        <f t="shared" si="382"/>
        <v/>
      </c>
      <c r="KOW33" t="str">
        <f t="shared" si="382"/>
        <v/>
      </c>
      <c r="KOX33" t="str">
        <f t="shared" si="382"/>
        <v/>
      </c>
      <c r="KOY33" t="str">
        <f t="shared" si="382"/>
        <v/>
      </c>
      <c r="KOZ33" t="str">
        <f t="shared" si="382"/>
        <v/>
      </c>
      <c r="KPA33" t="str">
        <f t="shared" si="382"/>
        <v/>
      </c>
      <c r="KPB33" t="str">
        <f t="shared" si="382"/>
        <v/>
      </c>
      <c r="KPC33" t="str">
        <f t="shared" si="382"/>
        <v/>
      </c>
      <c r="KPD33" t="str">
        <f t="shared" si="382"/>
        <v/>
      </c>
      <c r="KPE33" t="str">
        <f t="shared" si="382"/>
        <v/>
      </c>
      <c r="KPF33" t="str">
        <f t="shared" si="382"/>
        <v/>
      </c>
      <c r="KPG33" t="str">
        <f t="shared" si="382"/>
        <v/>
      </c>
      <c r="KPH33" t="str">
        <f t="shared" si="382"/>
        <v/>
      </c>
      <c r="KPI33" t="str">
        <f t="shared" si="382"/>
        <v/>
      </c>
      <c r="KPJ33" t="str">
        <f t="shared" si="382"/>
        <v/>
      </c>
      <c r="KPK33" t="str">
        <f t="shared" si="382"/>
        <v/>
      </c>
      <c r="KPL33" t="str">
        <f t="shared" si="382"/>
        <v/>
      </c>
      <c r="KPM33" t="str">
        <f t="shared" si="382"/>
        <v/>
      </c>
      <c r="KPN33" t="str">
        <f t="shared" si="382"/>
        <v/>
      </c>
      <c r="KPO33" t="str">
        <f t="shared" si="382"/>
        <v/>
      </c>
      <c r="KPP33" t="str">
        <f t="shared" si="382"/>
        <v/>
      </c>
      <c r="KPQ33" t="str">
        <f t="shared" si="382"/>
        <v/>
      </c>
      <c r="KPR33" t="str">
        <f t="shared" si="382"/>
        <v/>
      </c>
      <c r="KPS33" t="str">
        <f t="shared" si="382"/>
        <v/>
      </c>
      <c r="KPT33" t="str">
        <f t="shared" si="382"/>
        <v/>
      </c>
      <c r="KPU33" t="str">
        <f t="shared" si="382"/>
        <v/>
      </c>
      <c r="KPV33" t="str">
        <f t="shared" si="382"/>
        <v/>
      </c>
      <c r="KPW33" t="str">
        <f t="shared" si="382"/>
        <v/>
      </c>
      <c r="KPX33" t="str">
        <f t="shared" si="382"/>
        <v/>
      </c>
      <c r="KPY33" t="str">
        <f t="shared" si="382"/>
        <v/>
      </c>
      <c r="KPZ33" t="str">
        <f t="shared" si="382"/>
        <v/>
      </c>
      <c r="KQA33" t="str">
        <f t="shared" si="382"/>
        <v/>
      </c>
      <c r="KQB33" t="str">
        <f t="shared" si="382"/>
        <v/>
      </c>
      <c r="KQC33" t="str">
        <f t="shared" si="382"/>
        <v/>
      </c>
      <c r="KQD33" t="str">
        <f t="shared" si="382"/>
        <v/>
      </c>
      <c r="KQE33" t="str">
        <f t="shared" si="382"/>
        <v/>
      </c>
      <c r="KQF33" t="str">
        <f t="shared" si="382"/>
        <v/>
      </c>
      <c r="KQG33" t="str">
        <f t="shared" ref="KQG33:KSR33" si="383">TRIM(KQX17)</f>
        <v/>
      </c>
      <c r="KQH33" t="str">
        <f t="shared" si="383"/>
        <v/>
      </c>
      <c r="KQI33" t="str">
        <f t="shared" si="383"/>
        <v/>
      </c>
      <c r="KQJ33" t="str">
        <f t="shared" si="383"/>
        <v/>
      </c>
      <c r="KQK33" t="str">
        <f t="shared" si="383"/>
        <v/>
      </c>
      <c r="KQL33" t="str">
        <f t="shared" si="383"/>
        <v/>
      </c>
      <c r="KQM33" t="str">
        <f t="shared" si="383"/>
        <v/>
      </c>
      <c r="KQN33" t="str">
        <f t="shared" si="383"/>
        <v/>
      </c>
      <c r="KQO33" t="str">
        <f t="shared" si="383"/>
        <v/>
      </c>
      <c r="KQP33" t="str">
        <f t="shared" si="383"/>
        <v/>
      </c>
      <c r="KQQ33" t="str">
        <f t="shared" si="383"/>
        <v/>
      </c>
      <c r="KQR33" t="str">
        <f t="shared" si="383"/>
        <v/>
      </c>
      <c r="KQS33" t="str">
        <f t="shared" si="383"/>
        <v/>
      </c>
      <c r="KQT33" t="str">
        <f t="shared" si="383"/>
        <v/>
      </c>
      <c r="KQU33" t="str">
        <f t="shared" si="383"/>
        <v/>
      </c>
      <c r="KQV33" t="str">
        <f t="shared" si="383"/>
        <v/>
      </c>
      <c r="KQW33" t="str">
        <f t="shared" si="383"/>
        <v/>
      </c>
      <c r="KQX33" t="str">
        <f t="shared" si="383"/>
        <v/>
      </c>
      <c r="KQY33" t="str">
        <f t="shared" si="383"/>
        <v/>
      </c>
      <c r="KQZ33" t="str">
        <f t="shared" si="383"/>
        <v/>
      </c>
      <c r="KRA33" t="str">
        <f t="shared" si="383"/>
        <v/>
      </c>
      <c r="KRB33" t="str">
        <f t="shared" si="383"/>
        <v/>
      </c>
      <c r="KRC33" t="str">
        <f t="shared" si="383"/>
        <v/>
      </c>
      <c r="KRD33" t="str">
        <f t="shared" si="383"/>
        <v/>
      </c>
      <c r="KRE33" t="str">
        <f t="shared" si="383"/>
        <v/>
      </c>
      <c r="KRF33" t="str">
        <f t="shared" si="383"/>
        <v/>
      </c>
      <c r="KRG33" t="str">
        <f t="shared" si="383"/>
        <v/>
      </c>
      <c r="KRH33" t="str">
        <f t="shared" si="383"/>
        <v/>
      </c>
      <c r="KRI33" t="str">
        <f t="shared" si="383"/>
        <v/>
      </c>
      <c r="KRJ33" t="str">
        <f t="shared" si="383"/>
        <v/>
      </c>
      <c r="KRK33" t="str">
        <f t="shared" si="383"/>
        <v/>
      </c>
      <c r="KRL33" t="str">
        <f t="shared" si="383"/>
        <v/>
      </c>
      <c r="KRM33" t="str">
        <f t="shared" si="383"/>
        <v/>
      </c>
      <c r="KRN33" t="str">
        <f t="shared" si="383"/>
        <v/>
      </c>
      <c r="KRO33" t="str">
        <f t="shared" si="383"/>
        <v/>
      </c>
      <c r="KRP33" t="str">
        <f t="shared" si="383"/>
        <v/>
      </c>
      <c r="KRQ33" t="str">
        <f t="shared" si="383"/>
        <v/>
      </c>
      <c r="KRR33" t="str">
        <f t="shared" si="383"/>
        <v/>
      </c>
      <c r="KRS33" t="str">
        <f t="shared" si="383"/>
        <v/>
      </c>
      <c r="KRT33" t="str">
        <f t="shared" si="383"/>
        <v/>
      </c>
      <c r="KRU33" t="str">
        <f t="shared" si="383"/>
        <v/>
      </c>
      <c r="KRV33" t="str">
        <f t="shared" si="383"/>
        <v/>
      </c>
      <c r="KRW33" t="str">
        <f t="shared" si="383"/>
        <v/>
      </c>
      <c r="KRX33" t="str">
        <f t="shared" si="383"/>
        <v/>
      </c>
      <c r="KRY33" t="str">
        <f t="shared" si="383"/>
        <v/>
      </c>
      <c r="KRZ33" t="str">
        <f t="shared" si="383"/>
        <v/>
      </c>
      <c r="KSA33" t="str">
        <f t="shared" si="383"/>
        <v/>
      </c>
      <c r="KSB33" t="str">
        <f t="shared" si="383"/>
        <v/>
      </c>
      <c r="KSC33" t="str">
        <f t="shared" si="383"/>
        <v/>
      </c>
      <c r="KSD33" t="str">
        <f t="shared" si="383"/>
        <v/>
      </c>
      <c r="KSE33" t="str">
        <f t="shared" si="383"/>
        <v/>
      </c>
      <c r="KSF33" t="str">
        <f t="shared" si="383"/>
        <v/>
      </c>
      <c r="KSG33" t="str">
        <f t="shared" si="383"/>
        <v/>
      </c>
      <c r="KSH33" t="str">
        <f t="shared" si="383"/>
        <v/>
      </c>
      <c r="KSI33" t="str">
        <f t="shared" si="383"/>
        <v/>
      </c>
      <c r="KSJ33" t="str">
        <f t="shared" si="383"/>
        <v/>
      </c>
      <c r="KSK33" t="str">
        <f t="shared" si="383"/>
        <v/>
      </c>
      <c r="KSL33" t="str">
        <f t="shared" si="383"/>
        <v/>
      </c>
      <c r="KSM33" t="str">
        <f t="shared" si="383"/>
        <v/>
      </c>
      <c r="KSN33" t="str">
        <f t="shared" si="383"/>
        <v/>
      </c>
      <c r="KSO33" t="str">
        <f t="shared" si="383"/>
        <v/>
      </c>
      <c r="KSP33" t="str">
        <f t="shared" si="383"/>
        <v/>
      </c>
      <c r="KSQ33" t="str">
        <f t="shared" si="383"/>
        <v/>
      </c>
      <c r="KSR33" t="str">
        <f t="shared" si="383"/>
        <v/>
      </c>
      <c r="KSS33" t="str">
        <f t="shared" ref="KSS33:KVD33" si="384">TRIM(KTJ17)</f>
        <v/>
      </c>
      <c r="KST33" t="str">
        <f t="shared" si="384"/>
        <v/>
      </c>
      <c r="KSU33" t="str">
        <f t="shared" si="384"/>
        <v/>
      </c>
      <c r="KSV33" t="str">
        <f t="shared" si="384"/>
        <v/>
      </c>
      <c r="KSW33" t="str">
        <f t="shared" si="384"/>
        <v/>
      </c>
      <c r="KSX33" t="str">
        <f t="shared" si="384"/>
        <v/>
      </c>
      <c r="KSY33" t="str">
        <f t="shared" si="384"/>
        <v/>
      </c>
      <c r="KSZ33" t="str">
        <f t="shared" si="384"/>
        <v/>
      </c>
      <c r="KTA33" t="str">
        <f t="shared" si="384"/>
        <v/>
      </c>
      <c r="KTB33" t="str">
        <f t="shared" si="384"/>
        <v/>
      </c>
      <c r="KTC33" t="str">
        <f t="shared" si="384"/>
        <v/>
      </c>
      <c r="KTD33" t="str">
        <f t="shared" si="384"/>
        <v/>
      </c>
      <c r="KTE33" t="str">
        <f t="shared" si="384"/>
        <v/>
      </c>
      <c r="KTF33" t="str">
        <f t="shared" si="384"/>
        <v/>
      </c>
      <c r="KTG33" t="str">
        <f t="shared" si="384"/>
        <v/>
      </c>
      <c r="KTH33" t="str">
        <f t="shared" si="384"/>
        <v/>
      </c>
      <c r="KTI33" t="str">
        <f t="shared" si="384"/>
        <v/>
      </c>
      <c r="KTJ33" t="str">
        <f t="shared" si="384"/>
        <v/>
      </c>
      <c r="KTK33" t="str">
        <f t="shared" si="384"/>
        <v/>
      </c>
      <c r="KTL33" t="str">
        <f t="shared" si="384"/>
        <v/>
      </c>
      <c r="KTM33" t="str">
        <f t="shared" si="384"/>
        <v/>
      </c>
      <c r="KTN33" t="str">
        <f t="shared" si="384"/>
        <v/>
      </c>
      <c r="KTO33" t="str">
        <f t="shared" si="384"/>
        <v/>
      </c>
      <c r="KTP33" t="str">
        <f t="shared" si="384"/>
        <v/>
      </c>
      <c r="KTQ33" t="str">
        <f t="shared" si="384"/>
        <v/>
      </c>
      <c r="KTR33" t="str">
        <f t="shared" si="384"/>
        <v/>
      </c>
      <c r="KTS33" t="str">
        <f t="shared" si="384"/>
        <v/>
      </c>
      <c r="KTT33" t="str">
        <f t="shared" si="384"/>
        <v/>
      </c>
      <c r="KTU33" t="str">
        <f t="shared" si="384"/>
        <v/>
      </c>
      <c r="KTV33" t="str">
        <f t="shared" si="384"/>
        <v/>
      </c>
      <c r="KTW33" t="str">
        <f t="shared" si="384"/>
        <v/>
      </c>
      <c r="KTX33" t="str">
        <f t="shared" si="384"/>
        <v/>
      </c>
      <c r="KTY33" t="str">
        <f t="shared" si="384"/>
        <v/>
      </c>
      <c r="KTZ33" t="str">
        <f t="shared" si="384"/>
        <v/>
      </c>
      <c r="KUA33" t="str">
        <f t="shared" si="384"/>
        <v/>
      </c>
      <c r="KUB33" t="str">
        <f t="shared" si="384"/>
        <v/>
      </c>
      <c r="KUC33" t="str">
        <f t="shared" si="384"/>
        <v/>
      </c>
      <c r="KUD33" t="str">
        <f t="shared" si="384"/>
        <v/>
      </c>
      <c r="KUE33" t="str">
        <f t="shared" si="384"/>
        <v/>
      </c>
      <c r="KUF33" t="str">
        <f t="shared" si="384"/>
        <v/>
      </c>
      <c r="KUG33" t="str">
        <f t="shared" si="384"/>
        <v/>
      </c>
      <c r="KUH33" t="str">
        <f t="shared" si="384"/>
        <v/>
      </c>
      <c r="KUI33" t="str">
        <f t="shared" si="384"/>
        <v/>
      </c>
      <c r="KUJ33" t="str">
        <f t="shared" si="384"/>
        <v/>
      </c>
      <c r="KUK33" t="str">
        <f t="shared" si="384"/>
        <v/>
      </c>
      <c r="KUL33" t="str">
        <f t="shared" si="384"/>
        <v/>
      </c>
      <c r="KUM33" t="str">
        <f t="shared" si="384"/>
        <v/>
      </c>
      <c r="KUN33" t="str">
        <f t="shared" si="384"/>
        <v/>
      </c>
      <c r="KUO33" t="str">
        <f t="shared" si="384"/>
        <v/>
      </c>
      <c r="KUP33" t="str">
        <f t="shared" si="384"/>
        <v/>
      </c>
      <c r="KUQ33" t="str">
        <f t="shared" si="384"/>
        <v/>
      </c>
      <c r="KUR33" t="str">
        <f t="shared" si="384"/>
        <v/>
      </c>
      <c r="KUS33" t="str">
        <f t="shared" si="384"/>
        <v/>
      </c>
      <c r="KUT33" t="str">
        <f t="shared" si="384"/>
        <v/>
      </c>
      <c r="KUU33" t="str">
        <f t="shared" si="384"/>
        <v/>
      </c>
      <c r="KUV33" t="str">
        <f t="shared" si="384"/>
        <v/>
      </c>
      <c r="KUW33" t="str">
        <f t="shared" si="384"/>
        <v/>
      </c>
      <c r="KUX33" t="str">
        <f t="shared" si="384"/>
        <v/>
      </c>
      <c r="KUY33" t="str">
        <f t="shared" si="384"/>
        <v/>
      </c>
      <c r="KUZ33" t="str">
        <f t="shared" si="384"/>
        <v/>
      </c>
      <c r="KVA33" t="str">
        <f t="shared" si="384"/>
        <v/>
      </c>
      <c r="KVB33" t="str">
        <f t="shared" si="384"/>
        <v/>
      </c>
      <c r="KVC33" t="str">
        <f t="shared" si="384"/>
        <v/>
      </c>
      <c r="KVD33" t="str">
        <f t="shared" si="384"/>
        <v/>
      </c>
      <c r="KVE33" t="str">
        <f t="shared" ref="KVE33:KXP33" si="385">TRIM(KVV17)</f>
        <v/>
      </c>
      <c r="KVF33" t="str">
        <f t="shared" si="385"/>
        <v/>
      </c>
      <c r="KVG33" t="str">
        <f t="shared" si="385"/>
        <v/>
      </c>
      <c r="KVH33" t="str">
        <f t="shared" si="385"/>
        <v/>
      </c>
      <c r="KVI33" t="str">
        <f t="shared" si="385"/>
        <v/>
      </c>
      <c r="KVJ33" t="str">
        <f t="shared" si="385"/>
        <v/>
      </c>
      <c r="KVK33" t="str">
        <f t="shared" si="385"/>
        <v/>
      </c>
      <c r="KVL33" t="str">
        <f t="shared" si="385"/>
        <v/>
      </c>
      <c r="KVM33" t="str">
        <f t="shared" si="385"/>
        <v/>
      </c>
      <c r="KVN33" t="str">
        <f t="shared" si="385"/>
        <v/>
      </c>
      <c r="KVO33" t="str">
        <f t="shared" si="385"/>
        <v/>
      </c>
      <c r="KVP33" t="str">
        <f t="shared" si="385"/>
        <v/>
      </c>
      <c r="KVQ33" t="str">
        <f t="shared" si="385"/>
        <v/>
      </c>
      <c r="KVR33" t="str">
        <f t="shared" si="385"/>
        <v/>
      </c>
      <c r="KVS33" t="str">
        <f t="shared" si="385"/>
        <v/>
      </c>
      <c r="KVT33" t="str">
        <f t="shared" si="385"/>
        <v/>
      </c>
      <c r="KVU33" t="str">
        <f t="shared" si="385"/>
        <v/>
      </c>
      <c r="KVV33" t="str">
        <f t="shared" si="385"/>
        <v/>
      </c>
      <c r="KVW33" t="str">
        <f t="shared" si="385"/>
        <v/>
      </c>
      <c r="KVX33" t="str">
        <f t="shared" si="385"/>
        <v/>
      </c>
      <c r="KVY33" t="str">
        <f t="shared" si="385"/>
        <v/>
      </c>
      <c r="KVZ33" t="str">
        <f t="shared" si="385"/>
        <v/>
      </c>
      <c r="KWA33" t="str">
        <f t="shared" si="385"/>
        <v/>
      </c>
      <c r="KWB33" t="str">
        <f t="shared" si="385"/>
        <v/>
      </c>
      <c r="KWC33" t="str">
        <f t="shared" si="385"/>
        <v/>
      </c>
      <c r="KWD33" t="str">
        <f t="shared" si="385"/>
        <v/>
      </c>
      <c r="KWE33" t="str">
        <f t="shared" si="385"/>
        <v/>
      </c>
      <c r="KWF33" t="str">
        <f t="shared" si="385"/>
        <v/>
      </c>
      <c r="KWG33" t="str">
        <f t="shared" si="385"/>
        <v/>
      </c>
      <c r="KWH33" t="str">
        <f t="shared" si="385"/>
        <v/>
      </c>
      <c r="KWI33" t="str">
        <f t="shared" si="385"/>
        <v/>
      </c>
      <c r="KWJ33" t="str">
        <f t="shared" si="385"/>
        <v/>
      </c>
      <c r="KWK33" t="str">
        <f t="shared" si="385"/>
        <v/>
      </c>
      <c r="KWL33" t="str">
        <f t="shared" si="385"/>
        <v/>
      </c>
      <c r="KWM33" t="str">
        <f t="shared" si="385"/>
        <v/>
      </c>
      <c r="KWN33" t="str">
        <f t="shared" si="385"/>
        <v/>
      </c>
      <c r="KWO33" t="str">
        <f t="shared" si="385"/>
        <v/>
      </c>
      <c r="KWP33" t="str">
        <f t="shared" si="385"/>
        <v/>
      </c>
      <c r="KWQ33" t="str">
        <f t="shared" si="385"/>
        <v/>
      </c>
      <c r="KWR33" t="str">
        <f t="shared" si="385"/>
        <v/>
      </c>
      <c r="KWS33" t="str">
        <f t="shared" si="385"/>
        <v/>
      </c>
      <c r="KWT33" t="str">
        <f t="shared" si="385"/>
        <v/>
      </c>
      <c r="KWU33" t="str">
        <f t="shared" si="385"/>
        <v/>
      </c>
      <c r="KWV33" t="str">
        <f t="shared" si="385"/>
        <v/>
      </c>
      <c r="KWW33" t="str">
        <f t="shared" si="385"/>
        <v/>
      </c>
      <c r="KWX33" t="str">
        <f t="shared" si="385"/>
        <v/>
      </c>
      <c r="KWY33" t="str">
        <f t="shared" si="385"/>
        <v/>
      </c>
      <c r="KWZ33" t="str">
        <f t="shared" si="385"/>
        <v/>
      </c>
      <c r="KXA33" t="str">
        <f t="shared" si="385"/>
        <v/>
      </c>
      <c r="KXB33" t="str">
        <f t="shared" si="385"/>
        <v/>
      </c>
      <c r="KXC33" t="str">
        <f t="shared" si="385"/>
        <v/>
      </c>
      <c r="KXD33" t="str">
        <f t="shared" si="385"/>
        <v/>
      </c>
      <c r="KXE33" t="str">
        <f t="shared" si="385"/>
        <v/>
      </c>
      <c r="KXF33" t="str">
        <f t="shared" si="385"/>
        <v/>
      </c>
      <c r="KXG33" t="str">
        <f t="shared" si="385"/>
        <v/>
      </c>
      <c r="KXH33" t="str">
        <f t="shared" si="385"/>
        <v/>
      </c>
      <c r="KXI33" t="str">
        <f t="shared" si="385"/>
        <v/>
      </c>
      <c r="KXJ33" t="str">
        <f t="shared" si="385"/>
        <v/>
      </c>
      <c r="KXK33" t="str">
        <f t="shared" si="385"/>
        <v/>
      </c>
      <c r="KXL33" t="str">
        <f t="shared" si="385"/>
        <v/>
      </c>
      <c r="KXM33" t="str">
        <f t="shared" si="385"/>
        <v/>
      </c>
      <c r="KXN33" t="str">
        <f t="shared" si="385"/>
        <v/>
      </c>
      <c r="KXO33" t="str">
        <f t="shared" si="385"/>
        <v/>
      </c>
      <c r="KXP33" t="str">
        <f t="shared" si="385"/>
        <v/>
      </c>
      <c r="KXQ33" t="str">
        <f t="shared" ref="KXQ33:LAB33" si="386">TRIM(KYH17)</f>
        <v/>
      </c>
      <c r="KXR33" t="str">
        <f t="shared" si="386"/>
        <v/>
      </c>
      <c r="KXS33" t="str">
        <f t="shared" si="386"/>
        <v/>
      </c>
      <c r="KXT33" t="str">
        <f t="shared" si="386"/>
        <v/>
      </c>
      <c r="KXU33" t="str">
        <f t="shared" si="386"/>
        <v/>
      </c>
      <c r="KXV33" t="str">
        <f t="shared" si="386"/>
        <v/>
      </c>
      <c r="KXW33" t="str">
        <f t="shared" si="386"/>
        <v/>
      </c>
      <c r="KXX33" t="str">
        <f t="shared" si="386"/>
        <v/>
      </c>
      <c r="KXY33" t="str">
        <f t="shared" si="386"/>
        <v/>
      </c>
      <c r="KXZ33" t="str">
        <f t="shared" si="386"/>
        <v/>
      </c>
      <c r="KYA33" t="str">
        <f t="shared" si="386"/>
        <v/>
      </c>
      <c r="KYB33" t="str">
        <f t="shared" si="386"/>
        <v/>
      </c>
      <c r="KYC33" t="str">
        <f t="shared" si="386"/>
        <v/>
      </c>
      <c r="KYD33" t="str">
        <f t="shared" si="386"/>
        <v/>
      </c>
      <c r="KYE33" t="str">
        <f t="shared" si="386"/>
        <v/>
      </c>
      <c r="KYF33" t="str">
        <f t="shared" si="386"/>
        <v/>
      </c>
      <c r="KYG33" t="str">
        <f t="shared" si="386"/>
        <v/>
      </c>
      <c r="KYH33" t="str">
        <f t="shared" si="386"/>
        <v/>
      </c>
      <c r="KYI33" t="str">
        <f t="shared" si="386"/>
        <v/>
      </c>
      <c r="KYJ33" t="str">
        <f t="shared" si="386"/>
        <v/>
      </c>
      <c r="KYK33" t="str">
        <f t="shared" si="386"/>
        <v/>
      </c>
      <c r="KYL33" t="str">
        <f t="shared" si="386"/>
        <v/>
      </c>
      <c r="KYM33" t="str">
        <f t="shared" si="386"/>
        <v/>
      </c>
      <c r="KYN33" t="str">
        <f t="shared" si="386"/>
        <v/>
      </c>
      <c r="KYO33" t="str">
        <f t="shared" si="386"/>
        <v/>
      </c>
      <c r="KYP33" t="str">
        <f t="shared" si="386"/>
        <v/>
      </c>
      <c r="KYQ33" t="str">
        <f t="shared" si="386"/>
        <v/>
      </c>
      <c r="KYR33" t="str">
        <f t="shared" si="386"/>
        <v/>
      </c>
      <c r="KYS33" t="str">
        <f t="shared" si="386"/>
        <v/>
      </c>
      <c r="KYT33" t="str">
        <f t="shared" si="386"/>
        <v/>
      </c>
      <c r="KYU33" t="str">
        <f t="shared" si="386"/>
        <v/>
      </c>
      <c r="KYV33" t="str">
        <f t="shared" si="386"/>
        <v/>
      </c>
      <c r="KYW33" t="str">
        <f t="shared" si="386"/>
        <v/>
      </c>
      <c r="KYX33" t="str">
        <f t="shared" si="386"/>
        <v/>
      </c>
      <c r="KYY33" t="str">
        <f t="shared" si="386"/>
        <v/>
      </c>
      <c r="KYZ33" t="str">
        <f t="shared" si="386"/>
        <v/>
      </c>
      <c r="KZA33" t="str">
        <f t="shared" si="386"/>
        <v/>
      </c>
      <c r="KZB33" t="str">
        <f t="shared" si="386"/>
        <v/>
      </c>
      <c r="KZC33" t="str">
        <f t="shared" si="386"/>
        <v/>
      </c>
      <c r="KZD33" t="str">
        <f t="shared" si="386"/>
        <v/>
      </c>
      <c r="KZE33" t="str">
        <f t="shared" si="386"/>
        <v/>
      </c>
      <c r="KZF33" t="str">
        <f t="shared" si="386"/>
        <v/>
      </c>
      <c r="KZG33" t="str">
        <f t="shared" si="386"/>
        <v/>
      </c>
      <c r="KZH33" t="str">
        <f t="shared" si="386"/>
        <v/>
      </c>
      <c r="KZI33" t="str">
        <f t="shared" si="386"/>
        <v/>
      </c>
      <c r="KZJ33" t="str">
        <f t="shared" si="386"/>
        <v/>
      </c>
      <c r="KZK33" t="str">
        <f t="shared" si="386"/>
        <v/>
      </c>
      <c r="KZL33" t="str">
        <f t="shared" si="386"/>
        <v/>
      </c>
      <c r="KZM33" t="str">
        <f t="shared" si="386"/>
        <v/>
      </c>
      <c r="KZN33" t="str">
        <f t="shared" si="386"/>
        <v/>
      </c>
      <c r="KZO33" t="str">
        <f t="shared" si="386"/>
        <v/>
      </c>
      <c r="KZP33" t="str">
        <f t="shared" si="386"/>
        <v/>
      </c>
      <c r="KZQ33" t="str">
        <f t="shared" si="386"/>
        <v/>
      </c>
      <c r="KZR33" t="str">
        <f t="shared" si="386"/>
        <v/>
      </c>
      <c r="KZS33" t="str">
        <f t="shared" si="386"/>
        <v/>
      </c>
      <c r="KZT33" t="str">
        <f t="shared" si="386"/>
        <v/>
      </c>
      <c r="KZU33" t="str">
        <f t="shared" si="386"/>
        <v/>
      </c>
      <c r="KZV33" t="str">
        <f t="shared" si="386"/>
        <v/>
      </c>
      <c r="KZW33" t="str">
        <f t="shared" si="386"/>
        <v/>
      </c>
      <c r="KZX33" t="str">
        <f t="shared" si="386"/>
        <v/>
      </c>
      <c r="KZY33" t="str">
        <f t="shared" si="386"/>
        <v/>
      </c>
      <c r="KZZ33" t="str">
        <f t="shared" si="386"/>
        <v/>
      </c>
      <c r="LAA33" t="str">
        <f t="shared" si="386"/>
        <v/>
      </c>
      <c r="LAB33" t="str">
        <f t="shared" si="386"/>
        <v/>
      </c>
      <c r="LAC33" t="str">
        <f t="shared" ref="LAC33:LCN33" si="387">TRIM(LAT17)</f>
        <v/>
      </c>
      <c r="LAD33" t="str">
        <f t="shared" si="387"/>
        <v/>
      </c>
      <c r="LAE33" t="str">
        <f t="shared" si="387"/>
        <v/>
      </c>
      <c r="LAF33" t="str">
        <f t="shared" si="387"/>
        <v/>
      </c>
      <c r="LAG33" t="str">
        <f t="shared" si="387"/>
        <v/>
      </c>
      <c r="LAH33" t="str">
        <f t="shared" si="387"/>
        <v/>
      </c>
      <c r="LAI33" t="str">
        <f t="shared" si="387"/>
        <v/>
      </c>
      <c r="LAJ33" t="str">
        <f t="shared" si="387"/>
        <v/>
      </c>
      <c r="LAK33" t="str">
        <f t="shared" si="387"/>
        <v/>
      </c>
      <c r="LAL33" t="str">
        <f t="shared" si="387"/>
        <v/>
      </c>
      <c r="LAM33" t="str">
        <f t="shared" si="387"/>
        <v/>
      </c>
      <c r="LAN33" t="str">
        <f t="shared" si="387"/>
        <v/>
      </c>
      <c r="LAO33" t="str">
        <f t="shared" si="387"/>
        <v/>
      </c>
      <c r="LAP33" t="str">
        <f t="shared" si="387"/>
        <v/>
      </c>
      <c r="LAQ33" t="str">
        <f t="shared" si="387"/>
        <v/>
      </c>
      <c r="LAR33" t="str">
        <f t="shared" si="387"/>
        <v/>
      </c>
      <c r="LAS33" t="str">
        <f t="shared" si="387"/>
        <v/>
      </c>
      <c r="LAT33" t="str">
        <f t="shared" si="387"/>
        <v/>
      </c>
      <c r="LAU33" t="str">
        <f t="shared" si="387"/>
        <v/>
      </c>
      <c r="LAV33" t="str">
        <f t="shared" si="387"/>
        <v/>
      </c>
      <c r="LAW33" t="str">
        <f t="shared" si="387"/>
        <v/>
      </c>
      <c r="LAX33" t="str">
        <f t="shared" si="387"/>
        <v/>
      </c>
      <c r="LAY33" t="str">
        <f t="shared" si="387"/>
        <v/>
      </c>
      <c r="LAZ33" t="str">
        <f t="shared" si="387"/>
        <v/>
      </c>
      <c r="LBA33" t="str">
        <f t="shared" si="387"/>
        <v/>
      </c>
      <c r="LBB33" t="str">
        <f t="shared" si="387"/>
        <v/>
      </c>
      <c r="LBC33" t="str">
        <f t="shared" si="387"/>
        <v/>
      </c>
      <c r="LBD33" t="str">
        <f t="shared" si="387"/>
        <v/>
      </c>
      <c r="LBE33" t="str">
        <f t="shared" si="387"/>
        <v/>
      </c>
      <c r="LBF33" t="str">
        <f t="shared" si="387"/>
        <v/>
      </c>
      <c r="LBG33" t="str">
        <f t="shared" si="387"/>
        <v/>
      </c>
      <c r="LBH33" t="str">
        <f t="shared" si="387"/>
        <v/>
      </c>
      <c r="LBI33" t="str">
        <f t="shared" si="387"/>
        <v/>
      </c>
      <c r="LBJ33" t="str">
        <f t="shared" si="387"/>
        <v/>
      </c>
      <c r="LBK33" t="str">
        <f t="shared" si="387"/>
        <v/>
      </c>
      <c r="LBL33" t="str">
        <f t="shared" si="387"/>
        <v/>
      </c>
      <c r="LBM33" t="str">
        <f t="shared" si="387"/>
        <v/>
      </c>
      <c r="LBN33" t="str">
        <f t="shared" si="387"/>
        <v/>
      </c>
      <c r="LBO33" t="str">
        <f t="shared" si="387"/>
        <v/>
      </c>
      <c r="LBP33" t="str">
        <f t="shared" si="387"/>
        <v/>
      </c>
      <c r="LBQ33" t="str">
        <f t="shared" si="387"/>
        <v/>
      </c>
      <c r="LBR33" t="str">
        <f t="shared" si="387"/>
        <v/>
      </c>
      <c r="LBS33" t="str">
        <f t="shared" si="387"/>
        <v/>
      </c>
      <c r="LBT33" t="str">
        <f t="shared" si="387"/>
        <v/>
      </c>
      <c r="LBU33" t="str">
        <f t="shared" si="387"/>
        <v/>
      </c>
      <c r="LBV33" t="str">
        <f t="shared" si="387"/>
        <v/>
      </c>
      <c r="LBW33" t="str">
        <f t="shared" si="387"/>
        <v/>
      </c>
      <c r="LBX33" t="str">
        <f t="shared" si="387"/>
        <v/>
      </c>
      <c r="LBY33" t="str">
        <f t="shared" si="387"/>
        <v/>
      </c>
      <c r="LBZ33" t="str">
        <f t="shared" si="387"/>
        <v/>
      </c>
      <c r="LCA33" t="str">
        <f t="shared" si="387"/>
        <v/>
      </c>
      <c r="LCB33" t="str">
        <f t="shared" si="387"/>
        <v/>
      </c>
      <c r="LCC33" t="str">
        <f t="shared" si="387"/>
        <v/>
      </c>
      <c r="LCD33" t="str">
        <f t="shared" si="387"/>
        <v/>
      </c>
      <c r="LCE33" t="str">
        <f t="shared" si="387"/>
        <v/>
      </c>
      <c r="LCF33" t="str">
        <f t="shared" si="387"/>
        <v/>
      </c>
      <c r="LCG33" t="str">
        <f t="shared" si="387"/>
        <v/>
      </c>
      <c r="LCH33" t="str">
        <f t="shared" si="387"/>
        <v/>
      </c>
      <c r="LCI33" t="str">
        <f t="shared" si="387"/>
        <v/>
      </c>
      <c r="LCJ33" t="str">
        <f t="shared" si="387"/>
        <v/>
      </c>
      <c r="LCK33" t="str">
        <f t="shared" si="387"/>
        <v/>
      </c>
      <c r="LCL33" t="str">
        <f t="shared" si="387"/>
        <v/>
      </c>
      <c r="LCM33" t="str">
        <f t="shared" si="387"/>
        <v/>
      </c>
      <c r="LCN33" t="str">
        <f t="shared" si="387"/>
        <v/>
      </c>
      <c r="LCO33" t="str">
        <f t="shared" ref="LCO33:LEZ33" si="388">TRIM(LDF17)</f>
        <v/>
      </c>
      <c r="LCP33" t="str">
        <f t="shared" si="388"/>
        <v/>
      </c>
      <c r="LCQ33" t="str">
        <f t="shared" si="388"/>
        <v/>
      </c>
      <c r="LCR33" t="str">
        <f t="shared" si="388"/>
        <v/>
      </c>
      <c r="LCS33" t="str">
        <f t="shared" si="388"/>
        <v/>
      </c>
      <c r="LCT33" t="str">
        <f t="shared" si="388"/>
        <v/>
      </c>
      <c r="LCU33" t="str">
        <f t="shared" si="388"/>
        <v/>
      </c>
      <c r="LCV33" t="str">
        <f t="shared" si="388"/>
        <v/>
      </c>
      <c r="LCW33" t="str">
        <f t="shared" si="388"/>
        <v/>
      </c>
      <c r="LCX33" t="str">
        <f t="shared" si="388"/>
        <v/>
      </c>
      <c r="LCY33" t="str">
        <f t="shared" si="388"/>
        <v/>
      </c>
      <c r="LCZ33" t="str">
        <f t="shared" si="388"/>
        <v/>
      </c>
      <c r="LDA33" t="str">
        <f t="shared" si="388"/>
        <v/>
      </c>
      <c r="LDB33" t="str">
        <f t="shared" si="388"/>
        <v/>
      </c>
      <c r="LDC33" t="str">
        <f t="shared" si="388"/>
        <v/>
      </c>
      <c r="LDD33" t="str">
        <f t="shared" si="388"/>
        <v/>
      </c>
      <c r="LDE33" t="str">
        <f t="shared" si="388"/>
        <v/>
      </c>
      <c r="LDF33" t="str">
        <f t="shared" si="388"/>
        <v/>
      </c>
      <c r="LDG33" t="str">
        <f t="shared" si="388"/>
        <v/>
      </c>
      <c r="LDH33" t="str">
        <f t="shared" si="388"/>
        <v/>
      </c>
      <c r="LDI33" t="str">
        <f t="shared" si="388"/>
        <v/>
      </c>
      <c r="LDJ33" t="str">
        <f t="shared" si="388"/>
        <v/>
      </c>
      <c r="LDK33" t="str">
        <f t="shared" si="388"/>
        <v/>
      </c>
      <c r="LDL33" t="str">
        <f t="shared" si="388"/>
        <v/>
      </c>
      <c r="LDM33" t="str">
        <f t="shared" si="388"/>
        <v/>
      </c>
      <c r="LDN33" t="str">
        <f t="shared" si="388"/>
        <v/>
      </c>
      <c r="LDO33" t="str">
        <f t="shared" si="388"/>
        <v/>
      </c>
      <c r="LDP33" t="str">
        <f t="shared" si="388"/>
        <v/>
      </c>
      <c r="LDQ33" t="str">
        <f t="shared" si="388"/>
        <v/>
      </c>
      <c r="LDR33" t="str">
        <f t="shared" si="388"/>
        <v/>
      </c>
      <c r="LDS33" t="str">
        <f t="shared" si="388"/>
        <v/>
      </c>
      <c r="LDT33" t="str">
        <f t="shared" si="388"/>
        <v/>
      </c>
      <c r="LDU33" t="str">
        <f t="shared" si="388"/>
        <v/>
      </c>
      <c r="LDV33" t="str">
        <f t="shared" si="388"/>
        <v/>
      </c>
      <c r="LDW33" t="str">
        <f t="shared" si="388"/>
        <v/>
      </c>
      <c r="LDX33" t="str">
        <f t="shared" si="388"/>
        <v/>
      </c>
      <c r="LDY33" t="str">
        <f t="shared" si="388"/>
        <v/>
      </c>
      <c r="LDZ33" t="str">
        <f t="shared" si="388"/>
        <v/>
      </c>
      <c r="LEA33" t="str">
        <f t="shared" si="388"/>
        <v/>
      </c>
      <c r="LEB33" t="str">
        <f t="shared" si="388"/>
        <v/>
      </c>
      <c r="LEC33" t="str">
        <f t="shared" si="388"/>
        <v/>
      </c>
      <c r="LED33" t="str">
        <f t="shared" si="388"/>
        <v/>
      </c>
      <c r="LEE33" t="str">
        <f t="shared" si="388"/>
        <v/>
      </c>
      <c r="LEF33" t="str">
        <f t="shared" si="388"/>
        <v/>
      </c>
      <c r="LEG33" t="str">
        <f t="shared" si="388"/>
        <v/>
      </c>
      <c r="LEH33" t="str">
        <f t="shared" si="388"/>
        <v/>
      </c>
      <c r="LEI33" t="str">
        <f t="shared" si="388"/>
        <v/>
      </c>
      <c r="LEJ33" t="str">
        <f t="shared" si="388"/>
        <v/>
      </c>
      <c r="LEK33" t="str">
        <f t="shared" si="388"/>
        <v/>
      </c>
      <c r="LEL33" t="str">
        <f t="shared" si="388"/>
        <v/>
      </c>
      <c r="LEM33" t="str">
        <f t="shared" si="388"/>
        <v/>
      </c>
      <c r="LEN33" t="str">
        <f t="shared" si="388"/>
        <v/>
      </c>
      <c r="LEO33" t="str">
        <f t="shared" si="388"/>
        <v/>
      </c>
      <c r="LEP33" t="str">
        <f t="shared" si="388"/>
        <v/>
      </c>
      <c r="LEQ33" t="str">
        <f t="shared" si="388"/>
        <v/>
      </c>
      <c r="LER33" t="str">
        <f t="shared" si="388"/>
        <v/>
      </c>
      <c r="LES33" t="str">
        <f t="shared" si="388"/>
        <v/>
      </c>
      <c r="LET33" t="str">
        <f t="shared" si="388"/>
        <v/>
      </c>
      <c r="LEU33" t="str">
        <f t="shared" si="388"/>
        <v/>
      </c>
      <c r="LEV33" t="str">
        <f t="shared" si="388"/>
        <v/>
      </c>
      <c r="LEW33" t="str">
        <f t="shared" si="388"/>
        <v/>
      </c>
      <c r="LEX33" t="str">
        <f t="shared" si="388"/>
        <v/>
      </c>
      <c r="LEY33" t="str">
        <f t="shared" si="388"/>
        <v/>
      </c>
      <c r="LEZ33" t="str">
        <f t="shared" si="388"/>
        <v/>
      </c>
      <c r="LFA33" t="str">
        <f t="shared" ref="LFA33:LHL33" si="389">TRIM(LFR17)</f>
        <v/>
      </c>
      <c r="LFB33" t="str">
        <f t="shared" si="389"/>
        <v/>
      </c>
      <c r="LFC33" t="str">
        <f t="shared" si="389"/>
        <v/>
      </c>
      <c r="LFD33" t="str">
        <f t="shared" si="389"/>
        <v/>
      </c>
      <c r="LFE33" t="str">
        <f t="shared" si="389"/>
        <v/>
      </c>
      <c r="LFF33" t="str">
        <f t="shared" si="389"/>
        <v/>
      </c>
      <c r="LFG33" t="str">
        <f t="shared" si="389"/>
        <v/>
      </c>
      <c r="LFH33" t="str">
        <f t="shared" si="389"/>
        <v/>
      </c>
      <c r="LFI33" t="str">
        <f t="shared" si="389"/>
        <v/>
      </c>
      <c r="LFJ33" t="str">
        <f t="shared" si="389"/>
        <v/>
      </c>
      <c r="LFK33" t="str">
        <f t="shared" si="389"/>
        <v/>
      </c>
      <c r="LFL33" t="str">
        <f t="shared" si="389"/>
        <v/>
      </c>
      <c r="LFM33" t="str">
        <f t="shared" si="389"/>
        <v/>
      </c>
      <c r="LFN33" t="str">
        <f t="shared" si="389"/>
        <v/>
      </c>
      <c r="LFO33" t="str">
        <f t="shared" si="389"/>
        <v/>
      </c>
      <c r="LFP33" t="str">
        <f t="shared" si="389"/>
        <v/>
      </c>
      <c r="LFQ33" t="str">
        <f t="shared" si="389"/>
        <v/>
      </c>
      <c r="LFR33" t="str">
        <f t="shared" si="389"/>
        <v/>
      </c>
      <c r="LFS33" t="str">
        <f t="shared" si="389"/>
        <v/>
      </c>
      <c r="LFT33" t="str">
        <f t="shared" si="389"/>
        <v/>
      </c>
      <c r="LFU33" t="str">
        <f t="shared" si="389"/>
        <v/>
      </c>
      <c r="LFV33" t="str">
        <f t="shared" si="389"/>
        <v/>
      </c>
      <c r="LFW33" t="str">
        <f t="shared" si="389"/>
        <v/>
      </c>
      <c r="LFX33" t="str">
        <f t="shared" si="389"/>
        <v/>
      </c>
      <c r="LFY33" t="str">
        <f t="shared" si="389"/>
        <v/>
      </c>
      <c r="LFZ33" t="str">
        <f t="shared" si="389"/>
        <v/>
      </c>
      <c r="LGA33" t="str">
        <f t="shared" si="389"/>
        <v/>
      </c>
      <c r="LGB33" t="str">
        <f t="shared" si="389"/>
        <v/>
      </c>
      <c r="LGC33" t="str">
        <f t="shared" si="389"/>
        <v/>
      </c>
      <c r="LGD33" t="str">
        <f t="shared" si="389"/>
        <v/>
      </c>
      <c r="LGE33" t="str">
        <f t="shared" si="389"/>
        <v/>
      </c>
      <c r="LGF33" t="str">
        <f t="shared" si="389"/>
        <v/>
      </c>
      <c r="LGG33" t="str">
        <f t="shared" si="389"/>
        <v/>
      </c>
      <c r="LGH33" t="str">
        <f t="shared" si="389"/>
        <v/>
      </c>
      <c r="LGI33" t="str">
        <f t="shared" si="389"/>
        <v/>
      </c>
      <c r="LGJ33" t="str">
        <f t="shared" si="389"/>
        <v/>
      </c>
      <c r="LGK33" t="str">
        <f t="shared" si="389"/>
        <v/>
      </c>
      <c r="LGL33" t="str">
        <f t="shared" si="389"/>
        <v/>
      </c>
      <c r="LGM33" t="str">
        <f t="shared" si="389"/>
        <v/>
      </c>
      <c r="LGN33" t="str">
        <f t="shared" si="389"/>
        <v/>
      </c>
      <c r="LGO33" t="str">
        <f t="shared" si="389"/>
        <v/>
      </c>
      <c r="LGP33" t="str">
        <f t="shared" si="389"/>
        <v/>
      </c>
      <c r="LGQ33" t="str">
        <f t="shared" si="389"/>
        <v/>
      </c>
      <c r="LGR33" t="str">
        <f t="shared" si="389"/>
        <v/>
      </c>
      <c r="LGS33" t="str">
        <f t="shared" si="389"/>
        <v/>
      </c>
      <c r="LGT33" t="str">
        <f t="shared" si="389"/>
        <v/>
      </c>
      <c r="LGU33" t="str">
        <f t="shared" si="389"/>
        <v/>
      </c>
      <c r="LGV33" t="str">
        <f t="shared" si="389"/>
        <v/>
      </c>
      <c r="LGW33" t="str">
        <f t="shared" si="389"/>
        <v/>
      </c>
      <c r="LGX33" t="str">
        <f t="shared" si="389"/>
        <v/>
      </c>
      <c r="LGY33" t="str">
        <f t="shared" si="389"/>
        <v/>
      </c>
      <c r="LGZ33" t="str">
        <f t="shared" si="389"/>
        <v/>
      </c>
      <c r="LHA33" t="str">
        <f t="shared" si="389"/>
        <v/>
      </c>
      <c r="LHB33" t="str">
        <f t="shared" si="389"/>
        <v/>
      </c>
      <c r="LHC33" t="str">
        <f t="shared" si="389"/>
        <v/>
      </c>
      <c r="LHD33" t="str">
        <f t="shared" si="389"/>
        <v/>
      </c>
      <c r="LHE33" t="str">
        <f t="shared" si="389"/>
        <v/>
      </c>
      <c r="LHF33" t="str">
        <f t="shared" si="389"/>
        <v/>
      </c>
      <c r="LHG33" t="str">
        <f t="shared" si="389"/>
        <v/>
      </c>
      <c r="LHH33" t="str">
        <f t="shared" si="389"/>
        <v/>
      </c>
      <c r="LHI33" t="str">
        <f t="shared" si="389"/>
        <v/>
      </c>
      <c r="LHJ33" t="str">
        <f t="shared" si="389"/>
        <v/>
      </c>
      <c r="LHK33" t="str">
        <f t="shared" si="389"/>
        <v/>
      </c>
      <c r="LHL33" t="str">
        <f t="shared" si="389"/>
        <v/>
      </c>
      <c r="LHM33" t="str">
        <f t="shared" ref="LHM33:LJX33" si="390">TRIM(LID17)</f>
        <v/>
      </c>
      <c r="LHN33" t="str">
        <f t="shared" si="390"/>
        <v/>
      </c>
      <c r="LHO33" t="str">
        <f t="shared" si="390"/>
        <v/>
      </c>
      <c r="LHP33" t="str">
        <f t="shared" si="390"/>
        <v/>
      </c>
      <c r="LHQ33" t="str">
        <f t="shared" si="390"/>
        <v/>
      </c>
      <c r="LHR33" t="str">
        <f t="shared" si="390"/>
        <v/>
      </c>
      <c r="LHS33" t="str">
        <f t="shared" si="390"/>
        <v/>
      </c>
      <c r="LHT33" t="str">
        <f t="shared" si="390"/>
        <v/>
      </c>
      <c r="LHU33" t="str">
        <f t="shared" si="390"/>
        <v/>
      </c>
      <c r="LHV33" t="str">
        <f t="shared" si="390"/>
        <v/>
      </c>
      <c r="LHW33" t="str">
        <f t="shared" si="390"/>
        <v/>
      </c>
      <c r="LHX33" t="str">
        <f t="shared" si="390"/>
        <v/>
      </c>
      <c r="LHY33" t="str">
        <f t="shared" si="390"/>
        <v/>
      </c>
      <c r="LHZ33" t="str">
        <f t="shared" si="390"/>
        <v/>
      </c>
      <c r="LIA33" t="str">
        <f t="shared" si="390"/>
        <v/>
      </c>
      <c r="LIB33" t="str">
        <f t="shared" si="390"/>
        <v/>
      </c>
      <c r="LIC33" t="str">
        <f t="shared" si="390"/>
        <v/>
      </c>
      <c r="LID33" t="str">
        <f t="shared" si="390"/>
        <v/>
      </c>
      <c r="LIE33" t="str">
        <f t="shared" si="390"/>
        <v/>
      </c>
      <c r="LIF33" t="str">
        <f t="shared" si="390"/>
        <v/>
      </c>
      <c r="LIG33" t="str">
        <f t="shared" si="390"/>
        <v/>
      </c>
      <c r="LIH33" t="str">
        <f t="shared" si="390"/>
        <v/>
      </c>
      <c r="LII33" t="str">
        <f t="shared" si="390"/>
        <v/>
      </c>
      <c r="LIJ33" t="str">
        <f t="shared" si="390"/>
        <v/>
      </c>
      <c r="LIK33" t="str">
        <f t="shared" si="390"/>
        <v/>
      </c>
      <c r="LIL33" t="str">
        <f t="shared" si="390"/>
        <v/>
      </c>
      <c r="LIM33" t="str">
        <f t="shared" si="390"/>
        <v/>
      </c>
      <c r="LIN33" t="str">
        <f t="shared" si="390"/>
        <v/>
      </c>
      <c r="LIO33" t="str">
        <f t="shared" si="390"/>
        <v/>
      </c>
      <c r="LIP33" t="str">
        <f t="shared" si="390"/>
        <v/>
      </c>
      <c r="LIQ33" t="str">
        <f t="shared" si="390"/>
        <v/>
      </c>
      <c r="LIR33" t="str">
        <f t="shared" si="390"/>
        <v/>
      </c>
      <c r="LIS33" t="str">
        <f t="shared" si="390"/>
        <v/>
      </c>
      <c r="LIT33" t="str">
        <f t="shared" si="390"/>
        <v/>
      </c>
      <c r="LIU33" t="str">
        <f t="shared" si="390"/>
        <v/>
      </c>
      <c r="LIV33" t="str">
        <f t="shared" si="390"/>
        <v/>
      </c>
      <c r="LIW33" t="str">
        <f t="shared" si="390"/>
        <v/>
      </c>
      <c r="LIX33" t="str">
        <f t="shared" si="390"/>
        <v/>
      </c>
      <c r="LIY33" t="str">
        <f t="shared" si="390"/>
        <v/>
      </c>
      <c r="LIZ33" t="str">
        <f t="shared" si="390"/>
        <v/>
      </c>
      <c r="LJA33" t="str">
        <f t="shared" si="390"/>
        <v/>
      </c>
      <c r="LJB33" t="str">
        <f t="shared" si="390"/>
        <v/>
      </c>
      <c r="LJC33" t="str">
        <f t="shared" si="390"/>
        <v/>
      </c>
      <c r="LJD33" t="str">
        <f t="shared" si="390"/>
        <v/>
      </c>
      <c r="LJE33" t="str">
        <f t="shared" si="390"/>
        <v/>
      </c>
      <c r="LJF33" t="str">
        <f t="shared" si="390"/>
        <v/>
      </c>
      <c r="LJG33" t="str">
        <f t="shared" si="390"/>
        <v/>
      </c>
      <c r="LJH33" t="str">
        <f t="shared" si="390"/>
        <v/>
      </c>
      <c r="LJI33" t="str">
        <f t="shared" si="390"/>
        <v/>
      </c>
      <c r="LJJ33" t="str">
        <f t="shared" si="390"/>
        <v/>
      </c>
      <c r="LJK33" t="str">
        <f t="shared" si="390"/>
        <v/>
      </c>
      <c r="LJL33" t="str">
        <f t="shared" si="390"/>
        <v/>
      </c>
      <c r="LJM33" t="str">
        <f t="shared" si="390"/>
        <v/>
      </c>
      <c r="LJN33" t="str">
        <f t="shared" si="390"/>
        <v/>
      </c>
      <c r="LJO33" t="str">
        <f t="shared" si="390"/>
        <v/>
      </c>
      <c r="LJP33" t="str">
        <f t="shared" si="390"/>
        <v/>
      </c>
      <c r="LJQ33" t="str">
        <f t="shared" si="390"/>
        <v/>
      </c>
      <c r="LJR33" t="str">
        <f t="shared" si="390"/>
        <v/>
      </c>
      <c r="LJS33" t="str">
        <f t="shared" si="390"/>
        <v/>
      </c>
      <c r="LJT33" t="str">
        <f t="shared" si="390"/>
        <v/>
      </c>
      <c r="LJU33" t="str">
        <f t="shared" si="390"/>
        <v/>
      </c>
      <c r="LJV33" t="str">
        <f t="shared" si="390"/>
        <v/>
      </c>
      <c r="LJW33" t="str">
        <f t="shared" si="390"/>
        <v/>
      </c>
      <c r="LJX33" t="str">
        <f t="shared" si="390"/>
        <v/>
      </c>
      <c r="LJY33" t="str">
        <f t="shared" ref="LJY33:LMJ33" si="391">TRIM(LKP17)</f>
        <v/>
      </c>
      <c r="LJZ33" t="str">
        <f t="shared" si="391"/>
        <v/>
      </c>
      <c r="LKA33" t="str">
        <f t="shared" si="391"/>
        <v/>
      </c>
      <c r="LKB33" t="str">
        <f t="shared" si="391"/>
        <v/>
      </c>
      <c r="LKC33" t="str">
        <f t="shared" si="391"/>
        <v/>
      </c>
      <c r="LKD33" t="str">
        <f t="shared" si="391"/>
        <v/>
      </c>
      <c r="LKE33" t="str">
        <f t="shared" si="391"/>
        <v/>
      </c>
      <c r="LKF33" t="str">
        <f t="shared" si="391"/>
        <v/>
      </c>
      <c r="LKG33" t="str">
        <f t="shared" si="391"/>
        <v/>
      </c>
      <c r="LKH33" t="str">
        <f t="shared" si="391"/>
        <v/>
      </c>
      <c r="LKI33" t="str">
        <f t="shared" si="391"/>
        <v/>
      </c>
      <c r="LKJ33" t="str">
        <f t="shared" si="391"/>
        <v/>
      </c>
      <c r="LKK33" t="str">
        <f t="shared" si="391"/>
        <v/>
      </c>
      <c r="LKL33" t="str">
        <f t="shared" si="391"/>
        <v/>
      </c>
      <c r="LKM33" t="str">
        <f t="shared" si="391"/>
        <v/>
      </c>
      <c r="LKN33" t="str">
        <f t="shared" si="391"/>
        <v/>
      </c>
      <c r="LKO33" t="str">
        <f t="shared" si="391"/>
        <v/>
      </c>
      <c r="LKP33" t="str">
        <f t="shared" si="391"/>
        <v/>
      </c>
      <c r="LKQ33" t="str">
        <f t="shared" si="391"/>
        <v/>
      </c>
      <c r="LKR33" t="str">
        <f t="shared" si="391"/>
        <v/>
      </c>
      <c r="LKS33" t="str">
        <f t="shared" si="391"/>
        <v/>
      </c>
      <c r="LKT33" t="str">
        <f t="shared" si="391"/>
        <v/>
      </c>
      <c r="LKU33" t="str">
        <f t="shared" si="391"/>
        <v/>
      </c>
      <c r="LKV33" t="str">
        <f t="shared" si="391"/>
        <v/>
      </c>
      <c r="LKW33" t="str">
        <f t="shared" si="391"/>
        <v/>
      </c>
      <c r="LKX33" t="str">
        <f t="shared" si="391"/>
        <v/>
      </c>
      <c r="LKY33" t="str">
        <f t="shared" si="391"/>
        <v/>
      </c>
      <c r="LKZ33" t="str">
        <f t="shared" si="391"/>
        <v/>
      </c>
      <c r="LLA33" t="str">
        <f t="shared" si="391"/>
        <v/>
      </c>
      <c r="LLB33" t="str">
        <f t="shared" si="391"/>
        <v/>
      </c>
      <c r="LLC33" t="str">
        <f t="shared" si="391"/>
        <v/>
      </c>
      <c r="LLD33" t="str">
        <f t="shared" si="391"/>
        <v/>
      </c>
      <c r="LLE33" t="str">
        <f t="shared" si="391"/>
        <v/>
      </c>
      <c r="LLF33" t="str">
        <f t="shared" si="391"/>
        <v/>
      </c>
      <c r="LLG33" t="str">
        <f t="shared" si="391"/>
        <v/>
      </c>
      <c r="LLH33" t="str">
        <f t="shared" si="391"/>
        <v/>
      </c>
      <c r="LLI33" t="str">
        <f t="shared" si="391"/>
        <v/>
      </c>
      <c r="LLJ33" t="str">
        <f t="shared" si="391"/>
        <v/>
      </c>
      <c r="LLK33" t="str">
        <f t="shared" si="391"/>
        <v/>
      </c>
      <c r="LLL33" t="str">
        <f t="shared" si="391"/>
        <v/>
      </c>
      <c r="LLM33" t="str">
        <f t="shared" si="391"/>
        <v/>
      </c>
      <c r="LLN33" t="str">
        <f t="shared" si="391"/>
        <v/>
      </c>
      <c r="LLO33" t="str">
        <f t="shared" si="391"/>
        <v/>
      </c>
      <c r="LLP33" t="str">
        <f t="shared" si="391"/>
        <v/>
      </c>
      <c r="LLQ33" t="str">
        <f t="shared" si="391"/>
        <v/>
      </c>
      <c r="LLR33" t="str">
        <f t="shared" si="391"/>
        <v/>
      </c>
      <c r="LLS33" t="str">
        <f t="shared" si="391"/>
        <v/>
      </c>
      <c r="LLT33" t="str">
        <f t="shared" si="391"/>
        <v/>
      </c>
      <c r="LLU33" t="str">
        <f t="shared" si="391"/>
        <v/>
      </c>
      <c r="LLV33" t="str">
        <f t="shared" si="391"/>
        <v/>
      </c>
      <c r="LLW33" t="str">
        <f t="shared" si="391"/>
        <v/>
      </c>
      <c r="LLX33" t="str">
        <f t="shared" si="391"/>
        <v/>
      </c>
      <c r="LLY33" t="str">
        <f t="shared" si="391"/>
        <v/>
      </c>
      <c r="LLZ33" t="str">
        <f t="shared" si="391"/>
        <v/>
      </c>
      <c r="LMA33" t="str">
        <f t="shared" si="391"/>
        <v/>
      </c>
      <c r="LMB33" t="str">
        <f t="shared" si="391"/>
        <v/>
      </c>
      <c r="LMC33" t="str">
        <f t="shared" si="391"/>
        <v/>
      </c>
      <c r="LMD33" t="str">
        <f t="shared" si="391"/>
        <v/>
      </c>
      <c r="LME33" t="str">
        <f t="shared" si="391"/>
        <v/>
      </c>
      <c r="LMF33" t="str">
        <f t="shared" si="391"/>
        <v/>
      </c>
      <c r="LMG33" t="str">
        <f t="shared" si="391"/>
        <v/>
      </c>
      <c r="LMH33" t="str">
        <f t="shared" si="391"/>
        <v/>
      </c>
      <c r="LMI33" t="str">
        <f t="shared" si="391"/>
        <v/>
      </c>
      <c r="LMJ33" t="str">
        <f t="shared" si="391"/>
        <v/>
      </c>
      <c r="LMK33" t="str">
        <f t="shared" ref="LMK33:LOV33" si="392">TRIM(LNB17)</f>
        <v/>
      </c>
      <c r="LML33" t="str">
        <f t="shared" si="392"/>
        <v/>
      </c>
      <c r="LMM33" t="str">
        <f t="shared" si="392"/>
        <v/>
      </c>
      <c r="LMN33" t="str">
        <f t="shared" si="392"/>
        <v/>
      </c>
      <c r="LMO33" t="str">
        <f t="shared" si="392"/>
        <v/>
      </c>
      <c r="LMP33" t="str">
        <f t="shared" si="392"/>
        <v/>
      </c>
      <c r="LMQ33" t="str">
        <f t="shared" si="392"/>
        <v/>
      </c>
      <c r="LMR33" t="str">
        <f t="shared" si="392"/>
        <v/>
      </c>
      <c r="LMS33" t="str">
        <f t="shared" si="392"/>
        <v/>
      </c>
      <c r="LMT33" t="str">
        <f t="shared" si="392"/>
        <v/>
      </c>
      <c r="LMU33" t="str">
        <f t="shared" si="392"/>
        <v/>
      </c>
      <c r="LMV33" t="str">
        <f t="shared" si="392"/>
        <v/>
      </c>
      <c r="LMW33" t="str">
        <f t="shared" si="392"/>
        <v/>
      </c>
      <c r="LMX33" t="str">
        <f t="shared" si="392"/>
        <v/>
      </c>
      <c r="LMY33" t="str">
        <f t="shared" si="392"/>
        <v/>
      </c>
      <c r="LMZ33" t="str">
        <f t="shared" si="392"/>
        <v/>
      </c>
      <c r="LNA33" t="str">
        <f t="shared" si="392"/>
        <v/>
      </c>
      <c r="LNB33" t="str">
        <f t="shared" si="392"/>
        <v/>
      </c>
      <c r="LNC33" t="str">
        <f t="shared" si="392"/>
        <v/>
      </c>
      <c r="LND33" t="str">
        <f t="shared" si="392"/>
        <v/>
      </c>
      <c r="LNE33" t="str">
        <f t="shared" si="392"/>
        <v/>
      </c>
      <c r="LNF33" t="str">
        <f t="shared" si="392"/>
        <v/>
      </c>
      <c r="LNG33" t="str">
        <f t="shared" si="392"/>
        <v/>
      </c>
      <c r="LNH33" t="str">
        <f t="shared" si="392"/>
        <v/>
      </c>
      <c r="LNI33" t="str">
        <f t="shared" si="392"/>
        <v/>
      </c>
      <c r="LNJ33" t="str">
        <f t="shared" si="392"/>
        <v/>
      </c>
      <c r="LNK33" t="str">
        <f t="shared" si="392"/>
        <v/>
      </c>
      <c r="LNL33" t="str">
        <f t="shared" si="392"/>
        <v/>
      </c>
      <c r="LNM33" t="str">
        <f t="shared" si="392"/>
        <v/>
      </c>
      <c r="LNN33" t="str">
        <f t="shared" si="392"/>
        <v/>
      </c>
      <c r="LNO33" t="str">
        <f t="shared" si="392"/>
        <v/>
      </c>
      <c r="LNP33" t="str">
        <f t="shared" si="392"/>
        <v/>
      </c>
      <c r="LNQ33" t="str">
        <f t="shared" si="392"/>
        <v/>
      </c>
      <c r="LNR33" t="str">
        <f t="shared" si="392"/>
        <v/>
      </c>
      <c r="LNS33" t="str">
        <f t="shared" si="392"/>
        <v/>
      </c>
      <c r="LNT33" t="str">
        <f t="shared" si="392"/>
        <v/>
      </c>
      <c r="LNU33" t="str">
        <f t="shared" si="392"/>
        <v/>
      </c>
      <c r="LNV33" t="str">
        <f t="shared" si="392"/>
        <v/>
      </c>
      <c r="LNW33" t="str">
        <f t="shared" si="392"/>
        <v/>
      </c>
      <c r="LNX33" t="str">
        <f t="shared" si="392"/>
        <v/>
      </c>
      <c r="LNY33" t="str">
        <f t="shared" si="392"/>
        <v/>
      </c>
      <c r="LNZ33" t="str">
        <f t="shared" si="392"/>
        <v/>
      </c>
      <c r="LOA33" t="str">
        <f t="shared" si="392"/>
        <v/>
      </c>
      <c r="LOB33" t="str">
        <f t="shared" si="392"/>
        <v/>
      </c>
      <c r="LOC33" t="str">
        <f t="shared" si="392"/>
        <v/>
      </c>
      <c r="LOD33" t="str">
        <f t="shared" si="392"/>
        <v/>
      </c>
      <c r="LOE33" t="str">
        <f t="shared" si="392"/>
        <v/>
      </c>
      <c r="LOF33" t="str">
        <f t="shared" si="392"/>
        <v/>
      </c>
      <c r="LOG33" t="str">
        <f t="shared" si="392"/>
        <v/>
      </c>
      <c r="LOH33" t="str">
        <f t="shared" si="392"/>
        <v/>
      </c>
      <c r="LOI33" t="str">
        <f t="shared" si="392"/>
        <v/>
      </c>
      <c r="LOJ33" t="str">
        <f t="shared" si="392"/>
        <v/>
      </c>
      <c r="LOK33" t="str">
        <f t="shared" si="392"/>
        <v/>
      </c>
      <c r="LOL33" t="str">
        <f t="shared" si="392"/>
        <v/>
      </c>
      <c r="LOM33" t="str">
        <f t="shared" si="392"/>
        <v/>
      </c>
      <c r="LON33" t="str">
        <f t="shared" si="392"/>
        <v/>
      </c>
      <c r="LOO33" t="str">
        <f t="shared" si="392"/>
        <v/>
      </c>
      <c r="LOP33" t="str">
        <f t="shared" si="392"/>
        <v/>
      </c>
      <c r="LOQ33" t="str">
        <f t="shared" si="392"/>
        <v/>
      </c>
      <c r="LOR33" t="str">
        <f t="shared" si="392"/>
        <v/>
      </c>
      <c r="LOS33" t="str">
        <f t="shared" si="392"/>
        <v/>
      </c>
      <c r="LOT33" t="str">
        <f t="shared" si="392"/>
        <v/>
      </c>
      <c r="LOU33" t="str">
        <f t="shared" si="392"/>
        <v/>
      </c>
      <c r="LOV33" t="str">
        <f t="shared" si="392"/>
        <v/>
      </c>
      <c r="LOW33" t="str">
        <f t="shared" ref="LOW33:LRH33" si="393">TRIM(LPN17)</f>
        <v/>
      </c>
      <c r="LOX33" t="str">
        <f t="shared" si="393"/>
        <v/>
      </c>
      <c r="LOY33" t="str">
        <f t="shared" si="393"/>
        <v/>
      </c>
      <c r="LOZ33" t="str">
        <f t="shared" si="393"/>
        <v/>
      </c>
      <c r="LPA33" t="str">
        <f t="shared" si="393"/>
        <v/>
      </c>
      <c r="LPB33" t="str">
        <f t="shared" si="393"/>
        <v/>
      </c>
      <c r="LPC33" t="str">
        <f t="shared" si="393"/>
        <v/>
      </c>
      <c r="LPD33" t="str">
        <f t="shared" si="393"/>
        <v/>
      </c>
      <c r="LPE33" t="str">
        <f t="shared" si="393"/>
        <v/>
      </c>
      <c r="LPF33" t="str">
        <f t="shared" si="393"/>
        <v/>
      </c>
      <c r="LPG33" t="str">
        <f t="shared" si="393"/>
        <v/>
      </c>
      <c r="LPH33" t="str">
        <f t="shared" si="393"/>
        <v/>
      </c>
      <c r="LPI33" t="str">
        <f t="shared" si="393"/>
        <v/>
      </c>
      <c r="LPJ33" t="str">
        <f t="shared" si="393"/>
        <v/>
      </c>
      <c r="LPK33" t="str">
        <f t="shared" si="393"/>
        <v/>
      </c>
      <c r="LPL33" t="str">
        <f t="shared" si="393"/>
        <v/>
      </c>
      <c r="LPM33" t="str">
        <f t="shared" si="393"/>
        <v/>
      </c>
      <c r="LPN33" t="str">
        <f t="shared" si="393"/>
        <v/>
      </c>
      <c r="LPO33" t="str">
        <f t="shared" si="393"/>
        <v/>
      </c>
      <c r="LPP33" t="str">
        <f t="shared" si="393"/>
        <v/>
      </c>
      <c r="LPQ33" t="str">
        <f t="shared" si="393"/>
        <v/>
      </c>
      <c r="LPR33" t="str">
        <f t="shared" si="393"/>
        <v/>
      </c>
      <c r="LPS33" t="str">
        <f t="shared" si="393"/>
        <v/>
      </c>
      <c r="LPT33" t="str">
        <f t="shared" si="393"/>
        <v/>
      </c>
      <c r="LPU33" t="str">
        <f t="shared" si="393"/>
        <v/>
      </c>
      <c r="LPV33" t="str">
        <f t="shared" si="393"/>
        <v/>
      </c>
      <c r="LPW33" t="str">
        <f t="shared" si="393"/>
        <v/>
      </c>
      <c r="LPX33" t="str">
        <f t="shared" si="393"/>
        <v/>
      </c>
      <c r="LPY33" t="str">
        <f t="shared" si="393"/>
        <v/>
      </c>
      <c r="LPZ33" t="str">
        <f t="shared" si="393"/>
        <v/>
      </c>
      <c r="LQA33" t="str">
        <f t="shared" si="393"/>
        <v/>
      </c>
      <c r="LQB33" t="str">
        <f t="shared" si="393"/>
        <v/>
      </c>
      <c r="LQC33" t="str">
        <f t="shared" si="393"/>
        <v/>
      </c>
      <c r="LQD33" t="str">
        <f t="shared" si="393"/>
        <v/>
      </c>
      <c r="LQE33" t="str">
        <f t="shared" si="393"/>
        <v/>
      </c>
      <c r="LQF33" t="str">
        <f t="shared" si="393"/>
        <v/>
      </c>
      <c r="LQG33" t="str">
        <f t="shared" si="393"/>
        <v/>
      </c>
      <c r="LQH33" t="str">
        <f t="shared" si="393"/>
        <v/>
      </c>
      <c r="LQI33" t="str">
        <f t="shared" si="393"/>
        <v/>
      </c>
      <c r="LQJ33" t="str">
        <f t="shared" si="393"/>
        <v/>
      </c>
      <c r="LQK33" t="str">
        <f t="shared" si="393"/>
        <v/>
      </c>
      <c r="LQL33" t="str">
        <f t="shared" si="393"/>
        <v/>
      </c>
      <c r="LQM33" t="str">
        <f t="shared" si="393"/>
        <v/>
      </c>
      <c r="LQN33" t="str">
        <f t="shared" si="393"/>
        <v/>
      </c>
      <c r="LQO33" t="str">
        <f t="shared" si="393"/>
        <v/>
      </c>
      <c r="LQP33" t="str">
        <f t="shared" si="393"/>
        <v/>
      </c>
      <c r="LQQ33" t="str">
        <f t="shared" si="393"/>
        <v/>
      </c>
      <c r="LQR33" t="str">
        <f t="shared" si="393"/>
        <v/>
      </c>
      <c r="LQS33" t="str">
        <f t="shared" si="393"/>
        <v/>
      </c>
      <c r="LQT33" t="str">
        <f t="shared" si="393"/>
        <v/>
      </c>
      <c r="LQU33" t="str">
        <f t="shared" si="393"/>
        <v/>
      </c>
      <c r="LQV33" t="str">
        <f t="shared" si="393"/>
        <v/>
      </c>
      <c r="LQW33" t="str">
        <f t="shared" si="393"/>
        <v/>
      </c>
      <c r="LQX33" t="str">
        <f t="shared" si="393"/>
        <v/>
      </c>
      <c r="LQY33" t="str">
        <f t="shared" si="393"/>
        <v/>
      </c>
      <c r="LQZ33" t="str">
        <f t="shared" si="393"/>
        <v/>
      </c>
      <c r="LRA33" t="str">
        <f t="shared" si="393"/>
        <v/>
      </c>
      <c r="LRB33" t="str">
        <f t="shared" si="393"/>
        <v/>
      </c>
      <c r="LRC33" t="str">
        <f t="shared" si="393"/>
        <v/>
      </c>
      <c r="LRD33" t="str">
        <f t="shared" si="393"/>
        <v/>
      </c>
      <c r="LRE33" t="str">
        <f t="shared" si="393"/>
        <v/>
      </c>
      <c r="LRF33" t="str">
        <f t="shared" si="393"/>
        <v/>
      </c>
      <c r="LRG33" t="str">
        <f t="shared" si="393"/>
        <v/>
      </c>
      <c r="LRH33" t="str">
        <f t="shared" si="393"/>
        <v/>
      </c>
      <c r="LRI33" t="str">
        <f t="shared" ref="LRI33:LTT33" si="394">TRIM(LRZ17)</f>
        <v/>
      </c>
      <c r="LRJ33" t="str">
        <f t="shared" si="394"/>
        <v/>
      </c>
      <c r="LRK33" t="str">
        <f t="shared" si="394"/>
        <v/>
      </c>
      <c r="LRL33" t="str">
        <f t="shared" si="394"/>
        <v/>
      </c>
      <c r="LRM33" t="str">
        <f t="shared" si="394"/>
        <v/>
      </c>
      <c r="LRN33" t="str">
        <f t="shared" si="394"/>
        <v/>
      </c>
      <c r="LRO33" t="str">
        <f t="shared" si="394"/>
        <v/>
      </c>
      <c r="LRP33" t="str">
        <f t="shared" si="394"/>
        <v/>
      </c>
      <c r="LRQ33" t="str">
        <f t="shared" si="394"/>
        <v/>
      </c>
      <c r="LRR33" t="str">
        <f t="shared" si="394"/>
        <v/>
      </c>
      <c r="LRS33" t="str">
        <f t="shared" si="394"/>
        <v/>
      </c>
      <c r="LRT33" t="str">
        <f t="shared" si="394"/>
        <v/>
      </c>
      <c r="LRU33" t="str">
        <f t="shared" si="394"/>
        <v/>
      </c>
      <c r="LRV33" t="str">
        <f t="shared" si="394"/>
        <v/>
      </c>
      <c r="LRW33" t="str">
        <f t="shared" si="394"/>
        <v/>
      </c>
      <c r="LRX33" t="str">
        <f t="shared" si="394"/>
        <v/>
      </c>
      <c r="LRY33" t="str">
        <f t="shared" si="394"/>
        <v/>
      </c>
      <c r="LRZ33" t="str">
        <f t="shared" si="394"/>
        <v/>
      </c>
      <c r="LSA33" t="str">
        <f t="shared" si="394"/>
        <v/>
      </c>
      <c r="LSB33" t="str">
        <f t="shared" si="394"/>
        <v/>
      </c>
      <c r="LSC33" t="str">
        <f t="shared" si="394"/>
        <v/>
      </c>
      <c r="LSD33" t="str">
        <f t="shared" si="394"/>
        <v/>
      </c>
      <c r="LSE33" t="str">
        <f t="shared" si="394"/>
        <v/>
      </c>
      <c r="LSF33" t="str">
        <f t="shared" si="394"/>
        <v/>
      </c>
      <c r="LSG33" t="str">
        <f t="shared" si="394"/>
        <v/>
      </c>
      <c r="LSH33" t="str">
        <f t="shared" si="394"/>
        <v/>
      </c>
      <c r="LSI33" t="str">
        <f t="shared" si="394"/>
        <v/>
      </c>
      <c r="LSJ33" t="str">
        <f t="shared" si="394"/>
        <v/>
      </c>
      <c r="LSK33" t="str">
        <f t="shared" si="394"/>
        <v/>
      </c>
      <c r="LSL33" t="str">
        <f t="shared" si="394"/>
        <v/>
      </c>
      <c r="LSM33" t="str">
        <f t="shared" si="394"/>
        <v/>
      </c>
      <c r="LSN33" t="str">
        <f t="shared" si="394"/>
        <v/>
      </c>
      <c r="LSO33" t="str">
        <f t="shared" si="394"/>
        <v/>
      </c>
      <c r="LSP33" t="str">
        <f t="shared" si="394"/>
        <v/>
      </c>
      <c r="LSQ33" t="str">
        <f t="shared" si="394"/>
        <v/>
      </c>
      <c r="LSR33" t="str">
        <f t="shared" si="394"/>
        <v/>
      </c>
      <c r="LSS33" t="str">
        <f t="shared" si="394"/>
        <v/>
      </c>
      <c r="LST33" t="str">
        <f t="shared" si="394"/>
        <v/>
      </c>
      <c r="LSU33" t="str">
        <f t="shared" si="394"/>
        <v/>
      </c>
      <c r="LSV33" t="str">
        <f t="shared" si="394"/>
        <v/>
      </c>
      <c r="LSW33" t="str">
        <f t="shared" si="394"/>
        <v/>
      </c>
      <c r="LSX33" t="str">
        <f t="shared" si="394"/>
        <v/>
      </c>
      <c r="LSY33" t="str">
        <f t="shared" si="394"/>
        <v/>
      </c>
      <c r="LSZ33" t="str">
        <f t="shared" si="394"/>
        <v/>
      </c>
      <c r="LTA33" t="str">
        <f t="shared" si="394"/>
        <v/>
      </c>
      <c r="LTB33" t="str">
        <f t="shared" si="394"/>
        <v/>
      </c>
      <c r="LTC33" t="str">
        <f t="shared" si="394"/>
        <v/>
      </c>
      <c r="LTD33" t="str">
        <f t="shared" si="394"/>
        <v/>
      </c>
      <c r="LTE33" t="str">
        <f t="shared" si="394"/>
        <v/>
      </c>
      <c r="LTF33" t="str">
        <f t="shared" si="394"/>
        <v/>
      </c>
      <c r="LTG33" t="str">
        <f t="shared" si="394"/>
        <v/>
      </c>
      <c r="LTH33" t="str">
        <f t="shared" si="394"/>
        <v/>
      </c>
      <c r="LTI33" t="str">
        <f t="shared" si="394"/>
        <v/>
      </c>
      <c r="LTJ33" t="str">
        <f t="shared" si="394"/>
        <v/>
      </c>
      <c r="LTK33" t="str">
        <f t="shared" si="394"/>
        <v/>
      </c>
      <c r="LTL33" t="str">
        <f t="shared" si="394"/>
        <v/>
      </c>
      <c r="LTM33" t="str">
        <f t="shared" si="394"/>
        <v/>
      </c>
      <c r="LTN33" t="str">
        <f t="shared" si="394"/>
        <v/>
      </c>
      <c r="LTO33" t="str">
        <f t="shared" si="394"/>
        <v/>
      </c>
      <c r="LTP33" t="str">
        <f t="shared" si="394"/>
        <v/>
      </c>
      <c r="LTQ33" t="str">
        <f t="shared" si="394"/>
        <v/>
      </c>
      <c r="LTR33" t="str">
        <f t="shared" si="394"/>
        <v/>
      </c>
      <c r="LTS33" t="str">
        <f t="shared" si="394"/>
        <v/>
      </c>
      <c r="LTT33" t="str">
        <f t="shared" si="394"/>
        <v/>
      </c>
      <c r="LTU33" t="str">
        <f t="shared" ref="LTU33:LWF33" si="395">TRIM(LUL17)</f>
        <v/>
      </c>
      <c r="LTV33" t="str">
        <f t="shared" si="395"/>
        <v/>
      </c>
      <c r="LTW33" t="str">
        <f t="shared" si="395"/>
        <v/>
      </c>
      <c r="LTX33" t="str">
        <f t="shared" si="395"/>
        <v/>
      </c>
      <c r="LTY33" t="str">
        <f t="shared" si="395"/>
        <v/>
      </c>
      <c r="LTZ33" t="str">
        <f t="shared" si="395"/>
        <v/>
      </c>
      <c r="LUA33" t="str">
        <f t="shared" si="395"/>
        <v/>
      </c>
      <c r="LUB33" t="str">
        <f t="shared" si="395"/>
        <v/>
      </c>
      <c r="LUC33" t="str">
        <f t="shared" si="395"/>
        <v/>
      </c>
      <c r="LUD33" t="str">
        <f t="shared" si="395"/>
        <v/>
      </c>
      <c r="LUE33" t="str">
        <f t="shared" si="395"/>
        <v/>
      </c>
      <c r="LUF33" t="str">
        <f t="shared" si="395"/>
        <v/>
      </c>
      <c r="LUG33" t="str">
        <f t="shared" si="395"/>
        <v/>
      </c>
      <c r="LUH33" t="str">
        <f t="shared" si="395"/>
        <v/>
      </c>
      <c r="LUI33" t="str">
        <f t="shared" si="395"/>
        <v/>
      </c>
      <c r="LUJ33" t="str">
        <f t="shared" si="395"/>
        <v/>
      </c>
      <c r="LUK33" t="str">
        <f t="shared" si="395"/>
        <v/>
      </c>
      <c r="LUL33" t="str">
        <f t="shared" si="395"/>
        <v/>
      </c>
      <c r="LUM33" t="str">
        <f t="shared" si="395"/>
        <v/>
      </c>
      <c r="LUN33" t="str">
        <f t="shared" si="395"/>
        <v/>
      </c>
      <c r="LUO33" t="str">
        <f t="shared" si="395"/>
        <v/>
      </c>
      <c r="LUP33" t="str">
        <f t="shared" si="395"/>
        <v/>
      </c>
      <c r="LUQ33" t="str">
        <f t="shared" si="395"/>
        <v/>
      </c>
      <c r="LUR33" t="str">
        <f t="shared" si="395"/>
        <v/>
      </c>
      <c r="LUS33" t="str">
        <f t="shared" si="395"/>
        <v/>
      </c>
      <c r="LUT33" t="str">
        <f t="shared" si="395"/>
        <v/>
      </c>
      <c r="LUU33" t="str">
        <f t="shared" si="395"/>
        <v/>
      </c>
      <c r="LUV33" t="str">
        <f t="shared" si="395"/>
        <v/>
      </c>
      <c r="LUW33" t="str">
        <f t="shared" si="395"/>
        <v/>
      </c>
      <c r="LUX33" t="str">
        <f t="shared" si="395"/>
        <v/>
      </c>
      <c r="LUY33" t="str">
        <f t="shared" si="395"/>
        <v/>
      </c>
      <c r="LUZ33" t="str">
        <f t="shared" si="395"/>
        <v/>
      </c>
      <c r="LVA33" t="str">
        <f t="shared" si="395"/>
        <v/>
      </c>
      <c r="LVB33" t="str">
        <f t="shared" si="395"/>
        <v/>
      </c>
      <c r="LVC33" t="str">
        <f t="shared" si="395"/>
        <v/>
      </c>
      <c r="LVD33" t="str">
        <f t="shared" si="395"/>
        <v/>
      </c>
      <c r="LVE33" t="str">
        <f t="shared" si="395"/>
        <v/>
      </c>
      <c r="LVF33" t="str">
        <f t="shared" si="395"/>
        <v/>
      </c>
      <c r="LVG33" t="str">
        <f t="shared" si="395"/>
        <v/>
      </c>
      <c r="LVH33" t="str">
        <f t="shared" si="395"/>
        <v/>
      </c>
      <c r="LVI33" t="str">
        <f t="shared" si="395"/>
        <v/>
      </c>
      <c r="LVJ33" t="str">
        <f t="shared" si="395"/>
        <v/>
      </c>
      <c r="LVK33" t="str">
        <f t="shared" si="395"/>
        <v/>
      </c>
      <c r="LVL33" t="str">
        <f t="shared" si="395"/>
        <v/>
      </c>
      <c r="LVM33" t="str">
        <f t="shared" si="395"/>
        <v/>
      </c>
      <c r="LVN33" t="str">
        <f t="shared" si="395"/>
        <v/>
      </c>
      <c r="LVO33" t="str">
        <f t="shared" si="395"/>
        <v/>
      </c>
      <c r="LVP33" t="str">
        <f t="shared" si="395"/>
        <v/>
      </c>
      <c r="LVQ33" t="str">
        <f t="shared" si="395"/>
        <v/>
      </c>
      <c r="LVR33" t="str">
        <f t="shared" si="395"/>
        <v/>
      </c>
      <c r="LVS33" t="str">
        <f t="shared" si="395"/>
        <v/>
      </c>
      <c r="LVT33" t="str">
        <f t="shared" si="395"/>
        <v/>
      </c>
      <c r="LVU33" t="str">
        <f t="shared" si="395"/>
        <v/>
      </c>
      <c r="LVV33" t="str">
        <f t="shared" si="395"/>
        <v/>
      </c>
      <c r="LVW33" t="str">
        <f t="shared" si="395"/>
        <v/>
      </c>
      <c r="LVX33" t="str">
        <f t="shared" si="395"/>
        <v/>
      </c>
      <c r="LVY33" t="str">
        <f t="shared" si="395"/>
        <v/>
      </c>
      <c r="LVZ33" t="str">
        <f t="shared" si="395"/>
        <v/>
      </c>
      <c r="LWA33" t="str">
        <f t="shared" si="395"/>
        <v/>
      </c>
      <c r="LWB33" t="str">
        <f t="shared" si="395"/>
        <v/>
      </c>
      <c r="LWC33" t="str">
        <f t="shared" si="395"/>
        <v/>
      </c>
      <c r="LWD33" t="str">
        <f t="shared" si="395"/>
        <v/>
      </c>
      <c r="LWE33" t="str">
        <f t="shared" si="395"/>
        <v/>
      </c>
      <c r="LWF33" t="str">
        <f t="shared" si="395"/>
        <v/>
      </c>
      <c r="LWG33" t="str">
        <f t="shared" ref="LWG33:LYR33" si="396">TRIM(LWX17)</f>
        <v/>
      </c>
      <c r="LWH33" t="str">
        <f t="shared" si="396"/>
        <v/>
      </c>
      <c r="LWI33" t="str">
        <f t="shared" si="396"/>
        <v/>
      </c>
      <c r="LWJ33" t="str">
        <f t="shared" si="396"/>
        <v/>
      </c>
      <c r="LWK33" t="str">
        <f t="shared" si="396"/>
        <v/>
      </c>
      <c r="LWL33" t="str">
        <f t="shared" si="396"/>
        <v/>
      </c>
      <c r="LWM33" t="str">
        <f t="shared" si="396"/>
        <v/>
      </c>
      <c r="LWN33" t="str">
        <f t="shared" si="396"/>
        <v/>
      </c>
      <c r="LWO33" t="str">
        <f t="shared" si="396"/>
        <v/>
      </c>
      <c r="LWP33" t="str">
        <f t="shared" si="396"/>
        <v/>
      </c>
      <c r="LWQ33" t="str">
        <f t="shared" si="396"/>
        <v/>
      </c>
      <c r="LWR33" t="str">
        <f t="shared" si="396"/>
        <v/>
      </c>
      <c r="LWS33" t="str">
        <f t="shared" si="396"/>
        <v/>
      </c>
      <c r="LWT33" t="str">
        <f t="shared" si="396"/>
        <v/>
      </c>
      <c r="LWU33" t="str">
        <f t="shared" si="396"/>
        <v/>
      </c>
      <c r="LWV33" t="str">
        <f t="shared" si="396"/>
        <v/>
      </c>
      <c r="LWW33" t="str">
        <f t="shared" si="396"/>
        <v/>
      </c>
      <c r="LWX33" t="str">
        <f t="shared" si="396"/>
        <v/>
      </c>
      <c r="LWY33" t="str">
        <f t="shared" si="396"/>
        <v/>
      </c>
      <c r="LWZ33" t="str">
        <f t="shared" si="396"/>
        <v/>
      </c>
      <c r="LXA33" t="str">
        <f t="shared" si="396"/>
        <v/>
      </c>
      <c r="LXB33" t="str">
        <f t="shared" si="396"/>
        <v/>
      </c>
      <c r="LXC33" t="str">
        <f t="shared" si="396"/>
        <v/>
      </c>
      <c r="LXD33" t="str">
        <f t="shared" si="396"/>
        <v/>
      </c>
      <c r="LXE33" t="str">
        <f t="shared" si="396"/>
        <v/>
      </c>
      <c r="LXF33" t="str">
        <f t="shared" si="396"/>
        <v/>
      </c>
      <c r="LXG33" t="str">
        <f t="shared" si="396"/>
        <v/>
      </c>
      <c r="LXH33" t="str">
        <f t="shared" si="396"/>
        <v/>
      </c>
      <c r="LXI33" t="str">
        <f t="shared" si="396"/>
        <v/>
      </c>
      <c r="LXJ33" t="str">
        <f t="shared" si="396"/>
        <v/>
      </c>
      <c r="LXK33" t="str">
        <f t="shared" si="396"/>
        <v/>
      </c>
      <c r="LXL33" t="str">
        <f t="shared" si="396"/>
        <v/>
      </c>
      <c r="LXM33" t="str">
        <f t="shared" si="396"/>
        <v/>
      </c>
      <c r="LXN33" t="str">
        <f t="shared" si="396"/>
        <v/>
      </c>
      <c r="LXO33" t="str">
        <f t="shared" si="396"/>
        <v/>
      </c>
      <c r="LXP33" t="str">
        <f t="shared" si="396"/>
        <v/>
      </c>
      <c r="LXQ33" t="str">
        <f t="shared" si="396"/>
        <v/>
      </c>
      <c r="LXR33" t="str">
        <f t="shared" si="396"/>
        <v/>
      </c>
      <c r="LXS33" t="str">
        <f t="shared" si="396"/>
        <v/>
      </c>
      <c r="LXT33" t="str">
        <f t="shared" si="396"/>
        <v/>
      </c>
      <c r="LXU33" t="str">
        <f t="shared" si="396"/>
        <v/>
      </c>
      <c r="LXV33" t="str">
        <f t="shared" si="396"/>
        <v/>
      </c>
      <c r="LXW33" t="str">
        <f t="shared" si="396"/>
        <v/>
      </c>
      <c r="LXX33" t="str">
        <f t="shared" si="396"/>
        <v/>
      </c>
      <c r="LXY33" t="str">
        <f t="shared" si="396"/>
        <v/>
      </c>
      <c r="LXZ33" t="str">
        <f t="shared" si="396"/>
        <v/>
      </c>
      <c r="LYA33" t="str">
        <f t="shared" si="396"/>
        <v/>
      </c>
      <c r="LYB33" t="str">
        <f t="shared" si="396"/>
        <v/>
      </c>
      <c r="LYC33" t="str">
        <f t="shared" si="396"/>
        <v/>
      </c>
      <c r="LYD33" t="str">
        <f t="shared" si="396"/>
        <v/>
      </c>
      <c r="LYE33" t="str">
        <f t="shared" si="396"/>
        <v/>
      </c>
      <c r="LYF33" t="str">
        <f t="shared" si="396"/>
        <v/>
      </c>
      <c r="LYG33" t="str">
        <f t="shared" si="396"/>
        <v/>
      </c>
      <c r="LYH33" t="str">
        <f t="shared" si="396"/>
        <v/>
      </c>
      <c r="LYI33" t="str">
        <f t="shared" si="396"/>
        <v/>
      </c>
      <c r="LYJ33" t="str">
        <f t="shared" si="396"/>
        <v/>
      </c>
      <c r="LYK33" t="str">
        <f t="shared" si="396"/>
        <v/>
      </c>
      <c r="LYL33" t="str">
        <f t="shared" si="396"/>
        <v/>
      </c>
      <c r="LYM33" t="str">
        <f t="shared" si="396"/>
        <v/>
      </c>
      <c r="LYN33" t="str">
        <f t="shared" si="396"/>
        <v/>
      </c>
      <c r="LYO33" t="str">
        <f t="shared" si="396"/>
        <v/>
      </c>
      <c r="LYP33" t="str">
        <f t="shared" si="396"/>
        <v/>
      </c>
      <c r="LYQ33" t="str">
        <f t="shared" si="396"/>
        <v/>
      </c>
      <c r="LYR33" t="str">
        <f t="shared" si="396"/>
        <v/>
      </c>
      <c r="LYS33" t="str">
        <f t="shared" ref="LYS33:MBD33" si="397">TRIM(LZJ17)</f>
        <v/>
      </c>
      <c r="LYT33" t="str">
        <f t="shared" si="397"/>
        <v/>
      </c>
      <c r="LYU33" t="str">
        <f t="shared" si="397"/>
        <v/>
      </c>
      <c r="LYV33" t="str">
        <f t="shared" si="397"/>
        <v/>
      </c>
      <c r="LYW33" t="str">
        <f t="shared" si="397"/>
        <v/>
      </c>
      <c r="LYX33" t="str">
        <f t="shared" si="397"/>
        <v/>
      </c>
      <c r="LYY33" t="str">
        <f t="shared" si="397"/>
        <v/>
      </c>
      <c r="LYZ33" t="str">
        <f t="shared" si="397"/>
        <v/>
      </c>
      <c r="LZA33" t="str">
        <f t="shared" si="397"/>
        <v/>
      </c>
      <c r="LZB33" t="str">
        <f t="shared" si="397"/>
        <v/>
      </c>
      <c r="LZC33" t="str">
        <f t="shared" si="397"/>
        <v/>
      </c>
      <c r="LZD33" t="str">
        <f t="shared" si="397"/>
        <v/>
      </c>
      <c r="LZE33" t="str">
        <f t="shared" si="397"/>
        <v/>
      </c>
      <c r="LZF33" t="str">
        <f t="shared" si="397"/>
        <v/>
      </c>
      <c r="LZG33" t="str">
        <f t="shared" si="397"/>
        <v/>
      </c>
      <c r="LZH33" t="str">
        <f t="shared" si="397"/>
        <v/>
      </c>
      <c r="LZI33" t="str">
        <f t="shared" si="397"/>
        <v/>
      </c>
      <c r="LZJ33" t="str">
        <f t="shared" si="397"/>
        <v/>
      </c>
      <c r="LZK33" t="str">
        <f t="shared" si="397"/>
        <v/>
      </c>
      <c r="LZL33" t="str">
        <f t="shared" si="397"/>
        <v/>
      </c>
      <c r="LZM33" t="str">
        <f t="shared" si="397"/>
        <v/>
      </c>
      <c r="LZN33" t="str">
        <f t="shared" si="397"/>
        <v/>
      </c>
      <c r="LZO33" t="str">
        <f t="shared" si="397"/>
        <v/>
      </c>
      <c r="LZP33" t="str">
        <f t="shared" si="397"/>
        <v/>
      </c>
      <c r="LZQ33" t="str">
        <f t="shared" si="397"/>
        <v/>
      </c>
      <c r="LZR33" t="str">
        <f t="shared" si="397"/>
        <v/>
      </c>
      <c r="LZS33" t="str">
        <f t="shared" si="397"/>
        <v/>
      </c>
      <c r="LZT33" t="str">
        <f t="shared" si="397"/>
        <v/>
      </c>
      <c r="LZU33" t="str">
        <f t="shared" si="397"/>
        <v/>
      </c>
      <c r="LZV33" t="str">
        <f t="shared" si="397"/>
        <v/>
      </c>
      <c r="LZW33" t="str">
        <f t="shared" si="397"/>
        <v/>
      </c>
      <c r="LZX33" t="str">
        <f t="shared" si="397"/>
        <v/>
      </c>
      <c r="LZY33" t="str">
        <f t="shared" si="397"/>
        <v/>
      </c>
      <c r="LZZ33" t="str">
        <f t="shared" si="397"/>
        <v/>
      </c>
      <c r="MAA33" t="str">
        <f t="shared" si="397"/>
        <v/>
      </c>
      <c r="MAB33" t="str">
        <f t="shared" si="397"/>
        <v/>
      </c>
      <c r="MAC33" t="str">
        <f t="shared" si="397"/>
        <v/>
      </c>
      <c r="MAD33" t="str">
        <f t="shared" si="397"/>
        <v/>
      </c>
      <c r="MAE33" t="str">
        <f t="shared" si="397"/>
        <v/>
      </c>
      <c r="MAF33" t="str">
        <f t="shared" si="397"/>
        <v/>
      </c>
      <c r="MAG33" t="str">
        <f t="shared" si="397"/>
        <v/>
      </c>
      <c r="MAH33" t="str">
        <f t="shared" si="397"/>
        <v/>
      </c>
      <c r="MAI33" t="str">
        <f t="shared" si="397"/>
        <v/>
      </c>
      <c r="MAJ33" t="str">
        <f t="shared" si="397"/>
        <v/>
      </c>
      <c r="MAK33" t="str">
        <f t="shared" si="397"/>
        <v/>
      </c>
      <c r="MAL33" t="str">
        <f t="shared" si="397"/>
        <v/>
      </c>
      <c r="MAM33" t="str">
        <f t="shared" si="397"/>
        <v/>
      </c>
      <c r="MAN33" t="str">
        <f t="shared" si="397"/>
        <v/>
      </c>
      <c r="MAO33" t="str">
        <f t="shared" si="397"/>
        <v/>
      </c>
      <c r="MAP33" t="str">
        <f t="shared" si="397"/>
        <v/>
      </c>
      <c r="MAQ33" t="str">
        <f t="shared" si="397"/>
        <v/>
      </c>
      <c r="MAR33" t="str">
        <f t="shared" si="397"/>
        <v/>
      </c>
      <c r="MAS33" t="str">
        <f t="shared" si="397"/>
        <v/>
      </c>
      <c r="MAT33" t="str">
        <f t="shared" si="397"/>
        <v/>
      </c>
      <c r="MAU33" t="str">
        <f t="shared" si="397"/>
        <v/>
      </c>
      <c r="MAV33" t="str">
        <f t="shared" si="397"/>
        <v/>
      </c>
      <c r="MAW33" t="str">
        <f t="shared" si="397"/>
        <v/>
      </c>
      <c r="MAX33" t="str">
        <f t="shared" si="397"/>
        <v/>
      </c>
      <c r="MAY33" t="str">
        <f t="shared" si="397"/>
        <v/>
      </c>
      <c r="MAZ33" t="str">
        <f t="shared" si="397"/>
        <v/>
      </c>
      <c r="MBA33" t="str">
        <f t="shared" si="397"/>
        <v/>
      </c>
      <c r="MBB33" t="str">
        <f t="shared" si="397"/>
        <v/>
      </c>
      <c r="MBC33" t="str">
        <f t="shared" si="397"/>
        <v/>
      </c>
      <c r="MBD33" t="str">
        <f t="shared" si="397"/>
        <v/>
      </c>
      <c r="MBE33" t="str">
        <f t="shared" ref="MBE33:MDP33" si="398">TRIM(MBV17)</f>
        <v/>
      </c>
      <c r="MBF33" t="str">
        <f t="shared" si="398"/>
        <v/>
      </c>
      <c r="MBG33" t="str">
        <f t="shared" si="398"/>
        <v/>
      </c>
      <c r="MBH33" t="str">
        <f t="shared" si="398"/>
        <v/>
      </c>
      <c r="MBI33" t="str">
        <f t="shared" si="398"/>
        <v/>
      </c>
      <c r="MBJ33" t="str">
        <f t="shared" si="398"/>
        <v/>
      </c>
      <c r="MBK33" t="str">
        <f t="shared" si="398"/>
        <v/>
      </c>
      <c r="MBL33" t="str">
        <f t="shared" si="398"/>
        <v/>
      </c>
      <c r="MBM33" t="str">
        <f t="shared" si="398"/>
        <v/>
      </c>
      <c r="MBN33" t="str">
        <f t="shared" si="398"/>
        <v/>
      </c>
      <c r="MBO33" t="str">
        <f t="shared" si="398"/>
        <v/>
      </c>
      <c r="MBP33" t="str">
        <f t="shared" si="398"/>
        <v/>
      </c>
      <c r="MBQ33" t="str">
        <f t="shared" si="398"/>
        <v/>
      </c>
      <c r="MBR33" t="str">
        <f t="shared" si="398"/>
        <v/>
      </c>
      <c r="MBS33" t="str">
        <f t="shared" si="398"/>
        <v/>
      </c>
      <c r="MBT33" t="str">
        <f t="shared" si="398"/>
        <v/>
      </c>
      <c r="MBU33" t="str">
        <f t="shared" si="398"/>
        <v/>
      </c>
      <c r="MBV33" t="str">
        <f t="shared" si="398"/>
        <v/>
      </c>
      <c r="MBW33" t="str">
        <f t="shared" si="398"/>
        <v/>
      </c>
      <c r="MBX33" t="str">
        <f t="shared" si="398"/>
        <v/>
      </c>
      <c r="MBY33" t="str">
        <f t="shared" si="398"/>
        <v/>
      </c>
      <c r="MBZ33" t="str">
        <f t="shared" si="398"/>
        <v/>
      </c>
      <c r="MCA33" t="str">
        <f t="shared" si="398"/>
        <v/>
      </c>
      <c r="MCB33" t="str">
        <f t="shared" si="398"/>
        <v/>
      </c>
      <c r="MCC33" t="str">
        <f t="shared" si="398"/>
        <v/>
      </c>
      <c r="MCD33" t="str">
        <f t="shared" si="398"/>
        <v/>
      </c>
      <c r="MCE33" t="str">
        <f t="shared" si="398"/>
        <v/>
      </c>
      <c r="MCF33" t="str">
        <f t="shared" si="398"/>
        <v/>
      </c>
      <c r="MCG33" t="str">
        <f t="shared" si="398"/>
        <v/>
      </c>
      <c r="MCH33" t="str">
        <f t="shared" si="398"/>
        <v/>
      </c>
      <c r="MCI33" t="str">
        <f t="shared" si="398"/>
        <v/>
      </c>
      <c r="MCJ33" t="str">
        <f t="shared" si="398"/>
        <v/>
      </c>
      <c r="MCK33" t="str">
        <f t="shared" si="398"/>
        <v/>
      </c>
      <c r="MCL33" t="str">
        <f t="shared" si="398"/>
        <v/>
      </c>
      <c r="MCM33" t="str">
        <f t="shared" si="398"/>
        <v/>
      </c>
      <c r="MCN33" t="str">
        <f t="shared" si="398"/>
        <v/>
      </c>
      <c r="MCO33" t="str">
        <f t="shared" si="398"/>
        <v/>
      </c>
      <c r="MCP33" t="str">
        <f t="shared" si="398"/>
        <v/>
      </c>
      <c r="MCQ33" t="str">
        <f t="shared" si="398"/>
        <v/>
      </c>
      <c r="MCR33" t="str">
        <f t="shared" si="398"/>
        <v/>
      </c>
      <c r="MCS33" t="str">
        <f t="shared" si="398"/>
        <v/>
      </c>
      <c r="MCT33" t="str">
        <f t="shared" si="398"/>
        <v/>
      </c>
      <c r="MCU33" t="str">
        <f t="shared" si="398"/>
        <v/>
      </c>
      <c r="MCV33" t="str">
        <f t="shared" si="398"/>
        <v/>
      </c>
      <c r="MCW33" t="str">
        <f t="shared" si="398"/>
        <v/>
      </c>
      <c r="MCX33" t="str">
        <f t="shared" si="398"/>
        <v/>
      </c>
      <c r="MCY33" t="str">
        <f t="shared" si="398"/>
        <v/>
      </c>
      <c r="MCZ33" t="str">
        <f t="shared" si="398"/>
        <v/>
      </c>
      <c r="MDA33" t="str">
        <f t="shared" si="398"/>
        <v/>
      </c>
      <c r="MDB33" t="str">
        <f t="shared" si="398"/>
        <v/>
      </c>
      <c r="MDC33" t="str">
        <f t="shared" si="398"/>
        <v/>
      </c>
      <c r="MDD33" t="str">
        <f t="shared" si="398"/>
        <v/>
      </c>
      <c r="MDE33" t="str">
        <f t="shared" si="398"/>
        <v/>
      </c>
      <c r="MDF33" t="str">
        <f t="shared" si="398"/>
        <v/>
      </c>
      <c r="MDG33" t="str">
        <f t="shared" si="398"/>
        <v/>
      </c>
      <c r="MDH33" t="str">
        <f t="shared" si="398"/>
        <v/>
      </c>
      <c r="MDI33" t="str">
        <f t="shared" si="398"/>
        <v/>
      </c>
      <c r="MDJ33" t="str">
        <f t="shared" si="398"/>
        <v/>
      </c>
      <c r="MDK33" t="str">
        <f t="shared" si="398"/>
        <v/>
      </c>
      <c r="MDL33" t="str">
        <f t="shared" si="398"/>
        <v/>
      </c>
      <c r="MDM33" t="str">
        <f t="shared" si="398"/>
        <v/>
      </c>
      <c r="MDN33" t="str">
        <f t="shared" si="398"/>
        <v/>
      </c>
      <c r="MDO33" t="str">
        <f t="shared" si="398"/>
        <v/>
      </c>
      <c r="MDP33" t="str">
        <f t="shared" si="398"/>
        <v/>
      </c>
      <c r="MDQ33" t="str">
        <f t="shared" ref="MDQ33:MGB33" si="399">TRIM(MEH17)</f>
        <v/>
      </c>
      <c r="MDR33" t="str">
        <f t="shared" si="399"/>
        <v/>
      </c>
      <c r="MDS33" t="str">
        <f t="shared" si="399"/>
        <v/>
      </c>
      <c r="MDT33" t="str">
        <f t="shared" si="399"/>
        <v/>
      </c>
      <c r="MDU33" t="str">
        <f t="shared" si="399"/>
        <v/>
      </c>
      <c r="MDV33" t="str">
        <f t="shared" si="399"/>
        <v/>
      </c>
      <c r="MDW33" t="str">
        <f t="shared" si="399"/>
        <v/>
      </c>
      <c r="MDX33" t="str">
        <f t="shared" si="399"/>
        <v/>
      </c>
      <c r="MDY33" t="str">
        <f t="shared" si="399"/>
        <v/>
      </c>
      <c r="MDZ33" t="str">
        <f t="shared" si="399"/>
        <v/>
      </c>
      <c r="MEA33" t="str">
        <f t="shared" si="399"/>
        <v/>
      </c>
      <c r="MEB33" t="str">
        <f t="shared" si="399"/>
        <v/>
      </c>
      <c r="MEC33" t="str">
        <f t="shared" si="399"/>
        <v/>
      </c>
      <c r="MED33" t="str">
        <f t="shared" si="399"/>
        <v/>
      </c>
      <c r="MEE33" t="str">
        <f t="shared" si="399"/>
        <v/>
      </c>
      <c r="MEF33" t="str">
        <f t="shared" si="399"/>
        <v/>
      </c>
      <c r="MEG33" t="str">
        <f t="shared" si="399"/>
        <v/>
      </c>
      <c r="MEH33" t="str">
        <f t="shared" si="399"/>
        <v/>
      </c>
      <c r="MEI33" t="str">
        <f t="shared" si="399"/>
        <v/>
      </c>
      <c r="MEJ33" t="str">
        <f t="shared" si="399"/>
        <v/>
      </c>
      <c r="MEK33" t="str">
        <f t="shared" si="399"/>
        <v/>
      </c>
      <c r="MEL33" t="str">
        <f t="shared" si="399"/>
        <v/>
      </c>
      <c r="MEM33" t="str">
        <f t="shared" si="399"/>
        <v/>
      </c>
      <c r="MEN33" t="str">
        <f t="shared" si="399"/>
        <v/>
      </c>
      <c r="MEO33" t="str">
        <f t="shared" si="399"/>
        <v/>
      </c>
      <c r="MEP33" t="str">
        <f t="shared" si="399"/>
        <v/>
      </c>
      <c r="MEQ33" t="str">
        <f t="shared" si="399"/>
        <v/>
      </c>
      <c r="MER33" t="str">
        <f t="shared" si="399"/>
        <v/>
      </c>
      <c r="MES33" t="str">
        <f t="shared" si="399"/>
        <v/>
      </c>
      <c r="MET33" t="str">
        <f t="shared" si="399"/>
        <v/>
      </c>
      <c r="MEU33" t="str">
        <f t="shared" si="399"/>
        <v/>
      </c>
      <c r="MEV33" t="str">
        <f t="shared" si="399"/>
        <v/>
      </c>
      <c r="MEW33" t="str">
        <f t="shared" si="399"/>
        <v/>
      </c>
      <c r="MEX33" t="str">
        <f t="shared" si="399"/>
        <v/>
      </c>
      <c r="MEY33" t="str">
        <f t="shared" si="399"/>
        <v/>
      </c>
      <c r="MEZ33" t="str">
        <f t="shared" si="399"/>
        <v/>
      </c>
      <c r="MFA33" t="str">
        <f t="shared" si="399"/>
        <v/>
      </c>
      <c r="MFB33" t="str">
        <f t="shared" si="399"/>
        <v/>
      </c>
      <c r="MFC33" t="str">
        <f t="shared" si="399"/>
        <v/>
      </c>
      <c r="MFD33" t="str">
        <f t="shared" si="399"/>
        <v/>
      </c>
      <c r="MFE33" t="str">
        <f t="shared" si="399"/>
        <v/>
      </c>
      <c r="MFF33" t="str">
        <f t="shared" si="399"/>
        <v/>
      </c>
      <c r="MFG33" t="str">
        <f t="shared" si="399"/>
        <v/>
      </c>
      <c r="MFH33" t="str">
        <f t="shared" si="399"/>
        <v/>
      </c>
      <c r="MFI33" t="str">
        <f t="shared" si="399"/>
        <v/>
      </c>
      <c r="MFJ33" t="str">
        <f t="shared" si="399"/>
        <v/>
      </c>
      <c r="MFK33" t="str">
        <f t="shared" si="399"/>
        <v/>
      </c>
      <c r="MFL33" t="str">
        <f t="shared" si="399"/>
        <v/>
      </c>
      <c r="MFM33" t="str">
        <f t="shared" si="399"/>
        <v/>
      </c>
      <c r="MFN33" t="str">
        <f t="shared" si="399"/>
        <v/>
      </c>
      <c r="MFO33" t="str">
        <f t="shared" si="399"/>
        <v/>
      </c>
      <c r="MFP33" t="str">
        <f t="shared" si="399"/>
        <v/>
      </c>
      <c r="MFQ33" t="str">
        <f t="shared" si="399"/>
        <v/>
      </c>
      <c r="MFR33" t="str">
        <f t="shared" si="399"/>
        <v/>
      </c>
      <c r="MFS33" t="str">
        <f t="shared" si="399"/>
        <v/>
      </c>
      <c r="MFT33" t="str">
        <f t="shared" si="399"/>
        <v/>
      </c>
      <c r="MFU33" t="str">
        <f t="shared" si="399"/>
        <v/>
      </c>
      <c r="MFV33" t="str">
        <f t="shared" si="399"/>
        <v/>
      </c>
      <c r="MFW33" t="str">
        <f t="shared" si="399"/>
        <v/>
      </c>
      <c r="MFX33" t="str">
        <f t="shared" si="399"/>
        <v/>
      </c>
      <c r="MFY33" t="str">
        <f t="shared" si="399"/>
        <v/>
      </c>
      <c r="MFZ33" t="str">
        <f t="shared" si="399"/>
        <v/>
      </c>
      <c r="MGA33" t="str">
        <f t="shared" si="399"/>
        <v/>
      </c>
      <c r="MGB33" t="str">
        <f t="shared" si="399"/>
        <v/>
      </c>
      <c r="MGC33" t="str">
        <f t="shared" ref="MGC33:MIN33" si="400">TRIM(MGT17)</f>
        <v/>
      </c>
      <c r="MGD33" t="str">
        <f t="shared" si="400"/>
        <v/>
      </c>
      <c r="MGE33" t="str">
        <f t="shared" si="400"/>
        <v/>
      </c>
      <c r="MGF33" t="str">
        <f t="shared" si="400"/>
        <v/>
      </c>
      <c r="MGG33" t="str">
        <f t="shared" si="400"/>
        <v/>
      </c>
      <c r="MGH33" t="str">
        <f t="shared" si="400"/>
        <v/>
      </c>
      <c r="MGI33" t="str">
        <f t="shared" si="400"/>
        <v/>
      </c>
      <c r="MGJ33" t="str">
        <f t="shared" si="400"/>
        <v/>
      </c>
      <c r="MGK33" t="str">
        <f t="shared" si="400"/>
        <v/>
      </c>
      <c r="MGL33" t="str">
        <f t="shared" si="400"/>
        <v/>
      </c>
      <c r="MGM33" t="str">
        <f t="shared" si="400"/>
        <v/>
      </c>
      <c r="MGN33" t="str">
        <f t="shared" si="400"/>
        <v/>
      </c>
      <c r="MGO33" t="str">
        <f t="shared" si="400"/>
        <v/>
      </c>
      <c r="MGP33" t="str">
        <f t="shared" si="400"/>
        <v/>
      </c>
      <c r="MGQ33" t="str">
        <f t="shared" si="400"/>
        <v/>
      </c>
      <c r="MGR33" t="str">
        <f t="shared" si="400"/>
        <v/>
      </c>
      <c r="MGS33" t="str">
        <f t="shared" si="400"/>
        <v/>
      </c>
      <c r="MGT33" t="str">
        <f t="shared" si="400"/>
        <v/>
      </c>
      <c r="MGU33" t="str">
        <f t="shared" si="400"/>
        <v/>
      </c>
      <c r="MGV33" t="str">
        <f t="shared" si="400"/>
        <v/>
      </c>
      <c r="MGW33" t="str">
        <f t="shared" si="400"/>
        <v/>
      </c>
      <c r="MGX33" t="str">
        <f t="shared" si="400"/>
        <v/>
      </c>
      <c r="MGY33" t="str">
        <f t="shared" si="400"/>
        <v/>
      </c>
      <c r="MGZ33" t="str">
        <f t="shared" si="400"/>
        <v/>
      </c>
      <c r="MHA33" t="str">
        <f t="shared" si="400"/>
        <v/>
      </c>
      <c r="MHB33" t="str">
        <f t="shared" si="400"/>
        <v/>
      </c>
      <c r="MHC33" t="str">
        <f t="shared" si="400"/>
        <v/>
      </c>
      <c r="MHD33" t="str">
        <f t="shared" si="400"/>
        <v/>
      </c>
      <c r="MHE33" t="str">
        <f t="shared" si="400"/>
        <v/>
      </c>
      <c r="MHF33" t="str">
        <f t="shared" si="400"/>
        <v/>
      </c>
      <c r="MHG33" t="str">
        <f t="shared" si="400"/>
        <v/>
      </c>
      <c r="MHH33" t="str">
        <f t="shared" si="400"/>
        <v/>
      </c>
      <c r="MHI33" t="str">
        <f t="shared" si="400"/>
        <v/>
      </c>
      <c r="MHJ33" t="str">
        <f t="shared" si="400"/>
        <v/>
      </c>
      <c r="MHK33" t="str">
        <f t="shared" si="400"/>
        <v/>
      </c>
      <c r="MHL33" t="str">
        <f t="shared" si="400"/>
        <v/>
      </c>
      <c r="MHM33" t="str">
        <f t="shared" si="400"/>
        <v/>
      </c>
      <c r="MHN33" t="str">
        <f t="shared" si="400"/>
        <v/>
      </c>
      <c r="MHO33" t="str">
        <f t="shared" si="400"/>
        <v/>
      </c>
      <c r="MHP33" t="str">
        <f t="shared" si="400"/>
        <v/>
      </c>
      <c r="MHQ33" t="str">
        <f t="shared" si="400"/>
        <v/>
      </c>
      <c r="MHR33" t="str">
        <f t="shared" si="400"/>
        <v/>
      </c>
      <c r="MHS33" t="str">
        <f t="shared" si="400"/>
        <v/>
      </c>
      <c r="MHT33" t="str">
        <f t="shared" si="400"/>
        <v/>
      </c>
      <c r="MHU33" t="str">
        <f t="shared" si="400"/>
        <v/>
      </c>
      <c r="MHV33" t="str">
        <f t="shared" si="400"/>
        <v/>
      </c>
      <c r="MHW33" t="str">
        <f t="shared" si="400"/>
        <v/>
      </c>
      <c r="MHX33" t="str">
        <f t="shared" si="400"/>
        <v/>
      </c>
      <c r="MHY33" t="str">
        <f t="shared" si="400"/>
        <v/>
      </c>
      <c r="MHZ33" t="str">
        <f t="shared" si="400"/>
        <v/>
      </c>
      <c r="MIA33" t="str">
        <f t="shared" si="400"/>
        <v/>
      </c>
      <c r="MIB33" t="str">
        <f t="shared" si="400"/>
        <v/>
      </c>
      <c r="MIC33" t="str">
        <f t="shared" si="400"/>
        <v/>
      </c>
      <c r="MID33" t="str">
        <f t="shared" si="400"/>
        <v/>
      </c>
      <c r="MIE33" t="str">
        <f t="shared" si="400"/>
        <v/>
      </c>
      <c r="MIF33" t="str">
        <f t="shared" si="400"/>
        <v/>
      </c>
      <c r="MIG33" t="str">
        <f t="shared" si="400"/>
        <v/>
      </c>
      <c r="MIH33" t="str">
        <f t="shared" si="400"/>
        <v/>
      </c>
      <c r="MII33" t="str">
        <f t="shared" si="400"/>
        <v/>
      </c>
      <c r="MIJ33" t="str">
        <f t="shared" si="400"/>
        <v/>
      </c>
      <c r="MIK33" t="str">
        <f t="shared" si="400"/>
        <v/>
      </c>
      <c r="MIL33" t="str">
        <f t="shared" si="400"/>
        <v/>
      </c>
      <c r="MIM33" t="str">
        <f t="shared" si="400"/>
        <v/>
      </c>
      <c r="MIN33" t="str">
        <f t="shared" si="400"/>
        <v/>
      </c>
      <c r="MIO33" t="str">
        <f t="shared" ref="MIO33:MKZ33" si="401">TRIM(MJF17)</f>
        <v/>
      </c>
      <c r="MIP33" t="str">
        <f t="shared" si="401"/>
        <v/>
      </c>
      <c r="MIQ33" t="str">
        <f t="shared" si="401"/>
        <v/>
      </c>
      <c r="MIR33" t="str">
        <f t="shared" si="401"/>
        <v/>
      </c>
      <c r="MIS33" t="str">
        <f t="shared" si="401"/>
        <v/>
      </c>
      <c r="MIT33" t="str">
        <f t="shared" si="401"/>
        <v/>
      </c>
      <c r="MIU33" t="str">
        <f t="shared" si="401"/>
        <v/>
      </c>
      <c r="MIV33" t="str">
        <f t="shared" si="401"/>
        <v/>
      </c>
      <c r="MIW33" t="str">
        <f t="shared" si="401"/>
        <v/>
      </c>
      <c r="MIX33" t="str">
        <f t="shared" si="401"/>
        <v/>
      </c>
      <c r="MIY33" t="str">
        <f t="shared" si="401"/>
        <v/>
      </c>
      <c r="MIZ33" t="str">
        <f t="shared" si="401"/>
        <v/>
      </c>
      <c r="MJA33" t="str">
        <f t="shared" si="401"/>
        <v/>
      </c>
      <c r="MJB33" t="str">
        <f t="shared" si="401"/>
        <v/>
      </c>
      <c r="MJC33" t="str">
        <f t="shared" si="401"/>
        <v/>
      </c>
      <c r="MJD33" t="str">
        <f t="shared" si="401"/>
        <v/>
      </c>
      <c r="MJE33" t="str">
        <f t="shared" si="401"/>
        <v/>
      </c>
      <c r="MJF33" t="str">
        <f t="shared" si="401"/>
        <v/>
      </c>
      <c r="MJG33" t="str">
        <f t="shared" si="401"/>
        <v/>
      </c>
      <c r="MJH33" t="str">
        <f t="shared" si="401"/>
        <v/>
      </c>
      <c r="MJI33" t="str">
        <f t="shared" si="401"/>
        <v/>
      </c>
      <c r="MJJ33" t="str">
        <f t="shared" si="401"/>
        <v/>
      </c>
      <c r="MJK33" t="str">
        <f t="shared" si="401"/>
        <v/>
      </c>
      <c r="MJL33" t="str">
        <f t="shared" si="401"/>
        <v/>
      </c>
      <c r="MJM33" t="str">
        <f t="shared" si="401"/>
        <v/>
      </c>
      <c r="MJN33" t="str">
        <f t="shared" si="401"/>
        <v/>
      </c>
      <c r="MJO33" t="str">
        <f t="shared" si="401"/>
        <v/>
      </c>
      <c r="MJP33" t="str">
        <f t="shared" si="401"/>
        <v/>
      </c>
      <c r="MJQ33" t="str">
        <f t="shared" si="401"/>
        <v/>
      </c>
      <c r="MJR33" t="str">
        <f t="shared" si="401"/>
        <v/>
      </c>
      <c r="MJS33" t="str">
        <f t="shared" si="401"/>
        <v/>
      </c>
      <c r="MJT33" t="str">
        <f t="shared" si="401"/>
        <v/>
      </c>
      <c r="MJU33" t="str">
        <f t="shared" si="401"/>
        <v/>
      </c>
      <c r="MJV33" t="str">
        <f t="shared" si="401"/>
        <v/>
      </c>
      <c r="MJW33" t="str">
        <f t="shared" si="401"/>
        <v/>
      </c>
      <c r="MJX33" t="str">
        <f t="shared" si="401"/>
        <v/>
      </c>
      <c r="MJY33" t="str">
        <f t="shared" si="401"/>
        <v/>
      </c>
      <c r="MJZ33" t="str">
        <f t="shared" si="401"/>
        <v/>
      </c>
      <c r="MKA33" t="str">
        <f t="shared" si="401"/>
        <v/>
      </c>
      <c r="MKB33" t="str">
        <f t="shared" si="401"/>
        <v/>
      </c>
      <c r="MKC33" t="str">
        <f t="shared" si="401"/>
        <v/>
      </c>
      <c r="MKD33" t="str">
        <f t="shared" si="401"/>
        <v/>
      </c>
      <c r="MKE33" t="str">
        <f t="shared" si="401"/>
        <v/>
      </c>
      <c r="MKF33" t="str">
        <f t="shared" si="401"/>
        <v/>
      </c>
      <c r="MKG33" t="str">
        <f t="shared" si="401"/>
        <v/>
      </c>
      <c r="MKH33" t="str">
        <f t="shared" si="401"/>
        <v/>
      </c>
      <c r="MKI33" t="str">
        <f t="shared" si="401"/>
        <v/>
      </c>
      <c r="MKJ33" t="str">
        <f t="shared" si="401"/>
        <v/>
      </c>
      <c r="MKK33" t="str">
        <f t="shared" si="401"/>
        <v/>
      </c>
      <c r="MKL33" t="str">
        <f t="shared" si="401"/>
        <v/>
      </c>
      <c r="MKM33" t="str">
        <f t="shared" si="401"/>
        <v/>
      </c>
      <c r="MKN33" t="str">
        <f t="shared" si="401"/>
        <v/>
      </c>
      <c r="MKO33" t="str">
        <f t="shared" si="401"/>
        <v/>
      </c>
      <c r="MKP33" t="str">
        <f t="shared" si="401"/>
        <v/>
      </c>
      <c r="MKQ33" t="str">
        <f t="shared" si="401"/>
        <v/>
      </c>
      <c r="MKR33" t="str">
        <f t="shared" si="401"/>
        <v/>
      </c>
      <c r="MKS33" t="str">
        <f t="shared" si="401"/>
        <v/>
      </c>
      <c r="MKT33" t="str">
        <f t="shared" si="401"/>
        <v/>
      </c>
      <c r="MKU33" t="str">
        <f t="shared" si="401"/>
        <v/>
      </c>
      <c r="MKV33" t="str">
        <f t="shared" si="401"/>
        <v/>
      </c>
      <c r="MKW33" t="str">
        <f t="shared" si="401"/>
        <v/>
      </c>
      <c r="MKX33" t="str">
        <f t="shared" si="401"/>
        <v/>
      </c>
      <c r="MKY33" t="str">
        <f t="shared" si="401"/>
        <v/>
      </c>
      <c r="MKZ33" t="str">
        <f t="shared" si="401"/>
        <v/>
      </c>
      <c r="MLA33" t="str">
        <f t="shared" ref="MLA33:MNL33" si="402">TRIM(MLR17)</f>
        <v/>
      </c>
      <c r="MLB33" t="str">
        <f t="shared" si="402"/>
        <v/>
      </c>
      <c r="MLC33" t="str">
        <f t="shared" si="402"/>
        <v/>
      </c>
      <c r="MLD33" t="str">
        <f t="shared" si="402"/>
        <v/>
      </c>
      <c r="MLE33" t="str">
        <f t="shared" si="402"/>
        <v/>
      </c>
      <c r="MLF33" t="str">
        <f t="shared" si="402"/>
        <v/>
      </c>
      <c r="MLG33" t="str">
        <f t="shared" si="402"/>
        <v/>
      </c>
      <c r="MLH33" t="str">
        <f t="shared" si="402"/>
        <v/>
      </c>
      <c r="MLI33" t="str">
        <f t="shared" si="402"/>
        <v/>
      </c>
      <c r="MLJ33" t="str">
        <f t="shared" si="402"/>
        <v/>
      </c>
      <c r="MLK33" t="str">
        <f t="shared" si="402"/>
        <v/>
      </c>
      <c r="MLL33" t="str">
        <f t="shared" si="402"/>
        <v/>
      </c>
      <c r="MLM33" t="str">
        <f t="shared" si="402"/>
        <v/>
      </c>
      <c r="MLN33" t="str">
        <f t="shared" si="402"/>
        <v/>
      </c>
      <c r="MLO33" t="str">
        <f t="shared" si="402"/>
        <v/>
      </c>
      <c r="MLP33" t="str">
        <f t="shared" si="402"/>
        <v/>
      </c>
      <c r="MLQ33" t="str">
        <f t="shared" si="402"/>
        <v/>
      </c>
      <c r="MLR33" t="str">
        <f t="shared" si="402"/>
        <v/>
      </c>
      <c r="MLS33" t="str">
        <f t="shared" si="402"/>
        <v/>
      </c>
      <c r="MLT33" t="str">
        <f t="shared" si="402"/>
        <v/>
      </c>
      <c r="MLU33" t="str">
        <f t="shared" si="402"/>
        <v/>
      </c>
      <c r="MLV33" t="str">
        <f t="shared" si="402"/>
        <v/>
      </c>
      <c r="MLW33" t="str">
        <f t="shared" si="402"/>
        <v/>
      </c>
      <c r="MLX33" t="str">
        <f t="shared" si="402"/>
        <v/>
      </c>
      <c r="MLY33" t="str">
        <f t="shared" si="402"/>
        <v/>
      </c>
      <c r="MLZ33" t="str">
        <f t="shared" si="402"/>
        <v/>
      </c>
      <c r="MMA33" t="str">
        <f t="shared" si="402"/>
        <v/>
      </c>
      <c r="MMB33" t="str">
        <f t="shared" si="402"/>
        <v/>
      </c>
      <c r="MMC33" t="str">
        <f t="shared" si="402"/>
        <v/>
      </c>
      <c r="MMD33" t="str">
        <f t="shared" si="402"/>
        <v/>
      </c>
      <c r="MME33" t="str">
        <f t="shared" si="402"/>
        <v/>
      </c>
      <c r="MMF33" t="str">
        <f t="shared" si="402"/>
        <v/>
      </c>
      <c r="MMG33" t="str">
        <f t="shared" si="402"/>
        <v/>
      </c>
      <c r="MMH33" t="str">
        <f t="shared" si="402"/>
        <v/>
      </c>
      <c r="MMI33" t="str">
        <f t="shared" si="402"/>
        <v/>
      </c>
      <c r="MMJ33" t="str">
        <f t="shared" si="402"/>
        <v/>
      </c>
      <c r="MMK33" t="str">
        <f t="shared" si="402"/>
        <v/>
      </c>
      <c r="MML33" t="str">
        <f t="shared" si="402"/>
        <v/>
      </c>
      <c r="MMM33" t="str">
        <f t="shared" si="402"/>
        <v/>
      </c>
      <c r="MMN33" t="str">
        <f t="shared" si="402"/>
        <v/>
      </c>
      <c r="MMO33" t="str">
        <f t="shared" si="402"/>
        <v/>
      </c>
      <c r="MMP33" t="str">
        <f t="shared" si="402"/>
        <v/>
      </c>
      <c r="MMQ33" t="str">
        <f t="shared" si="402"/>
        <v/>
      </c>
      <c r="MMR33" t="str">
        <f t="shared" si="402"/>
        <v/>
      </c>
      <c r="MMS33" t="str">
        <f t="shared" si="402"/>
        <v/>
      </c>
      <c r="MMT33" t="str">
        <f t="shared" si="402"/>
        <v/>
      </c>
      <c r="MMU33" t="str">
        <f t="shared" si="402"/>
        <v/>
      </c>
      <c r="MMV33" t="str">
        <f t="shared" si="402"/>
        <v/>
      </c>
      <c r="MMW33" t="str">
        <f t="shared" si="402"/>
        <v/>
      </c>
      <c r="MMX33" t="str">
        <f t="shared" si="402"/>
        <v/>
      </c>
      <c r="MMY33" t="str">
        <f t="shared" si="402"/>
        <v/>
      </c>
      <c r="MMZ33" t="str">
        <f t="shared" si="402"/>
        <v/>
      </c>
      <c r="MNA33" t="str">
        <f t="shared" si="402"/>
        <v/>
      </c>
      <c r="MNB33" t="str">
        <f t="shared" si="402"/>
        <v/>
      </c>
      <c r="MNC33" t="str">
        <f t="shared" si="402"/>
        <v/>
      </c>
      <c r="MND33" t="str">
        <f t="shared" si="402"/>
        <v/>
      </c>
      <c r="MNE33" t="str">
        <f t="shared" si="402"/>
        <v/>
      </c>
      <c r="MNF33" t="str">
        <f t="shared" si="402"/>
        <v/>
      </c>
      <c r="MNG33" t="str">
        <f t="shared" si="402"/>
        <v/>
      </c>
      <c r="MNH33" t="str">
        <f t="shared" si="402"/>
        <v/>
      </c>
      <c r="MNI33" t="str">
        <f t="shared" si="402"/>
        <v/>
      </c>
      <c r="MNJ33" t="str">
        <f t="shared" si="402"/>
        <v/>
      </c>
      <c r="MNK33" t="str">
        <f t="shared" si="402"/>
        <v/>
      </c>
      <c r="MNL33" t="str">
        <f t="shared" si="402"/>
        <v/>
      </c>
      <c r="MNM33" t="str">
        <f t="shared" ref="MNM33:MPX33" si="403">TRIM(MOD17)</f>
        <v/>
      </c>
      <c r="MNN33" t="str">
        <f t="shared" si="403"/>
        <v/>
      </c>
      <c r="MNO33" t="str">
        <f t="shared" si="403"/>
        <v/>
      </c>
      <c r="MNP33" t="str">
        <f t="shared" si="403"/>
        <v/>
      </c>
      <c r="MNQ33" t="str">
        <f t="shared" si="403"/>
        <v/>
      </c>
      <c r="MNR33" t="str">
        <f t="shared" si="403"/>
        <v/>
      </c>
      <c r="MNS33" t="str">
        <f t="shared" si="403"/>
        <v/>
      </c>
      <c r="MNT33" t="str">
        <f t="shared" si="403"/>
        <v/>
      </c>
      <c r="MNU33" t="str">
        <f t="shared" si="403"/>
        <v/>
      </c>
      <c r="MNV33" t="str">
        <f t="shared" si="403"/>
        <v/>
      </c>
      <c r="MNW33" t="str">
        <f t="shared" si="403"/>
        <v/>
      </c>
      <c r="MNX33" t="str">
        <f t="shared" si="403"/>
        <v/>
      </c>
      <c r="MNY33" t="str">
        <f t="shared" si="403"/>
        <v/>
      </c>
      <c r="MNZ33" t="str">
        <f t="shared" si="403"/>
        <v/>
      </c>
      <c r="MOA33" t="str">
        <f t="shared" si="403"/>
        <v/>
      </c>
      <c r="MOB33" t="str">
        <f t="shared" si="403"/>
        <v/>
      </c>
      <c r="MOC33" t="str">
        <f t="shared" si="403"/>
        <v/>
      </c>
      <c r="MOD33" t="str">
        <f t="shared" si="403"/>
        <v/>
      </c>
      <c r="MOE33" t="str">
        <f t="shared" si="403"/>
        <v/>
      </c>
      <c r="MOF33" t="str">
        <f t="shared" si="403"/>
        <v/>
      </c>
      <c r="MOG33" t="str">
        <f t="shared" si="403"/>
        <v/>
      </c>
      <c r="MOH33" t="str">
        <f t="shared" si="403"/>
        <v/>
      </c>
      <c r="MOI33" t="str">
        <f t="shared" si="403"/>
        <v/>
      </c>
      <c r="MOJ33" t="str">
        <f t="shared" si="403"/>
        <v/>
      </c>
      <c r="MOK33" t="str">
        <f t="shared" si="403"/>
        <v/>
      </c>
      <c r="MOL33" t="str">
        <f t="shared" si="403"/>
        <v/>
      </c>
      <c r="MOM33" t="str">
        <f t="shared" si="403"/>
        <v/>
      </c>
      <c r="MON33" t="str">
        <f t="shared" si="403"/>
        <v/>
      </c>
      <c r="MOO33" t="str">
        <f t="shared" si="403"/>
        <v/>
      </c>
      <c r="MOP33" t="str">
        <f t="shared" si="403"/>
        <v/>
      </c>
      <c r="MOQ33" t="str">
        <f t="shared" si="403"/>
        <v/>
      </c>
      <c r="MOR33" t="str">
        <f t="shared" si="403"/>
        <v/>
      </c>
      <c r="MOS33" t="str">
        <f t="shared" si="403"/>
        <v/>
      </c>
      <c r="MOT33" t="str">
        <f t="shared" si="403"/>
        <v/>
      </c>
      <c r="MOU33" t="str">
        <f t="shared" si="403"/>
        <v/>
      </c>
      <c r="MOV33" t="str">
        <f t="shared" si="403"/>
        <v/>
      </c>
      <c r="MOW33" t="str">
        <f t="shared" si="403"/>
        <v/>
      </c>
      <c r="MOX33" t="str">
        <f t="shared" si="403"/>
        <v/>
      </c>
      <c r="MOY33" t="str">
        <f t="shared" si="403"/>
        <v/>
      </c>
      <c r="MOZ33" t="str">
        <f t="shared" si="403"/>
        <v/>
      </c>
      <c r="MPA33" t="str">
        <f t="shared" si="403"/>
        <v/>
      </c>
      <c r="MPB33" t="str">
        <f t="shared" si="403"/>
        <v/>
      </c>
      <c r="MPC33" t="str">
        <f t="shared" si="403"/>
        <v/>
      </c>
      <c r="MPD33" t="str">
        <f t="shared" si="403"/>
        <v/>
      </c>
      <c r="MPE33" t="str">
        <f t="shared" si="403"/>
        <v/>
      </c>
      <c r="MPF33" t="str">
        <f t="shared" si="403"/>
        <v/>
      </c>
      <c r="MPG33" t="str">
        <f t="shared" si="403"/>
        <v/>
      </c>
      <c r="MPH33" t="str">
        <f t="shared" si="403"/>
        <v/>
      </c>
      <c r="MPI33" t="str">
        <f t="shared" si="403"/>
        <v/>
      </c>
      <c r="MPJ33" t="str">
        <f t="shared" si="403"/>
        <v/>
      </c>
      <c r="MPK33" t="str">
        <f t="shared" si="403"/>
        <v/>
      </c>
      <c r="MPL33" t="str">
        <f t="shared" si="403"/>
        <v/>
      </c>
      <c r="MPM33" t="str">
        <f t="shared" si="403"/>
        <v/>
      </c>
      <c r="MPN33" t="str">
        <f t="shared" si="403"/>
        <v/>
      </c>
      <c r="MPO33" t="str">
        <f t="shared" si="403"/>
        <v/>
      </c>
      <c r="MPP33" t="str">
        <f t="shared" si="403"/>
        <v/>
      </c>
      <c r="MPQ33" t="str">
        <f t="shared" si="403"/>
        <v/>
      </c>
      <c r="MPR33" t="str">
        <f t="shared" si="403"/>
        <v/>
      </c>
      <c r="MPS33" t="str">
        <f t="shared" si="403"/>
        <v/>
      </c>
      <c r="MPT33" t="str">
        <f t="shared" si="403"/>
        <v/>
      </c>
      <c r="MPU33" t="str">
        <f t="shared" si="403"/>
        <v/>
      </c>
      <c r="MPV33" t="str">
        <f t="shared" si="403"/>
        <v/>
      </c>
      <c r="MPW33" t="str">
        <f t="shared" si="403"/>
        <v/>
      </c>
      <c r="MPX33" t="str">
        <f t="shared" si="403"/>
        <v/>
      </c>
      <c r="MPY33" t="str">
        <f t="shared" ref="MPY33:MSJ33" si="404">TRIM(MQP17)</f>
        <v/>
      </c>
      <c r="MPZ33" t="str">
        <f t="shared" si="404"/>
        <v/>
      </c>
      <c r="MQA33" t="str">
        <f t="shared" si="404"/>
        <v/>
      </c>
      <c r="MQB33" t="str">
        <f t="shared" si="404"/>
        <v/>
      </c>
      <c r="MQC33" t="str">
        <f t="shared" si="404"/>
        <v/>
      </c>
      <c r="MQD33" t="str">
        <f t="shared" si="404"/>
        <v/>
      </c>
      <c r="MQE33" t="str">
        <f t="shared" si="404"/>
        <v/>
      </c>
      <c r="MQF33" t="str">
        <f t="shared" si="404"/>
        <v/>
      </c>
      <c r="MQG33" t="str">
        <f t="shared" si="404"/>
        <v/>
      </c>
      <c r="MQH33" t="str">
        <f t="shared" si="404"/>
        <v/>
      </c>
      <c r="MQI33" t="str">
        <f t="shared" si="404"/>
        <v/>
      </c>
      <c r="MQJ33" t="str">
        <f t="shared" si="404"/>
        <v/>
      </c>
      <c r="MQK33" t="str">
        <f t="shared" si="404"/>
        <v/>
      </c>
      <c r="MQL33" t="str">
        <f t="shared" si="404"/>
        <v/>
      </c>
      <c r="MQM33" t="str">
        <f t="shared" si="404"/>
        <v/>
      </c>
      <c r="MQN33" t="str">
        <f t="shared" si="404"/>
        <v/>
      </c>
      <c r="MQO33" t="str">
        <f t="shared" si="404"/>
        <v/>
      </c>
      <c r="MQP33" t="str">
        <f t="shared" si="404"/>
        <v/>
      </c>
      <c r="MQQ33" t="str">
        <f t="shared" si="404"/>
        <v/>
      </c>
      <c r="MQR33" t="str">
        <f t="shared" si="404"/>
        <v/>
      </c>
      <c r="MQS33" t="str">
        <f t="shared" si="404"/>
        <v/>
      </c>
      <c r="MQT33" t="str">
        <f t="shared" si="404"/>
        <v/>
      </c>
      <c r="MQU33" t="str">
        <f t="shared" si="404"/>
        <v/>
      </c>
      <c r="MQV33" t="str">
        <f t="shared" si="404"/>
        <v/>
      </c>
      <c r="MQW33" t="str">
        <f t="shared" si="404"/>
        <v/>
      </c>
      <c r="MQX33" t="str">
        <f t="shared" si="404"/>
        <v/>
      </c>
      <c r="MQY33" t="str">
        <f t="shared" si="404"/>
        <v/>
      </c>
      <c r="MQZ33" t="str">
        <f t="shared" si="404"/>
        <v/>
      </c>
      <c r="MRA33" t="str">
        <f t="shared" si="404"/>
        <v/>
      </c>
      <c r="MRB33" t="str">
        <f t="shared" si="404"/>
        <v/>
      </c>
      <c r="MRC33" t="str">
        <f t="shared" si="404"/>
        <v/>
      </c>
      <c r="MRD33" t="str">
        <f t="shared" si="404"/>
        <v/>
      </c>
      <c r="MRE33" t="str">
        <f t="shared" si="404"/>
        <v/>
      </c>
      <c r="MRF33" t="str">
        <f t="shared" si="404"/>
        <v/>
      </c>
      <c r="MRG33" t="str">
        <f t="shared" si="404"/>
        <v/>
      </c>
      <c r="MRH33" t="str">
        <f t="shared" si="404"/>
        <v/>
      </c>
      <c r="MRI33" t="str">
        <f t="shared" si="404"/>
        <v/>
      </c>
      <c r="MRJ33" t="str">
        <f t="shared" si="404"/>
        <v/>
      </c>
      <c r="MRK33" t="str">
        <f t="shared" si="404"/>
        <v/>
      </c>
      <c r="MRL33" t="str">
        <f t="shared" si="404"/>
        <v/>
      </c>
      <c r="MRM33" t="str">
        <f t="shared" si="404"/>
        <v/>
      </c>
      <c r="MRN33" t="str">
        <f t="shared" si="404"/>
        <v/>
      </c>
      <c r="MRO33" t="str">
        <f t="shared" si="404"/>
        <v/>
      </c>
      <c r="MRP33" t="str">
        <f t="shared" si="404"/>
        <v/>
      </c>
      <c r="MRQ33" t="str">
        <f t="shared" si="404"/>
        <v/>
      </c>
      <c r="MRR33" t="str">
        <f t="shared" si="404"/>
        <v/>
      </c>
      <c r="MRS33" t="str">
        <f t="shared" si="404"/>
        <v/>
      </c>
      <c r="MRT33" t="str">
        <f t="shared" si="404"/>
        <v/>
      </c>
      <c r="MRU33" t="str">
        <f t="shared" si="404"/>
        <v/>
      </c>
      <c r="MRV33" t="str">
        <f t="shared" si="404"/>
        <v/>
      </c>
      <c r="MRW33" t="str">
        <f t="shared" si="404"/>
        <v/>
      </c>
      <c r="MRX33" t="str">
        <f t="shared" si="404"/>
        <v/>
      </c>
      <c r="MRY33" t="str">
        <f t="shared" si="404"/>
        <v/>
      </c>
      <c r="MRZ33" t="str">
        <f t="shared" si="404"/>
        <v/>
      </c>
      <c r="MSA33" t="str">
        <f t="shared" si="404"/>
        <v/>
      </c>
      <c r="MSB33" t="str">
        <f t="shared" si="404"/>
        <v/>
      </c>
      <c r="MSC33" t="str">
        <f t="shared" si="404"/>
        <v/>
      </c>
      <c r="MSD33" t="str">
        <f t="shared" si="404"/>
        <v/>
      </c>
      <c r="MSE33" t="str">
        <f t="shared" si="404"/>
        <v/>
      </c>
      <c r="MSF33" t="str">
        <f t="shared" si="404"/>
        <v/>
      </c>
      <c r="MSG33" t="str">
        <f t="shared" si="404"/>
        <v/>
      </c>
      <c r="MSH33" t="str">
        <f t="shared" si="404"/>
        <v/>
      </c>
      <c r="MSI33" t="str">
        <f t="shared" si="404"/>
        <v/>
      </c>
      <c r="MSJ33" t="str">
        <f t="shared" si="404"/>
        <v/>
      </c>
      <c r="MSK33" t="str">
        <f t="shared" ref="MSK33:MUV33" si="405">TRIM(MTB17)</f>
        <v/>
      </c>
      <c r="MSL33" t="str">
        <f t="shared" si="405"/>
        <v/>
      </c>
      <c r="MSM33" t="str">
        <f t="shared" si="405"/>
        <v/>
      </c>
      <c r="MSN33" t="str">
        <f t="shared" si="405"/>
        <v/>
      </c>
      <c r="MSO33" t="str">
        <f t="shared" si="405"/>
        <v/>
      </c>
      <c r="MSP33" t="str">
        <f t="shared" si="405"/>
        <v/>
      </c>
      <c r="MSQ33" t="str">
        <f t="shared" si="405"/>
        <v/>
      </c>
      <c r="MSR33" t="str">
        <f t="shared" si="405"/>
        <v/>
      </c>
      <c r="MSS33" t="str">
        <f t="shared" si="405"/>
        <v/>
      </c>
      <c r="MST33" t="str">
        <f t="shared" si="405"/>
        <v/>
      </c>
      <c r="MSU33" t="str">
        <f t="shared" si="405"/>
        <v/>
      </c>
      <c r="MSV33" t="str">
        <f t="shared" si="405"/>
        <v/>
      </c>
      <c r="MSW33" t="str">
        <f t="shared" si="405"/>
        <v/>
      </c>
      <c r="MSX33" t="str">
        <f t="shared" si="405"/>
        <v/>
      </c>
      <c r="MSY33" t="str">
        <f t="shared" si="405"/>
        <v/>
      </c>
      <c r="MSZ33" t="str">
        <f t="shared" si="405"/>
        <v/>
      </c>
      <c r="MTA33" t="str">
        <f t="shared" si="405"/>
        <v/>
      </c>
      <c r="MTB33" t="str">
        <f t="shared" si="405"/>
        <v/>
      </c>
      <c r="MTC33" t="str">
        <f t="shared" si="405"/>
        <v/>
      </c>
      <c r="MTD33" t="str">
        <f t="shared" si="405"/>
        <v/>
      </c>
      <c r="MTE33" t="str">
        <f t="shared" si="405"/>
        <v/>
      </c>
      <c r="MTF33" t="str">
        <f t="shared" si="405"/>
        <v/>
      </c>
      <c r="MTG33" t="str">
        <f t="shared" si="405"/>
        <v/>
      </c>
      <c r="MTH33" t="str">
        <f t="shared" si="405"/>
        <v/>
      </c>
      <c r="MTI33" t="str">
        <f t="shared" si="405"/>
        <v/>
      </c>
      <c r="MTJ33" t="str">
        <f t="shared" si="405"/>
        <v/>
      </c>
      <c r="MTK33" t="str">
        <f t="shared" si="405"/>
        <v/>
      </c>
      <c r="MTL33" t="str">
        <f t="shared" si="405"/>
        <v/>
      </c>
      <c r="MTM33" t="str">
        <f t="shared" si="405"/>
        <v/>
      </c>
      <c r="MTN33" t="str">
        <f t="shared" si="405"/>
        <v/>
      </c>
      <c r="MTO33" t="str">
        <f t="shared" si="405"/>
        <v/>
      </c>
      <c r="MTP33" t="str">
        <f t="shared" si="405"/>
        <v/>
      </c>
      <c r="MTQ33" t="str">
        <f t="shared" si="405"/>
        <v/>
      </c>
      <c r="MTR33" t="str">
        <f t="shared" si="405"/>
        <v/>
      </c>
      <c r="MTS33" t="str">
        <f t="shared" si="405"/>
        <v/>
      </c>
      <c r="MTT33" t="str">
        <f t="shared" si="405"/>
        <v/>
      </c>
      <c r="MTU33" t="str">
        <f t="shared" si="405"/>
        <v/>
      </c>
      <c r="MTV33" t="str">
        <f t="shared" si="405"/>
        <v/>
      </c>
      <c r="MTW33" t="str">
        <f t="shared" si="405"/>
        <v/>
      </c>
      <c r="MTX33" t="str">
        <f t="shared" si="405"/>
        <v/>
      </c>
      <c r="MTY33" t="str">
        <f t="shared" si="405"/>
        <v/>
      </c>
      <c r="MTZ33" t="str">
        <f t="shared" si="405"/>
        <v/>
      </c>
      <c r="MUA33" t="str">
        <f t="shared" si="405"/>
        <v/>
      </c>
      <c r="MUB33" t="str">
        <f t="shared" si="405"/>
        <v/>
      </c>
      <c r="MUC33" t="str">
        <f t="shared" si="405"/>
        <v/>
      </c>
      <c r="MUD33" t="str">
        <f t="shared" si="405"/>
        <v/>
      </c>
      <c r="MUE33" t="str">
        <f t="shared" si="405"/>
        <v/>
      </c>
      <c r="MUF33" t="str">
        <f t="shared" si="405"/>
        <v/>
      </c>
      <c r="MUG33" t="str">
        <f t="shared" si="405"/>
        <v/>
      </c>
      <c r="MUH33" t="str">
        <f t="shared" si="405"/>
        <v/>
      </c>
      <c r="MUI33" t="str">
        <f t="shared" si="405"/>
        <v/>
      </c>
      <c r="MUJ33" t="str">
        <f t="shared" si="405"/>
        <v/>
      </c>
      <c r="MUK33" t="str">
        <f t="shared" si="405"/>
        <v/>
      </c>
      <c r="MUL33" t="str">
        <f t="shared" si="405"/>
        <v/>
      </c>
      <c r="MUM33" t="str">
        <f t="shared" si="405"/>
        <v/>
      </c>
      <c r="MUN33" t="str">
        <f t="shared" si="405"/>
        <v/>
      </c>
      <c r="MUO33" t="str">
        <f t="shared" si="405"/>
        <v/>
      </c>
      <c r="MUP33" t="str">
        <f t="shared" si="405"/>
        <v/>
      </c>
      <c r="MUQ33" t="str">
        <f t="shared" si="405"/>
        <v/>
      </c>
      <c r="MUR33" t="str">
        <f t="shared" si="405"/>
        <v/>
      </c>
      <c r="MUS33" t="str">
        <f t="shared" si="405"/>
        <v/>
      </c>
      <c r="MUT33" t="str">
        <f t="shared" si="405"/>
        <v/>
      </c>
      <c r="MUU33" t="str">
        <f t="shared" si="405"/>
        <v/>
      </c>
      <c r="MUV33" t="str">
        <f t="shared" si="405"/>
        <v/>
      </c>
      <c r="MUW33" t="str">
        <f t="shared" ref="MUW33:MXH33" si="406">TRIM(MVN17)</f>
        <v/>
      </c>
      <c r="MUX33" t="str">
        <f t="shared" si="406"/>
        <v/>
      </c>
      <c r="MUY33" t="str">
        <f t="shared" si="406"/>
        <v/>
      </c>
      <c r="MUZ33" t="str">
        <f t="shared" si="406"/>
        <v/>
      </c>
      <c r="MVA33" t="str">
        <f t="shared" si="406"/>
        <v/>
      </c>
      <c r="MVB33" t="str">
        <f t="shared" si="406"/>
        <v/>
      </c>
      <c r="MVC33" t="str">
        <f t="shared" si="406"/>
        <v/>
      </c>
      <c r="MVD33" t="str">
        <f t="shared" si="406"/>
        <v/>
      </c>
      <c r="MVE33" t="str">
        <f t="shared" si="406"/>
        <v/>
      </c>
      <c r="MVF33" t="str">
        <f t="shared" si="406"/>
        <v/>
      </c>
      <c r="MVG33" t="str">
        <f t="shared" si="406"/>
        <v/>
      </c>
      <c r="MVH33" t="str">
        <f t="shared" si="406"/>
        <v/>
      </c>
      <c r="MVI33" t="str">
        <f t="shared" si="406"/>
        <v/>
      </c>
      <c r="MVJ33" t="str">
        <f t="shared" si="406"/>
        <v/>
      </c>
      <c r="MVK33" t="str">
        <f t="shared" si="406"/>
        <v/>
      </c>
      <c r="MVL33" t="str">
        <f t="shared" si="406"/>
        <v/>
      </c>
      <c r="MVM33" t="str">
        <f t="shared" si="406"/>
        <v/>
      </c>
      <c r="MVN33" t="str">
        <f t="shared" si="406"/>
        <v/>
      </c>
      <c r="MVO33" t="str">
        <f t="shared" si="406"/>
        <v/>
      </c>
      <c r="MVP33" t="str">
        <f t="shared" si="406"/>
        <v/>
      </c>
      <c r="MVQ33" t="str">
        <f t="shared" si="406"/>
        <v/>
      </c>
      <c r="MVR33" t="str">
        <f t="shared" si="406"/>
        <v/>
      </c>
      <c r="MVS33" t="str">
        <f t="shared" si="406"/>
        <v/>
      </c>
      <c r="MVT33" t="str">
        <f t="shared" si="406"/>
        <v/>
      </c>
      <c r="MVU33" t="str">
        <f t="shared" si="406"/>
        <v/>
      </c>
      <c r="MVV33" t="str">
        <f t="shared" si="406"/>
        <v/>
      </c>
      <c r="MVW33" t="str">
        <f t="shared" si="406"/>
        <v/>
      </c>
      <c r="MVX33" t="str">
        <f t="shared" si="406"/>
        <v/>
      </c>
      <c r="MVY33" t="str">
        <f t="shared" si="406"/>
        <v/>
      </c>
      <c r="MVZ33" t="str">
        <f t="shared" si="406"/>
        <v/>
      </c>
      <c r="MWA33" t="str">
        <f t="shared" si="406"/>
        <v/>
      </c>
      <c r="MWB33" t="str">
        <f t="shared" si="406"/>
        <v/>
      </c>
      <c r="MWC33" t="str">
        <f t="shared" si="406"/>
        <v/>
      </c>
      <c r="MWD33" t="str">
        <f t="shared" si="406"/>
        <v/>
      </c>
      <c r="MWE33" t="str">
        <f t="shared" si="406"/>
        <v/>
      </c>
      <c r="MWF33" t="str">
        <f t="shared" si="406"/>
        <v/>
      </c>
      <c r="MWG33" t="str">
        <f t="shared" si="406"/>
        <v/>
      </c>
      <c r="MWH33" t="str">
        <f t="shared" si="406"/>
        <v/>
      </c>
      <c r="MWI33" t="str">
        <f t="shared" si="406"/>
        <v/>
      </c>
      <c r="MWJ33" t="str">
        <f t="shared" si="406"/>
        <v/>
      </c>
      <c r="MWK33" t="str">
        <f t="shared" si="406"/>
        <v/>
      </c>
      <c r="MWL33" t="str">
        <f t="shared" si="406"/>
        <v/>
      </c>
      <c r="MWM33" t="str">
        <f t="shared" si="406"/>
        <v/>
      </c>
      <c r="MWN33" t="str">
        <f t="shared" si="406"/>
        <v/>
      </c>
      <c r="MWO33" t="str">
        <f t="shared" si="406"/>
        <v/>
      </c>
      <c r="MWP33" t="str">
        <f t="shared" si="406"/>
        <v/>
      </c>
      <c r="MWQ33" t="str">
        <f t="shared" si="406"/>
        <v/>
      </c>
      <c r="MWR33" t="str">
        <f t="shared" si="406"/>
        <v/>
      </c>
      <c r="MWS33" t="str">
        <f t="shared" si="406"/>
        <v/>
      </c>
      <c r="MWT33" t="str">
        <f t="shared" si="406"/>
        <v/>
      </c>
      <c r="MWU33" t="str">
        <f t="shared" si="406"/>
        <v/>
      </c>
      <c r="MWV33" t="str">
        <f t="shared" si="406"/>
        <v/>
      </c>
      <c r="MWW33" t="str">
        <f t="shared" si="406"/>
        <v/>
      </c>
      <c r="MWX33" t="str">
        <f t="shared" si="406"/>
        <v/>
      </c>
      <c r="MWY33" t="str">
        <f t="shared" si="406"/>
        <v/>
      </c>
      <c r="MWZ33" t="str">
        <f t="shared" si="406"/>
        <v/>
      </c>
      <c r="MXA33" t="str">
        <f t="shared" si="406"/>
        <v/>
      </c>
      <c r="MXB33" t="str">
        <f t="shared" si="406"/>
        <v/>
      </c>
      <c r="MXC33" t="str">
        <f t="shared" si="406"/>
        <v/>
      </c>
      <c r="MXD33" t="str">
        <f t="shared" si="406"/>
        <v/>
      </c>
      <c r="MXE33" t="str">
        <f t="shared" si="406"/>
        <v/>
      </c>
      <c r="MXF33" t="str">
        <f t="shared" si="406"/>
        <v/>
      </c>
      <c r="MXG33" t="str">
        <f t="shared" si="406"/>
        <v/>
      </c>
      <c r="MXH33" t="str">
        <f t="shared" si="406"/>
        <v/>
      </c>
      <c r="MXI33" t="str">
        <f t="shared" ref="MXI33:MZT33" si="407">TRIM(MXZ17)</f>
        <v/>
      </c>
      <c r="MXJ33" t="str">
        <f t="shared" si="407"/>
        <v/>
      </c>
      <c r="MXK33" t="str">
        <f t="shared" si="407"/>
        <v/>
      </c>
      <c r="MXL33" t="str">
        <f t="shared" si="407"/>
        <v/>
      </c>
      <c r="MXM33" t="str">
        <f t="shared" si="407"/>
        <v/>
      </c>
      <c r="MXN33" t="str">
        <f t="shared" si="407"/>
        <v/>
      </c>
      <c r="MXO33" t="str">
        <f t="shared" si="407"/>
        <v/>
      </c>
      <c r="MXP33" t="str">
        <f t="shared" si="407"/>
        <v/>
      </c>
      <c r="MXQ33" t="str">
        <f t="shared" si="407"/>
        <v/>
      </c>
      <c r="MXR33" t="str">
        <f t="shared" si="407"/>
        <v/>
      </c>
      <c r="MXS33" t="str">
        <f t="shared" si="407"/>
        <v/>
      </c>
      <c r="MXT33" t="str">
        <f t="shared" si="407"/>
        <v/>
      </c>
      <c r="MXU33" t="str">
        <f t="shared" si="407"/>
        <v/>
      </c>
      <c r="MXV33" t="str">
        <f t="shared" si="407"/>
        <v/>
      </c>
      <c r="MXW33" t="str">
        <f t="shared" si="407"/>
        <v/>
      </c>
      <c r="MXX33" t="str">
        <f t="shared" si="407"/>
        <v/>
      </c>
      <c r="MXY33" t="str">
        <f t="shared" si="407"/>
        <v/>
      </c>
      <c r="MXZ33" t="str">
        <f t="shared" si="407"/>
        <v/>
      </c>
      <c r="MYA33" t="str">
        <f t="shared" si="407"/>
        <v/>
      </c>
      <c r="MYB33" t="str">
        <f t="shared" si="407"/>
        <v/>
      </c>
      <c r="MYC33" t="str">
        <f t="shared" si="407"/>
        <v/>
      </c>
      <c r="MYD33" t="str">
        <f t="shared" si="407"/>
        <v/>
      </c>
      <c r="MYE33" t="str">
        <f t="shared" si="407"/>
        <v/>
      </c>
      <c r="MYF33" t="str">
        <f t="shared" si="407"/>
        <v/>
      </c>
      <c r="MYG33" t="str">
        <f t="shared" si="407"/>
        <v/>
      </c>
      <c r="MYH33" t="str">
        <f t="shared" si="407"/>
        <v/>
      </c>
      <c r="MYI33" t="str">
        <f t="shared" si="407"/>
        <v/>
      </c>
      <c r="MYJ33" t="str">
        <f t="shared" si="407"/>
        <v/>
      </c>
      <c r="MYK33" t="str">
        <f t="shared" si="407"/>
        <v/>
      </c>
      <c r="MYL33" t="str">
        <f t="shared" si="407"/>
        <v/>
      </c>
      <c r="MYM33" t="str">
        <f t="shared" si="407"/>
        <v/>
      </c>
      <c r="MYN33" t="str">
        <f t="shared" si="407"/>
        <v/>
      </c>
      <c r="MYO33" t="str">
        <f t="shared" si="407"/>
        <v/>
      </c>
      <c r="MYP33" t="str">
        <f t="shared" si="407"/>
        <v/>
      </c>
      <c r="MYQ33" t="str">
        <f t="shared" si="407"/>
        <v/>
      </c>
      <c r="MYR33" t="str">
        <f t="shared" si="407"/>
        <v/>
      </c>
      <c r="MYS33" t="str">
        <f t="shared" si="407"/>
        <v/>
      </c>
      <c r="MYT33" t="str">
        <f t="shared" si="407"/>
        <v/>
      </c>
      <c r="MYU33" t="str">
        <f t="shared" si="407"/>
        <v/>
      </c>
      <c r="MYV33" t="str">
        <f t="shared" si="407"/>
        <v/>
      </c>
      <c r="MYW33" t="str">
        <f t="shared" si="407"/>
        <v/>
      </c>
      <c r="MYX33" t="str">
        <f t="shared" si="407"/>
        <v/>
      </c>
      <c r="MYY33" t="str">
        <f t="shared" si="407"/>
        <v/>
      </c>
      <c r="MYZ33" t="str">
        <f t="shared" si="407"/>
        <v/>
      </c>
      <c r="MZA33" t="str">
        <f t="shared" si="407"/>
        <v/>
      </c>
      <c r="MZB33" t="str">
        <f t="shared" si="407"/>
        <v/>
      </c>
      <c r="MZC33" t="str">
        <f t="shared" si="407"/>
        <v/>
      </c>
      <c r="MZD33" t="str">
        <f t="shared" si="407"/>
        <v/>
      </c>
      <c r="MZE33" t="str">
        <f t="shared" si="407"/>
        <v/>
      </c>
      <c r="MZF33" t="str">
        <f t="shared" si="407"/>
        <v/>
      </c>
      <c r="MZG33" t="str">
        <f t="shared" si="407"/>
        <v/>
      </c>
      <c r="MZH33" t="str">
        <f t="shared" si="407"/>
        <v/>
      </c>
      <c r="MZI33" t="str">
        <f t="shared" si="407"/>
        <v/>
      </c>
      <c r="MZJ33" t="str">
        <f t="shared" si="407"/>
        <v/>
      </c>
      <c r="MZK33" t="str">
        <f t="shared" si="407"/>
        <v/>
      </c>
      <c r="MZL33" t="str">
        <f t="shared" si="407"/>
        <v/>
      </c>
      <c r="MZM33" t="str">
        <f t="shared" si="407"/>
        <v/>
      </c>
      <c r="MZN33" t="str">
        <f t="shared" si="407"/>
        <v/>
      </c>
      <c r="MZO33" t="str">
        <f t="shared" si="407"/>
        <v/>
      </c>
      <c r="MZP33" t="str">
        <f t="shared" si="407"/>
        <v/>
      </c>
      <c r="MZQ33" t="str">
        <f t="shared" si="407"/>
        <v/>
      </c>
      <c r="MZR33" t="str">
        <f t="shared" si="407"/>
        <v/>
      </c>
      <c r="MZS33" t="str">
        <f t="shared" si="407"/>
        <v/>
      </c>
      <c r="MZT33" t="str">
        <f t="shared" si="407"/>
        <v/>
      </c>
      <c r="MZU33" t="str">
        <f t="shared" ref="MZU33:NCF33" si="408">TRIM(NAL17)</f>
        <v/>
      </c>
      <c r="MZV33" t="str">
        <f t="shared" si="408"/>
        <v/>
      </c>
      <c r="MZW33" t="str">
        <f t="shared" si="408"/>
        <v/>
      </c>
      <c r="MZX33" t="str">
        <f t="shared" si="408"/>
        <v/>
      </c>
      <c r="MZY33" t="str">
        <f t="shared" si="408"/>
        <v/>
      </c>
      <c r="MZZ33" t="str">
        <f t="shared" si="408"/>
        <v/>
      </c>
      <c r="NAA33" t="str">
        <f t="shared" si="408"/>
        <v/>
      </c>
      <c r="NAB33" t="str">
        <f t="shared" si="408"/>
        <v/>
      </c>
      <c r="NAC33" t="str">
        <f t="shared" si="408"/>
        <v/>
      </c>
      <c r="NAD33" t="str">
        <f t="shared" si="408"/>
        <v/>
      </c>
      <c r="NAE33" t="str">
        <f t="shared" si="408"/>
        <v/>
      </c>
      <c r="NAF33" t="str">
        <f t="shared" si="408"/>
        <v/>
      </c>
      <c r="NAG33" t="str">
        <f t="shared" si="408"/>
        <v/>
      </c>
      <c r="NAH33" t="str">
        <f t="shared" si="408"/>
        <v/>
      </c>
      <c r="NAI33" t="str">
        <f t="shared" si="408"/>
        <v/>
      </c>
      <c r="NAJ33" t="str">
        <f t="shared" si="408"/>
        <v/>
      </c>
      <c r="NAK33" t="str">
        <f t="shared" si="408"/>
        <v/>
      </c>
      <c r="NAL33" t="str">
        <f t="shared" si="408"/>
        <v/>
      </c>
      <c r="NAM33" t="str">
        <f t="shared" si="408"/>
        <v/>
      </c>
      <c r="NAN33" t="str">
        <f t="shared" si="408"/>
        <v/>
      </c>
      <c r="NAO33" t="str">
        <f t="shared" si="408"/>
        <v/>
      </c>
      <c r="NAP33" t="str">
        <f t="shared" si="408"/>
        <v/>
      </c>
      <c r="NAQ33" t="str">
        <f t="shared" si="408"/>
        <v/>
      </c>
      <c r="NAR33" t="str">
        <f t="shared" si="408"/>
        <v/>
      </c>
      <c r="NAS33" t="str">
        <f t="shared" si="408"/>
        <v/>
      </c>
      <c r="NAT33" t="str">
        <f t="shared" si="408"/>
        <v/>
      </c>
      <c r="NAU33" t="str">
        <f t="shared" si="408"/>
        <v/>
      </c>
      <c r="NAV33" t="str">
        <f t="shared" si="408"/>
        <v/>
      </c>
      <c r="NAW33" t="str">
        <f t="shared" si="408"/>
        <v/>
      </c>
      <c r="NAX33" t="str">
        <f t="shared" si="408"/>
        <v/>
      </c>
      <c r="NAY33" t="str">
        <f t="shared" si="408"/>
        <v/>
      </c>
      <c r="NAZ33" t="str">
        <f t="shared" si="408"/>
        <v/>
      </c>
      <c r="NBA33" t="str">
        <f t="shared" si="408"/>
        <v/>
      </c>
      <c r="NBB33" t="str">
        <f t="shared" si="408"/>
        <v/>
      </c>
      <c r="NBC33" t="str">
        <f t="shared" si="408"/>
        <v/>
      </c>
      <c r="NBD33" t="str">
        <f t="shared" si="408"/>
        <v/>
      </c>
      <c r="NBE33" t="str">
        <f t="shared" si="408"/>
        <v/>
      </c>
      <c r="NBF33" t="str">
        <f t="shared" si="408"/>
        <v/>
      </c>
      <c r="NBG33" t="str">
        <f t="shared" si="408"/>
        <v/>
      </c>
      <c r="NBH33" t="str">
        <f t="shared" si="408"/>
        <v/>
      </c>
      <c r="NBI33" t="str">
        <f t="shared" si="408"/>
        <v/>
      </c>
      <c r="NBJ33" t="str">
        <f t="shared" si="408"/>
        <v/>
      </c>
      <c r="NBK33" t="str">
        <f t="shared" si="408"/>
        <v/>
      </c>
      <c r="NBL33" t="str">
        <f t="shared" si="408"/>
        <v/>
      </c>
      <c r="NBM33" t="str">
        <f t="shared" si="408"/>
        <v/>
      </c>
      <c r="NBN33" t="str">
        <f t="shared" si="408"/>
        <v/>
      </c>
      <c r="NBO33" t="str">
        <f t="shared" si="408"/>
        <v/>
      </c>
      <c r="NBP33" t="str">
        <f t="shared" si="408"/>
        <v/>
      </c>
      <c r="NBQ33" t="str">
        <f t="shared" si="408"/>
        <v/>
      </c>
      <c r="NBR33" t="str">
        <f t="shared" si="408"/>
        <v/>
      </c>
      <c r="NBS33" t="str">
        <f t="shared" si="408"/>
        <v/>
      </c>
      <c r="NBT33" t="str">
        <f t="shared" si="408"/>
        <v/>
      </c>
      <c r="NBU33" t="str">
        <f t="shared" si="408"/>
        <v/>
      </c>
      <c r="NBV33" t="str">
        <f t="shared" si="408"/>
        <v/>
      </c>
      <c r="NBW33" t="str">
        <f t="shared" si="408"/>
        <v/>
      </c>
      <c r="NBX33" t="str">
        <f t="shared" si="408"/>
        <v/>
      </c>
      <c r="NBY33" t="str">
        <f t="shared" si="408"/>
        <v/>
      </c>
      <c r="NBZ33" t="str">
        <f t="shared" si="408"/>
        <v/>
      </c>
      <c r="NCA33" t="str">
        <f t="shared" si="408"/>
        <v/>
      </c>
      <c r="NCB33" t="str">
        <f t="shared" si="408"/>
        <v/>
      </c>
      <c r="NCC33" t="str">
        <f t="shared" si="408"/>
        <v/>
      </c>
      <c r="NCD33" t="str">
        <f t="shared" si="408"/>
        <v/>
      </c>
      <c r="NCE33" t="str">
        <f t="shared" si="408"/>
        <v/>
      </c>
      <c r="NCF33" t="str">
        <f t="shared" si="408"/>
        <v/>
      </c>
      <c r="NCG33" t="str">
        <f t="shared" ref="NCG33:NER33" si="409">TRIM(NCX17)</f>
        <v/>
      </c>
      <c r="NCH33" t="str">
        <f t="shared" si="409"/>
        <v/>
      </c>
      <c r="NCI33" t="str">
        <f t="shared" si="409"/>
        <v/>
      </c>
      <c r="NCJ33" t="str">
        <f t="shared" si="409"/>
        <v/>
      </c>
      <c r="NCK33" t="str">
        <f t="shared" si="409"/>
        <v/>
      </c>
      <c r="NCL33" t="str">
        <f t="shared" si="409"/>
        <v/>
      </c>
      <c r="NCM33" t="str">
        <f t="shared" si="409"/>
        <v/>
      </c>
      <c r="NCN33" t="str">
        <f t="shared" si="409"/>
        <v/>
      </c>
      <c r="NCO33" t="str">
        <f t="shared" si="409"/>
        <v/>
      </c>
      <c r="NCP33" t="str">
        <f t="shared" si="409"/>
        <v/>
      </c>
      <c r="NCQ33" t="str">
        <f t="shared" si="409"/>
        <v/>
      </c>
      <c r="NCR33" t="str">
        <f t="shared" si="409"/>
        <v/>
      </c>
      <c r="NCS33" t="str">
        <f t="shared" si="409"/>
        <v/>
      </c>
      <c r="NCT33" t="str">
        <f t="shared" si="409"/>
        <v/>
      </c>
      <c r="NCU33" t="str">
        <f t="shared" si="409"/>
        <v/>
      </c>
      <c r="NCV33" t="str">
        <f t="shared" si="409"/>
        <v/>
      </c>
      <c r="NCW33" t="str">
        <f t="shared" si="409"/>
        <v/>
      </c>
      <c r="NCX33" t="str">
        <f t="shared" si="409"/>
        <v/>
      </c>
      <c r="NCY33" t="str">
        <f t="shared" si="409"/>
        <v/>
      </c>
      <c r="NCZ33" t="str">
        <f t="shared" si="409"/>
        <v/>
      </c>
      <c r="NDA33" t="str">
        <f t="shared" si="409"/>
        <v/>
      </c>
      <c r="NDB33" t="str">
        <f t="shared" si="409"/>
        <v/>
      </c>
      <c r="NDC33" t="str">
        <f t="shared" si="409"/>
        <v/>
      </c>
      <c r="NDD33" t="str">
        <f t="shared" si="409"/>
        <v/>
      </c>
      <c r="NDE33" t="str">
        <f t="shared" si="409"/>
        <v/>
      </c>
      <c r="NDF33" t="str">
        <f t="shared" si="409"/>
        <v/>
      </c>
      <c r="NDG33" t="str">
        <f t="shared" si="409"/>
        <v/>
      </c>
      <c r="NDH33" t="str">
        <f t="shared" si="409"/>
        <v/>
      </c>
      <c r="NDI33" t="str">
        <f t="shared" si="409"/>
        <v/>
      </c>
      <c r="NDJ33" t="str">
        <f t="shared" si="409"/>
        <v/>
      </c>
      <c r="NDK33" t="str">
        <f t="shared" si="409"/>
        <v/>
      </c>
      <c r="NDL33" t="str">
        <f t="shared" si="409"/>
        <v/>
      </c>
      <c r="NDM33" t="str">
        <f t="shared" si="409"/>
        <v/>
      </c>
      <c r="NDN33" t="str">
        <f t="shared" si="409"/>
        <v/>
      </c>
      <c r="NDO33" t="str">
        <f t="shared" si="409"/>
        <v/>
      </c>
      <c r="NDP33" t="str">
        <f t="shared" si="409"/>
        <v/>
      </c>
      <c r="NDQ33" t="str">
        <f t="shared" si="409"/>
        <v/>
      </c>
      <c r="NDR33" t="str">
        <f t="shared" si="409"/>
        <v/>
      </c>
      <c r="NDS33" t="str">
        <f t="shared" si="409"/>
        <v/>
      </c>
      <c r="NDT33" t="str">
        <f t="shared" si="409"/>
        <v/>
      </c>
      <c r="NDU33" t="str">
        <f t="shared" si="409"/>
        <v/>
      </c>
      <c r="NDV33" t="str">
        <f t="shared" si="409"/>
        <v/>
      </c>
      <c r="NDW33" t="str">
        <f t="shared" si="409"/>
        <v/>
      </c>
      <c r="NDX33" t="str">
        <f t="shared" si="409"/>
        <v/>
      </c>
      <c r="NDY33" t="str">
        <f t="shared" si="409"/>
        <v/>
      </c>
      <c r="NDZ33" t="str">
        <f t="shared" si="409"/>
        <v/>
      </c>
      <c r="NEA33" t="str">
        <f t="shared" si="409"/>
        <v/>
      </c>
      <c r="NEB33" t="str">
        <f t="shared" si="409"/>
        <v/>
      </c>
      <c r="NEC33" t="str">
        <f t="shared" si="409"/>
        <v/>
      </c>
      <c r="NED33" t="str">
        <f t="shared" si="409"/>
        <v/>
      </c>
      <c r="NEE33" t="str">
        <f t="shared" si="409"/>
        <v/>
      </c>
      <c r="NEF33" t="str">
        <f t="shared" si="409"/>
        <v/>
      </c>
      <c r="NEG33" t="str">
        <f t="shared" si="409"/>
        <v/>
      </c>
      <c r="NEH33" t="str">
        <f t="shared" si="409"/>
        <v/>
      </c>
      <c r="NEI33" t="str">
        <f t="shared" si="409"/>
        <v/>
      </c>
      <c r="NEJ33" t="str">
        <f t="shared" si="409"/>
        <v/>
      </c>
      <c r="NEK33" t="str">
        <f t="shared" si="409"/>
        <v/>
      </c>
      <c r="NEL33" t="str">
        <f t="shared" si="409"/>
        <v/>
      </c>
      <c r="NEM33" t="str">
        <f t="shared" si="409"/>
        <v/>
      </c>
      <c r="NEN33" t="str">
        <f t="shared" si="409"/>
        <v/>
      </c>
      <c r="NEO33" t="str">
        <f t="shared" si="409"/>
        <v/>
      </c>
      <c r="NEP33" t="str">
        <f t="shared" si="409"/>
        <v/>
      </c>
      <c r="NEQ33" t="str">
        <f t="shared" si="409"/>
        <v/>
      </c>
      <c r="NER33" t="str">
        <f t="shared" si="409"/>
        <v/>
      </c>
      <c r="NES33" t="str">
        <f t="shared" ref="NES33:NHD33" si="410">TRIM(NFJ17)</f>
        <v/>
      </c>
      <c r="NET33" t="str">
        <f t="shared" si="410"/>
        <v/>
      </c>
      <c r="NEU33" t="str">
        <f t="shared" si="410"/>
        <v/>
      </c>
      <c r="NEV33" t="str">
        <f t="shared" si="410"/>
        <v/>
      </c>
      <c r="NEW33" t="str">
        <f t="shared" si="410"/>
        <v/>
      </c>
      <c r="NEX33" t="str">
        <f t="shared" si="410"/>
        <v/>
      </c>
      <c r="NEY33" t="str">
        <f t="shared" si="410"/>
        <v/>
      </c>
      <c r="NEZ33" t="str">
        <f t="shared" si="410"/>
        <v/>
      </c>
      <c r="NFA33" t="str">
        <f t="shared" si="410"/>
        <v/>
      </c>
      <c r="NFB33" t="str">
        <f t="shared" si="410"/>
        <v/>
      </c>
      <c r="NFC33" t="str">
        <f t="shared" si="410"/>
        <v/>
      </c>
      <c r="NFD33" t="str">
        <f t="shared" si="410"/>
        <v/>
      </c>
      <c r="NFE33" t="str">
        <f t="shared" si="410"/>
        <v/>
      </c>
      <c r="NFF33" t="str">
        <f t="shared" si="410"/>
        <v/>
      </c>
      <c r="NFG33" t="str">
        <f t="shared" si="410"/>
        <v/>
      </c>
      <c r="NFH33" t="str">
        <f t="shared" si="410"/>
        <v/>
      </c>
      <c r="NFI33" t="str">
        <f t="shared" si="410"/>
        <v/>
      </c>
      <c r="NFJ33" t="str">
        <f t="shared" si="410"/>
        <v/>
      </c>
      <c r="NFK33" t="str">
        <f t="shared" si="410"/>
        <v/>
      </c>
      <c r="NFL33" t="str">
        <f t="shared" si="410"/>
        <v/>
      </c>
      <c r="NFM33" t="str">
        <f t="shared" si="410"/>
        <v/>
      </c>
      <c r="NFN33" t="str">
        <f t="shared" si="410"/>
        <v/>
      </c>
      <c r="NFO33" t="str">
        <f t="shared" si="410"/>
        <v/>
      </c>
      <c r="NFP33" t="str">
        <f t="shared" si="410"/>
        <v/>
      </c>
      <c r="NFQ33" t="str">
        <f t="shared" si="410"/>
        <v/>
      </c>
      <c r="NFR33" t="str">
        <f t="shared" si="410"/>
        <v/>
      </c>
      <c r="NFS33" t="str">
        <f t="shared" si="410"/>
        <v/>
      </c>
      <c r="NFT33" t="str">
        <f t="shared" si="410"/>
        <v/>
      </c>
      <c r="NFU33" t="str">
        <f t="shared" si="410"/>
        <v/>
      </c>
      <c r="NFV33" t="str">
        <f t="shared" si="410"/>
        <v/>
      </c>
      <c r="NFW33" t="str">
        <f t="shared" si="410"/>
        <v/>
      </c>
      <c r="NFX33" t="str">
        <f t="shared" si="410"/>
        <v/>
      </c>
      <c r="NFY33" t="str">
        <f t="shared" si="410"/>
        <v/>
      </c>
      <c r="NFZ33" t="str">
        <f t="shared" si="410"/>
        <v/>
      </c>
      <c r="NGA33" t="str">
        <f t="shared" si="410"/>
        <v/>
      </c>
      <c r="NGB33" t="str">
        <f t="shared" si="410"/>
        <v/>
      </c>
      <c r="NGC33" t="str">
        <f t="shared" si="410"/>
        <v/>
      </c>
      <c r="NGD33" t="str">
        <f t="shared" si="410"/>
        <v/>
      </c>
      <c r="NGE33" t="str">
        <f t="shared" si="410"/>
        <v/>
      </c>
      <c r="NGF33" t="str">
        <f t="shared" si="410"/>
        <v/>
      </c>
      <c r="NGG33" t="str">
        <f t="shared" si="410"/>
        <v/>
      </c>
      <c r="NGH33" t="str">
        <f t="shared" si="410"/>
        <v/>
      </c>
      <c r="NGI33" t="str">
        <f t="shared" si="410"/>
        <v/>
      </c>
      <c r="NGJ33" t="str">
        <f t="shared" si="410"/>
        <v/>
      </c>
      <c r="NGK33" t="str">
        <f t="shared" si="410"/>
        <v/>
      </c>
      <c r="NGL33" t="str">
        <f t="shared" si="410"/>
        <v/>
      </c>
      <c r="NGM33" t="str">
        <f t="shared" si="410"/>
        <v/>
      </c>
      <c r="NGN33" t="str">
        <f t="shared" si="410"/>
        <v/>
      </c>
      <c r="NGO33" t="str">
        <f t="shared" si="410"/>
        <v/>
      </c>
      <c r="NGP33" t="str">
        <f t="shared" si="410"/>
        <v/>
      </c>
      <c r="NGQ33" t="str">
        <f t="shared" si="410"/>
        <v/>
      </c>
      <c r="NGR33" t="str">
        <f t="shared" si="410"/>
        <v/>
      </c>
      <c r="NGS33" t="str">
        <f t="shared" si="410"/>
        <v/>
      </c>
      <c r="NGT33" t="str">
        <f t="shared" si="410"/>
        <v/>
      </c>
      <c r="NGU33" t="str">
        <f t="shared" si="410"/>
        <v/>
      </c>
      <c r="NGV33" t="str">
        <f t="shared" si="410"/>
        <v/>
      </c>
      <c r="NGW33" t="str">
        <f t="shared" si="410"/>
        <v/>
      </c>
      <c r="NGX33" t="str">
        <f t="shared" si="410"/>
        <v/>
      </c>
      <c r="NGY33" t="str">
        <f t="shared" si="410"/>
        <v/>
      </c>
      <c r="NGZ33" t="str">
        <f t="shared" si="410"/>
        <v/>
      </c>
      <c r="NHA33" t="str">
        <f t="shared" si="410"/>
        <v/>
      </c>
      <c r="NHB33" t="str">
        <f t="shared" si="410"/>
        <v/>
      </c>
      <c r="NHC33" t="str">
        <f t="shared" si="410"/>
        <v/>
      </c>
      <c r="NHD33" t="str">
        <f t="shared" si="410"/>
        <v/>
      </c>
      <c r="NHE33" t="str">
        <f t="shared" ref="NHE33:NJP33" si="411">TRIM(NHV17)</f>
        <v/>
      </c>
      <c r="NHF33" t="str">
        <f t="shared" si="411"/>
        <v/>
      </c>
      <c r="NHG33" t="str">
        <f t="shared" si="411"/>
        <v/>
      </c>
      <c r="NHH33" t="str">
        <f t="shared" si="411"/>
        <v/>
      </c>
      <c r="NHI33" t="str">
        <f t="shared" si="411"/>
        <v/>
      </c>
      <c r="NHJ33" t="str">
        <f t="shared" si="411"/>
        <v/>
      </c>
      <c r="NHK33" t="str">
        <f t="shared" si="411"/>
        <v/>
      </c>
      <c r="NHL33" t="str">
        <f t="shared" si="411"/>
        <v/>
      </c>
      <c r="NHM33" t="str">
        <f t="shared" si="411"/>
        <v/>
      </c>
      <c r="NHN33" t="str">
        <f t="shared" si="411"/>
        <v/>
      </c>
      <c r="NHO33" t="str">
        <f t="shared" si="411"/>
        <v/>
      </c>
      <c r="NHP33" t="str">
        <f t="shared" si="411"/>
        <v/>
      </c>
      <c r="NHQ33" t="str">
        <f t="shared" si="411"/>
        <v/>
      </c>
      <c r="NHR33" t="str">
        <f t="shared" si="411"/>
        <v/>
      </c>
      <c r="NHS33" t="str">
        <f t="shared" si="411"/>
        <v/>
      </c>
      <c r="NHT33" t="str">
        <f t="shared" si="411"/>
        <v/>
      </c>
      <c r="NHU33" t="str">
        <f t="shared" si="411"/>
        <v/>
      </c>
      <c r="NHV33" t="str">
        <f t="shared" si="411"/>
        <v/>
      </c>
      <c r="NHW33" t="str">
        <f t="shared" si="411"/>
        <v/>
      </c>
      <c r="NHX33" t="str">
        <f t="shared" si="411"/>
        <v/>
      </c>
      <c r="NHY33" t="str">
        <f t="shared" si="411"/>
        <v/>
      </c>
      <c r="NHZ33" t="str">
        <f t="shared" si="411"/>
        <v/>
      </c>
      <c r="NIA33" t="str">
        <f t="shared" si="411"/>
        <v/>
      </c>
      <c r="NIB33" t="str">
        <f t="shared" si="411"/>
        <v/>
      </c>
      <c r="NIC33" t="str">
        <f t="shared" si="411"/>
        <v/>
      </c>
      <c r="NID33" t="str">
        <f t="shared" si="411"/>
        <v/>
      </c>
      <c r="NIE33" t="str">
        <f t="shared" si="411"/>
        <v/>
      </c>
      <c r="NIF33" t="str">
        <f t="shared" si="411"/>
        <v/>
      </c>
      <c r="NIG33" t="str">
        <f t="shared" si="411"/>
        <v/>
      </c>
      <c r="NIH33" t="str">
        <f t="shared" si="411"/>
        <v/>
      </c>
      <c r="NII33" t="str">
        <f t="shared" si="411"/>
        <v/>
      </c>
      <c r="NIJ33" t="str">
        <f t="shared" si="411"/>
        <v/>
      </c>
      <c r="NIK33" t="str">
        <f t="shared" si="411"/>
        <v/>
      </c>
      <c r="NIL33" t="str">
        <f t="shared" si="411"/>
        <v/>
      </c>
      <c r="NIM33" t="str">
        <f t="shared" si="411"/>
        <v/>
      </c>
      <c r="NIN33" t="str">
        <f t="shared" si="411"/>
        <v/>
      </c>
      <c r="NIO33" t="str">
        <f t="shared" si="411"/>
        <v/>
      </c>
      <c r="NIP33" t="str">
        <f t="shared" si="411"/>
        <v/>
      </c>
      <c r="NIQ33" t="str">
        <f t="shared" si="411"/>
        <v/>
      </c>
      <c r="NIR33" t="str">
        <f t="shared" si="411"/>
        <v/>
      </c>
      <c r="NIS33" t="str">
        <f t="shared" si="411"/>
        <v/>
      </c>
      <c r="NIT33" t="str">
        <f t="shared" si="411"/>
        <v/>
      </c>
      <c r="NIU33" t="str">
        <f t="shared" si="411"/>
        <v/>
      </c>
      <c r="NIV33" t="str">
        <f t="shared" si="411"/>
        <v/>
      </c>
      <c r="NIW33" t="str">
        <f t="shared" si="411"/>
        <v/>
      </c>
      <c r="NIX33" t="str">
        <f t="shared" si="411"/>
        <v/>
      </c>
      <c r="NIY33" t="str">
        <f t="shared" si="411"/>
        <v/>
      </c>
      <c r="NIZ33" t="str">
        <f t="shared" si="411"/>
        <v/>
      </c>
      <c r="NJA33" t="str">
        <f t="shared" si="411"/>
        <v/>
      </c>
      <c r="NJB33" t="str">
        <f t="shared" si="411"/>
        <v/>
      </c>
      <c r="NJC33" t="str">
        <f t="shared" si="411"/>
        <v/>
      </c>
      <c r="NJD33" t="str">
        <f t="shared" si="411"/>
        <v/>
      </c>
      <c r="NJE33" t="str">
        <f t="shared" si="411"/>
        <v/>
      </c>
      <c r="NJF33" t="str">
        <f t="shared" si="411"/>
        <v/>
      </c>
      <c r="NJG33" t="str">
        <f t="shared" si="411"/>
        <v/>
      </c>
      <c r="NJH33" t="str">
        <f t="shared" si="411"/>
        <v/>
      </c>
      <c r="NJI33" t="str">
        <f t="shared" si="411"/>
        <v/>
      </c>
      <c r="NJJ33" t="str">
        <f t="shared" si="411"/>
        <v/>
      </c>
      <c r="NJK33" t="str">
        <f t="shared" si="411"/>
        <v/>
      </c>
      <c r="NJL33" t="str">
        <f t="shared" si="411"/>
        <v/>
      </c>
      <c r="NJM33" t="str">
        <f t="shared" si="411"/>
        <v/>
      </c>
      <c r="NJN33" t="str">
        <f t="shared" si="411"/>
        <v/>
      </c>
      <c r="NJO33" t="str">
        <f t="shared" si="411"/>
        <v/>
      </c>
      <c r="NJP33" t="str">
        <f t="shared" si="411"/>
        <v/>
      </c>
      <c r="NJQ33" t="str">
        <f t="shared" ref="NJQ33:NMB33" si="412">TRIM(NKH17)</f>
        <v/>
      </c>
      <c r="NJR33" t="str">
        <f t="shared" si="412"/>
        <v/>
      </c>
      <c r="NJS33" t="str">
        <f t="shared" si="412"/>
        <v/>
      </c>
      <c r="NJT33" t="str">
        <f t="shared" si="412"/>
        <v/>
      </c>
      <c r="NJU33" t="str">
        <f t="shared" si="412"/>
        <v/>
      </c>
      <c r="NJV33" t="str">
        <f t="shared" si="412"/>
        <v/>
      </c>
      <c r="NJW33" t="str">
        <f t="shared" si="412"/>
        <v/>
      </c>
      <c r="NJX33" t="str">
        <f t="shared" si="412"/>
        <v/>
      </c>
      <c r="NJY33" t="str">
        <f t="shared" si="412"/>
        <v/>
      </c>
      <c r="NJZ33" t="str">
        <f t="shared" si="412"/>
        <v/>
      </c>
      <c r="NKA33" t="str">
        <f t="shared" si="412"/>
        <v/>
      </c>
      <c r="NKB33" t="str">
        <f t="shared" si="412"/>
        <v/>
      </c>
      <c r="NKC33" t="str">
        <f t="shared" si="412"/>
        <v/>
      </c>
      <c r="NKD33" t="str">
        <f t="shared" si="412"/>
        <v/>
      </c>
      <c r="NKE33" t="str">
        <f t="shared" si="412"/>
        <v/>
      </c>
      <c r="NKF33" t="str">
        <f t="shared" si="412"/>
        <v/>
      </c>
      <c r="NKG33" t="str">
        <f t="shared" si="412"/>
        <v/>
      </c>
      <c r="NKH33" t="str">
        <f t="shared" si="412"/>
        <v/>
      </c>
      <c r="NKI33" t="str">
        <f t="shared" si="412"/>
        <v/>
      </c>
      <c r="NKJ33" t="str">
        <f t="shared" si="412"/>
        <v/>
      </c>
      <c r="NKK33" t="str">
        <f t="shared" si="412"/>
        <v/>
      </c>
      <c r="NKL33" t="str">
        <f t="shared" si="412"/>
        <v/>
      </c>
      <c r="NKM33" t="str">
        <f t="shared" si="412"/>
        <v/>
      </c>
      <c r="NKN33" t="str">
        <f t="shared" si="412"/>
        <v/>
      </c>
      <c r="NKO33" t="str">
        <f t="shared" si="412"/>
        <v/>
      </c>
      <c r="NKP33" t="str">
        <f t="shared" si="412"/>
        <v/>
      </c>
      <c r="NKQ33" t="str">
        <f t="shared" si="412"/>
        <v/>
      </c>
      <c r="NKR33" t="str">
        <f t="shared" si="412"/>
        <v/>
      </c>
      <c r="NKS33" t="str">
        <f t="shared" si="412"/>
        <v/>
      </c>
      <c r="NKT33" t="str">
        <f t="shared" si="412"/>
        <v/>
      </c>
      <c r="NKU33" t="str">
        <f t="shared" si="412"/>
        <v/>
      </c>
      <c r="NKV33" t="str">
        <f t="shared" si="412"/>
        <v/>
      </c>
      <c r="NKW33" t="str">
        <f t="shared" si="412"/>
        <v/>
      </c>
      <c r="NKX33" t="str">
        <f t="shared" si="412"/>
        <v/>
      </c>
      <c r="NKY33" t="str">
        <f t="shared" si="412"/>
        <v/>
      </c>
      <c r="NKZ33" t="str">
        <f t="shared" si="412"/>
        <v/>
      </c>
      <c r="NLA33" t="str">
        <f t="shared" si="412"/>
        <v/>
      </c>
      <c r="NLB33" t="str">
        <f t="shared" si="412"/>
        <v/>
      </c>
      <c r="NLC33" t="str">
        <f t="shared" si="412"/>
        <v/>
      </c>
      <c r="NLD33" t="str">
        <f t="shared" si="412"/>
        <v/>
      </c>
      <c r="NLE33" t="str">
        <f t="shared" si="412"/>
        <v/>
      </c>
      <c r="NLF33" t="str">
        <f t="shared" si="412"/>
        <v/>
      </c>
      <c r="NLG33" t="str">
        <f t="shared" si="412"/>
        <v/>
      </c>
      <c r="NLH33" t="str">
        <f t="shared" si="412"/>
        <v/>
      </c>
      <c r="NLI33" t="str">
        <f t="shared" si="412"/>
        <v/>
      </c>
      <c r="NLJ33" t="str">
        <f t="shared" si="412"/>
        <v/>
      </c>
      <c r="NLK33" t="str">
        <f t="shared" si="412"/>
        <v/>
      </c>
      <c r="NLL33" t="str">
        <f t="shared" si="412"/>
        <v/>
      </c>
      <c r="NLM33" t="str">
        <f t="shared" si="412"/>
        <v/>
      </c>
      <c r="NLN33" t="str">
        <f t="shared" si="412"/>
        <v/>
      </c>
      <c r="NLO33" t="str">
        <f t="shared" si="412"/>
        <v/>
      </c>
      <c r="NLP33" t="str">
        <f t="shared" si="412"/>
        <v/>
      </c>
      <c r="NLQ33" t="str">
        <f t="shared" si="412"/>
        <v/>
      </c>
      <c r="NLR33" t="str">
        <f t="shared" si="412"/>
        <v/>
      </c>
      <c r="NLS33" t="str">
        <f t="shared" si="412"/>
        <v/>
      </c>
      <c r="NLT33" t="str">
        <f t="shared" si="412"/>
        <v/>
      </c>
      <c r="NLU33" t="str">
        <f t="shared" si="412"/>
        <v/>
      </c>
      <c r="NLV33" t="str">
        <f t="shared" si="412"/>
        <v/>
      </c>
      <c r="NLW33" t="str">
        <f t="shared" si="412"/>
        <v/>
      </c>
      <c r="NLX33" t="str">
        <f t="shared" si="412"/>
        <v/>
      </c>
      <c r="NLY33" t="str">
        <f t="shared" si="412"/>
        <v/>
      </c>
      <c r="NLZ33" t="str">
        <f t="shared" si="412"/>
        <v/>
      </c>
      <c r="NMA33" t="str">
        <f t="shared" si="412"/>
        <v/>
      </c>
      <c r="NMB33" t="str">
        <f t="shared" si="412"/>
        <v/>
      </c>
      <c r="NMC33" t="str">
        <f t="shared" ref="NMC33:NON33" si="413">TRIM(NMT17)</f>
        <v/>
      </c>
      <c r="NMD33" t="str">
        <f t="shared" si="413"/>
        <v/>
      </c>
      <c r="NME33" t="str">
        <f t="shared" si="413"/>
        <v/>
      </c>
      <c r="NMF33" t="str">
        <f t="shared" si="413"/>
        <v/>
      </c>
      <c r="NMG33" t="str">
        <f t="shared" si="413"/>
        <v/>
      </c>
      <c r="NMH33" t="str">
        <f t="shared" si="413"/>
        <v/>
      </c>
      <c r="NMI33" t="str">
        <f t="shared" si="413"/>
        <v/>
      </c>
      <c r="NMJ33" t="str">
        <f t="shared" si="413"/>
        <v/>
      </c>
      <c r="NMK33" t="str">
        <f t="shared" si="413"/>
        <v/>
      </c>
      <c r="NML33" t="str">
        <f t="shared" si="413"/>
        <v/>
      </c>
      <c r="NMM33" t="str">
        <f t="shared" si="413"/>
        <v/>
      </c>
      <c r="NMN33" t="str">
        <f t="shared" si="413"/>
        <v/>
      </c>
      <c r="NMO33" t="str">
        <f t="shared" si="413"/>
        <v/>
      </c>
      <c r="NMP33" t="str">
        <f t="shared" si="413"/>
        <v/>
      </c>
      <c r="NMQ33" t="str">
        <f t="shared" si="413"/>
        <v/>
      </c>
      <c r="NMR33" t="str">
        <f t="shared" si="413"/>
        <v/>
      </c>
      <c r="NMS33" t="str">
        <f t="shared" si="413"/>
        <v/>
      </c>
      <c r="NMT33" t="str">
        <f t="shared" si="413"/>
        <v/>
      </c>
      <c r="NMU33" t="str">
        <f t="shared" si="413"/>
        <v/>
      </c>
      <c r="NMV33" t="str">
        <f t="shared" si="413"/>
        <v/>
      </c>
      <c r="NMW33" t="str">
        <f t="shared" si="413"/>
        <v/>
      </c>
      <c r="NMX33" t="str">
        <f t="shared" si="413"/>
        <v/>
      </c>
      <c r="NMY33" t="str">
        <f t="shared" si="413"/>
        <v/>
      </c>
      <c r="NMZ33" t="str">
        <f t="shared" si="413"/>
        <v/>
      </c>
      <c r="NNA33" t="str">
        <f t="shared" si="413"/>
        <v/>
      </c>
      <c r="NNB33" t="str">
        <f t="shared" si="413"/>
        <v/>
      </c>
      <c r="NNC33" t="str">
        <f t="shared" si="413"/>
        <v/>
      </c>
      <c r="NND33" t="str">
        <f t="shared" si="413"/>
        <v/>
      </c>
      <c r="NNE33" t="str">
        <f t="shared" si="413"/>
        <v/>
      </c>
      <c r="NNF33" t="str">
        <f t="shared" si="413"/>
        <v/>
      </c>
      <c r="NNG33" t="str">
        <f t="shared" si="413"/>
        <v/>
      </c>
      <c r="NNH33" t="str">
        <f t="shared" si="413"/>
        <v/>
      </c>
      <c r="NNI33" t="str">
        <f t="shared" si="413"/>
        <v/>
      </c>
      <c r="NNJ33" t="str">
        <f t="shared" si="413"/>
        <v/>
      </c>
      <c r="NNK33" t="str">
        <f t="shared" si="413"/>
        <v/>
      </c>
      <c r="NNL33" t="str">
        <f t="shared" si="413"/>
        <v/>
      </c>
      <c r="NNM33" t="str">
        <f t="shared" si="413"/>
        <v/>
      </c>
      <c r="NNN33" t="str">
        <f t="shared" si="413"/>
        <v/>
      </c>
      <c r="NNO33" t="str">
        <f t="shared" si="413"/>
        <v/>
      </c>
      <c r="NNP33" t="str">
        <f t="shared" si="413"/>
        <v/>
      </c>
      <c r="NNQ33" t="str">
        <f t="shared" si="413"/>
        <v/>
      </c>
      <c r="NNR33" t="str">
        <f t="shared" si="413"/>
        <v/>
      </c>
      <c r="NNS33" t="str">
        <f t="shared" si="413"/>
        <v/>
      </c>
      <c r="NNT33" t="str">
        <f t="shared" si="413"/>
        <v/>
      </c>
      <c r="NNU33" t="str">
        <f t="shared" si="413"/>
        <v/>
      </c>
      <c r="NNV33" t="str">
        <f t="shared" si="413"/>
        <v/>
      </c>
      <c r="NNW33" t="str">
        <f t="shared" si="413"/>
        <v/>
      </c>
      <c r="NNX33" t="str">
        <f t="shared" si="413"/>
        <v/>
      </c>
      <c r="NNY33" t="str">
        <f t="shared" si="413"/>
        <v/>
      </c>
      <c r="NNZ33" t="str">
        <f t="shared" si="413"/>
        <v/>
      </c>
      <c r="NOA33" t="str">
        <f t="shared" si="413"/>
        <v/>
      </c>
      <c r="NOB33" t="str">
        <f t="shared" si="413"/>
        <v/>
      </c>
      <c r="NOC33" t="str">
        <f t="shared" si="413"/>
        <v/>
      </c>
      <c r="NOD33" t="str">
        <f t="shared" si="413"/>
        <v/>
      </c>
      <c r="NOE33" t="str">
        <f t="shared" si="413"/>
        <v/>
      </c>
      <c r="NOF33" t="str">
        <f t="shared" si="413"/>
        <v/>
      </c>
      <c r="NOG33" t="str">
        <f t="shared" si="413"/>
        <v/>
      </c>
      <c r="NOH33" t="str">
        <f t="shared" si="413"/>
        <v/>
      </c>
      <c r="NOI33" t="str">
        <f t="shared" si="413"/>
        <v/>
      </c>
      <c r="NOJ33" t="str">
        <f t="shared" si="413"/>
        <v/>
      </c>
      <c r="NOK33" t="str">
        <f t="shared" si="413"/>
        <v/>
      </c>
      <c r="NOL33" t="str">
        <f t="shared" si="413"/>
        <v/>
      </c>
      <c r="NOM33" t="str">
        <f t="shared" si="413"/>
        <v/>
      </c>
      <c r="NON33" t="str">
        <f t="shared" si="413"/>
        <v/>
      </c>
      <c r="NOO33" t="str">
        <f t="shared" ref="NOO33:NQZ33" si="414">TRIM(NPF17)</f>
        <v/>
      </c>
      <c r="NOP33" t="str">
        <f t="shared" si="414"/>
        <v/>
      </c>
      <c r="NOQ33" t="str">
        <f t="shared" si="414"/>
        <v/>
      </c>
      <c r="NOR33" t="str">
        <f t="shared" si="414"/>
        <v/>
      </c>
      <c r="NOS33" t="str">
        <f t="shared" si="414"/>
        <v/>
      </c>
      <c r="NOT33" t="str">
        <f t="shared" si="414"/>
        <v/>
      </c>
      <c r="NOU33" t="str">
        <f t="shared" si="414"/>
        <v/>
      </c>
      <c r="NOV33" t="str">
        <f t="shared" si="414"/>
        <v/>
      </c>
      <c r="NOW33" t="str">
        <f t="shared" si="414"/>
        <v/>
      </c>
      <c r="NOX33" t="str">
        <f t="shared" si="414"/>
        <v/>
      </c>
      <c r="NOY33" t="str">
        <f t="shared" si="414"/>
        <v/>
      </c>
      <c r="NOZ33" t="str">
        <f t="shared" si="414"/>
        <v/>
      </c>
      <c r="NPA33" t="str">
        <f t="shared" si="414"/>
        <v/>
      </c>
      <c r="NPB33" t="str">
        <f t="shared" si="414"/>
        <v/>
      </c>
      <c r="NPC33" t="str">
        <f t="shared" si="414"/>
        <v/>
      </c>
      <c r="NPD33" t="str">
        <f t="shared" si="414"/>
        <v/>
      </c>
      <c r="NPE33" t="str">
        <f t="shared" si="414"/>
        <v/>
      </c>
      <c r="NPF33" t="str">
        <f t="shared" si="414"/>
        <v/>
      </c>
      <c r="NPG33" t="str">
        <f t="shared" si="414"/>
        <v/>
      </c>
      <c r="NPH33" t="str">
        <f t="shared" si="414"/>
        <v/>
      </c>
      <c r="NPI33" t="str">
        <f t="shared" si="414"/>
        <v/>
      </c>
      <c r="NPJ33" t="str">
        <f t="shared" si="414"/>
        <v/>
      </c>
      <c r="NPK33" t="str">
        <f t="shared" si="414"/>
        <v/>
      </c>
      <c r="NPL33" t="str">
        <f t="shared" si="414"/>
        <v/>
      </c>
      <c r="NPM33" t="str">
        <f t="shared" si="414"/>
        <v/>
      </c>
      <c r="NPN33" t="str">
        <f t="shared" si="414"/>
        <v/>
      </c>
      <c r="NPO33" t="str">
        <f t="shared" si="414"/>
        <v/>
      </c>
      <c r="NPP33" t="str">
        <f t="shared" si="414"/>
        <v/>
      </c>
      <c r="NPQ33" t="str">
        <f t="shared" si="414"/>
        <v/>
      </c>
      <c r="NPR33" t="str">
        <f t="shared" si="414"/>
        <v/>
      </c>
      <c r="NPS33" t="str">
        <f t="shared" si="414"/>
        <v/>
      </c>
      <c r="NPT33" t="str">
        <f t="shared" si="414"/>
        <v/>
      </c>
      <c r="NPU33" t="str">
        <f t="shared" si="414"/>
        <v/>
      </c>
      <c r="NPV33" t="str">
        <f t="shared" si="414"/>
        <v/>
      </c>
      <c r="NPW33" t="str">
        <f t="shared" si="414"/>
        <v/>
      </c>
      <c r="NPX33" t="str">
        <f t="shared" si="414"/>
        <v/>
      </c>
      <c r="NPY33" t="str">
        <f t="shared" si="414"/>
        <v/>
      </c>
      <c r="NPZ33" t="str">
        <f t="shared" si="414"/>
        <v/>
      </c>
      <c r="NQA33" t="str">
        <f t="shared" si="414"/>
        <v/>
      </c>
      <c r="NQB33" t="str">
        <f t="shared" si="414"/>
        <v/>
      </c>
      <c r="NQC33" t="str">
        <f t="shared" si="414"/>
        <v/>
      </c>
      <c r="NQD33" t="str">
        <f t="shared" si="414"/>
        <v/>
      </c>
      <c r="NQE33" t="str">
        <f t="shared" si="414"/>
        <v/>
      </c>
      <c r="NQF33" t="str">
        <f t="shared" si="414"/>
        <v/>
      </c>
      <c r="NQG33" t="str">
        <f t="shared" si="414"/>
        <v/>
      </c>
      <c r="NQH33" t="str">
        <f t="shared" si="414"/>
        <v/>
      </c>
      <c r="NQI33" t="str">
        <f t="shared" si="414"/>
        <v/>
      </c>
      <c r="NQJ33" t="str">
        <f t="shared" si="414"/>
        <v/>
      </c>
      <c r="NQK33" t="str">
        <f t="shared" si="414"/>
        <v/>
      </c>
      <c r="NQL33" t="str">
        <f t="shared" si="414"/>
        <v/>
      </c>
      <c r="NQM33" t="str">
        <f t="shared" si="414"/>
        <v/>
      </c>
      <c r="NQN33" t="str">
        <f t="shared" si="414"/>
        <v/>
      </c>
      <c r="NQO33" t="str">
        <f t="shared" si="414"/>
        <v/>
      </c>
      <c r="NQP33" t="str">
        <f t="shared" si="414"/>
        <v/>
      </c>
      <c r="NQQ33" t="str">
        <f t="shared" si="414"/>
        <v/>
      </c>
      <c r="NQR33" t="str">
        <f t="shared" si="414"/>
        <v/>
      </c>
      <c r="NQS33" t="str">
        <f t="shared" si="414"/>
        <v/>
      </c>
      <c r="NQT33" t="str">
        <f t="shared" si="414"/>
        <v/>
      </c>
      <c r="NQU33" t="str">
        <f t="shared" si="414"/>
        <v/>
      </c>
      <c r="NQV33" t="str">
        <f t="shared" si="414"/>
        <v/>
      </c>
      <c r="NQW33" t="str">
        <f t="shared" si="414"/>
        <v/>
      </c>
      <c r="NQX33" t="str">
        <f t="shared" si="414"/>
        <v/>
      </c>
      <c r="NQY33" t="str">
        <f t="shared" si="414"/>
        <v/>
      </c>
      <c r="NQZ33" t="str">
        <f t="shared" si="414"/>
        <v/>
      </c>
      <c r="NRA33" t="str">
        <f t="shared" ref="NRA33:NTL33" si="415">TRIM(NRR17)</f>
        <v/>
      </c>
      <c r="NRB33" t="str">
        <f t="shared" si="415"/>
        <v/>
      </c>
      <c r="NRC33" t="str">
        <f t="shared" si="415"/>
        <v/>
      </c>
      <c r="NRD33" t="str">
        <f t="shared" si="415"/>
        <v/>
      </c>
      <c r="NRE33" t="str">
        <f t="shared" si="415"/>
        <v/>
      </c>
      <c r="NRF33" t="str">
        <f t="shared" si="415"/>
        <v/>
      </c>
      <c r="NRG33" t="str">
        <f t="shared" si="415"/>
        <v/>
      </c>
      <c r="NRH33" t="str">
        <f t="shared" si="415"/>
        <v/>
      </c>
      <c r="NRI33" t="str">
        <f t="shared" si="415"/>
        <v/>
      </c>
      <c r="NRJ33" t="str">
        <f t="shared" si="415"/>
        <v/>
      </c>
      <c r="NRK33" t="str">
        <f t="shared" si="415"/>
        <v/>
      </c>
      <c r="NRL33" t="str">
        <f t="shared" si="415"/>
        <v/>
      </c>
      <c r="NRM33" t="str">
        <f t="shared" si="415"/>
        <v/>
      </c>
      <c r="NRN33" t="str">
        <f t="shared" si="415"/>
        <v/>
      </c>
      <c r="NRO33" t="str">
        <f t="shared" si="415"/>
        <v/>
      </c>
      <c r="NRP33" t="str">
        <f t="shared" si="415"/>
        <v/>
      </c>
      <c r="NRQ33" t="str">
        <f t="shared" si="415"/>
        <v/>
      </c>
      <c r="NRR33" t="str">
        <f t="shared" si="415"/>
        <v/>
      </c>
      <c r="NRS33" t="str">
        <f t="shared" si="415"/>
        <v/>
      </c>
      <c r="NRT33" t="str">
        <f t="shared" si="415"/>
        <v/>
      </c>
      <c r="NRU33" t="str">
        <f t="shared" si="415"/>
        <v/>
      </c>
      <c r="NRV33" t="str">
        <f t="shared" si="415"/>
        <v/>
      </c>
      <c r="NRW33" t="str">
        <f t="shared" si="415"/>
        <v/>
      </c>
      <c r="NRX33" t="str">
        <f t="shared" si="415"/>
        <v/>
      </c>
      <c r="NRY33" t="str">
        <f t="shared" si="415"/>
        <v/>
      </c>
      <c r="NRZ33" t="str">
        <f t="shared" si="415"/>
        <v/>
      </c>
      <c r="NSA33" t="str">
        <f t="shared" si="415"/>
        <v/>
      </c>
      <c r="NSB33" t="str">
        <f t="shared" si="415"/>
        <v/>
      </c>
      <c r="NSC33" t="str">
        <f t="shared" si="415"/>
        <v/>
      </c>
      <c r="NSD33" t="str">
        <f t="shared" si="415"/>
        <v/>
      </c>
      <c r="NSE33" t="str">
        <f t="shared" si="415"/>
        <v/>
      </c>
      <c r="NSF33" t="str">
        <f t="shared" si="415"/>
        <v/>
      </c>
      <c r="NSG33" t="str">
        <f t="shared" si="415"/>
        <v/>
      </c>
      <c r="NSH33" t="str">
        <f t="shared" si="415"/>
        <v/>
      </c>
      <c r="NSI33" t="str">
        <f t="shared" si="415"/>
        <v/>
      </c>
      <c r="NSJ33" t="str">
        <f t="shared" si="415"/>
        <v/>
      </c>
      <c r="NSK33" t="str">
        <f t="shared" si="415"/>
        <v/>
      </c>
      <c r="NSL33" t="str">
        <f t="shared" si="415"/>
        <v/>
      </c>
      <c r="NSM33" t="str">
        <f t="shared" si="415"/>
        <v/>
      </c>
      <c r="NSN33" t="str">
        <f t="shared" si="415"/>
        <v/>
      </c>
      <c r="NSO33" t="str">
        <f t="shared" si="415"/>
        <v/>
      </c>
      <c r="NSP33" t="str">
        <f t="shared" si="415"/>
        <v/>
      </c>
      <c r="NSQ33" t="str">
        <f t="shared" si="415"/>
        <v/>
      </c>
      <c r="NSR33" t="str">
        <f t="shared" si="415"/>
        <v/>
      </c>
      <c r="NSS33" t="str">
        <f t="shared" si="415"/>
        <v/>
      </c>
      <c r="NST33" t="str">
        <f t="shared" si="415"/>
        <v/>
      </c>
      <c r="NSU33" t="str">
        <f t="shared" si="415"/>
        <v/>
      </c>
      <c r="NSV33" t="str">
        <f t="shared" si="415"/>
        <v/>
      </c>
      <c r="NSW33" t="str">
        <f t="shared" si="415"/>
        <v/>
      </c>
      <c r="NSX33" t="str">
        <f t="shared" si="415"/>
        <v/>
      </c>
      <c r="NSY33" t="str">
        <f t="shared" si="415"/>
        <v/>
      </c>
      <c r="NSZ33" t="str">
        <f t="shared" si="415"/>
        <v/>
      </c>
      <c r="NTA33" t="str">
        <f t="shared" si="415"/>
        <v/>
      </c>
      <c r="NTB33" t="str">
        <f t="shared" si="415"/>
        <v/>
      </c>
      <c r="NTC33" t="str">
        <f t="shared" si="415"/>
        <v/>
      </c>
      <c r="NTD33" t="str">
        <f t="shared" si="415"/>
        <v/>
      </c>
      <c r="NTE33" t="str">
        <f t="shared" si="415"/>
        <v/>
      </c>
      <c r="NTF33" t="str">
        <f t="shared" si="415"/>
        <v/>
      </c>
      <c r="NTG33" t="str">
        <f t="shared" si="415"/>
        <v/>
      </c>
      <c r="NTH33" t="str">
        <f t="shared" si="415"/>
        <v/>
      </c>
      <c r="NTI33" t="str">
        <f t="shared" si="415"/>
        <v/>
      </c>
      <c r="NTJ33" t="str">
        <f t="shared" si="415"/>
        <v/>
      </c>
      <c r="NTK33" t="str">
        <f t="shared" si="415"/>
        <v/>
      </c>
      <c r="NTL33" t="str">
        <f t="shared" si="415"/>
        <v/>
      </c>
      <c r="NTM33" t="str">
        <f t="shared" ref="NTM33:NVX33" si="416">TRIM(NUD17)</f>
        <v/>
      </c>
      <c r="NTN33" t="str">
        <f t="shared" si="416"/>
        <v/>
      </c>
      <c r="NTO33" t="str">
        <f t="shared" si="416"/>
        <v/>
      </c>
      <c r="NTP33" t="str">
        <f t="shared" si="416"/>
        <v/>
      </c>
      <c r="NTQ33" t="str">
        <f t="shared" si="416"/>
        <v/>
      </c>
      <c r="NTR33" t="str">
        <f t="shared" si="416"/>
        <v/>
      </c>
      <c r="NTS33" t="str">
        <f t="shared" si="416"/>
        <v/>
      </c>
      <c r="NTT33" t="str">
        <f t="shared" si="416"/>
        <v/>
      </c>
      <c r="NTU33" t="str">
        <f t="shared" si="416"/>
        <v/>
      </c>
      <c r="NTV33" t="str">
        <f t="shared" si="416"/>
        <v/>
      </c>
      <c r="NTW33" t="str">
        <f t="shared" si="416"/>
        <v/>
      </c>
      <c r="NTX33" t="str">
        <f t="shared" si="416"/>
        <v/>
      </c>
      <c r="NTY33" t="str">
        <f t="shared" si="416"/>
        <v/>
      </c>
      <c r="NTZ33" t="str">
        <f t="shared" si="416"/>
        <v/>
      </c>
      <c r="NUA33" t="str">
        <f t="shared" si="416"/>
        <v/>
      </c>
      <c r="NUB33" t="str">
        <f t="shared" si="416"/>
        <v/>
      </c>
      <c r="NUC33" t="str">
        <f t="shared" si="416"/>
        <v/>
      </c>
      <c r="NUD33" t="str">
        <f t="shared" si="416"/>
        <v/>
      </c>
      <c r="NUE33" t="str">
        <f t="shared" si="416"/>
        <v/>
      </c>
      <c r="NUF33" t="str">
        <f t="shared" si="416"/>
        <v/>
      </c>
      <c r="NUG33" t="str">
        <f t="shared" si="416"/>
        <v/>
      </c>
      <c r="NUH33" t="str">
        <f t="shared" si="416"/>
        <v/>
      </c>
      <c r="NUI33" t="str">
        <f t="shared" si="416"/>
        <v/>
      </c>
      <c r="NUJ33" t="str">
        <f t="shared" si="416"/>
        <v/>
      </c>
      <c r="NUK33" t="str">
        <f t="shared" si="416"/>
        <v/>
      </c>
      <c r="NUL33" t="str">
        <f t="shared" si="416"/>
        <v/>
      </c>
      <c r="NUM33" t="str">
        <f t="shared" si="416"/>
        <v/>
      </c>
      <c r="NUN33" t="str">
        <f t="shared" si="416"/>
        <v/>
      </c>
      <c r="NUO33" t="str">
        <f t="shared" si="416"/>
        <v/>
      </c>
      <c r="NUP33" t="str">
        <f t="shared" si="416"/>
        <v/>
      </c>
      <c r="NUQ33" t="str">
        <f t="shared" si="416"/>
        <v/>
      </c>
      <c r="NUR33" t="str">
        <f t="shared" si="416"/>
        <v/>
      </c>
      <c r="NUS33" t="str">
        <f t="shared" si="416"/>
        <v/>
      </c>
      <c r="NUT33" t="str">
        <f t="shared" si="416"/>
        <v/>
      </c>
      <c r="NUU33" t="str">
        <f t="shared" si="416"/>
        <v/>
      </c>
      <c r="NUV33" t="str">
        <f t="shared" si="416"/>
        <v/>
      </c>
      <c r="NUW33" t="str">
        <f t="shared" si="416"/>
        <v/>
      </c>
      <c r="NUX33" t="str">
        <f t="shared" si="416"/>
        <v/>
      </c>
      <c r="NUY33" t="str">
        <f t="shared" si="416"/>
        <v/>
      </c>
      <c r="NUZ33" t="str">
        <f t="shared" si="416"/>
        <v/>
      </c>
      <c r="NVA33" t="str">
        <f t="shared" si="416"/>
        <v/>
      </c>
      <c r="NVB33" t="str">
        <f t="shared" si="416"/>
        <v/>
      </c>
      <c r="NVC33" t="str">
        <f t="shared" si="416"/>
        <v/>
      </c>
      <c r="NVD33" t="str">
        <f t="shared" si="416"/>
        <v/>
      </c>
      <c r="NVE33" t="str">
        <f t="shared" si="416"/>
        <v/>
      </c>
      <c r="NVF33" t="str">
        <f t="shared" si="416"/>
        <v/>
      </c>
      <c r="NVG33" t="str">
        <f t="shared" si="416"/>
        <v/>
      </c>
      <c r="NVH33" t="str">
        <f t="shared" si="416"/>
        <v/>
      </c>
      <c r="NVI33" t="str">
        <f t="shared" si="416"/>
        <v/>
      </c>
      <c r="NVJ33" t="str">
        <f t="shared" si="416"/>
        <v/>
      </c>
      <c r="NVK33" t="str">
        <f t="shared" si="416"/>
        <v/>
      </c>
      <c r="NVL33" t="str">
        <f t="shared" si="416"/>
        <v/>
      </c>
      <c r="NVM33" t="str">
        <f t="shared" si="416"/>
        <v/>
      </c>
      <c r="NVN33" t="str">
        <f t="shared" si="416"/>
        <v/>
      </c>
      <c r="NVO33" t="str">
        <f t="shared" si="416"/>
        <v/>
      </c>
      <c r="NVP33" t="str">
        <f t="shared" si="416"/>
        <v/>
      </c>
      <c r="NVQ33" t="str">
        <f t="shared" si="416"/>
        <v/>
      </c>
      <c r="NVR33" t="str">
        <f t="shared" si="416"/>
        <v/>
      </c>
      <c r="NVS33" t="str">
        <f t="shared" si="416"/>
        <v/>
      </c>
      <c r="NVT33" t="str">
        <f t="shared" si="416"/>
        <v/>
      </c>
      <c r="NVU33" t="str">
        <f t="shared" si="416"/>
        <v/>
      </c>
      <c r="NVV33" t="str">
        <f t="shared" si="416"/>
        <v/>
      </c>
      <c r="NVW33" t="str">
        <f t="shared" si="416"/>
        <v/>
      </c>
      <c r="NVX33" t="str">
        <f t="shared" si="416"/>
        <v/>
      </c>
      <c r="NVY33" t="str">
        <f t="shared" ref="NVY33:NYJ33" si="417">TRIM(NWP17)</f>
        <v/>
      </c>
      <c r="NVZ33" t="str">
        <f t="shared" si="417"/>
        <v/>
      </c>
      <c r="NWA33" t="str">
        <f t="shared" si="417"/>
        <v/>
      </c>
      <c r="NWB33" t="str">
        <f t="shared" si="417"/>
        <v/>
      </c>
      <c r="NWC33" t="str">
        <f t="shared" si="417"/>
        <v/>
      </c>
      <c r="NWD33" t="str">
        <f t="shared" si="417"/>
        <v/>
      </c>
      <c r="NWE33" t="str">
        <f t="shared" si="417"/>
        <v/>
      </c>
      <c r="NWF33" t="str">
        <f t="shared" si="417"/>
        <v/>
      </c>
      <c r="NWG33" t="str">
        <f t="shared" si="417"/>
        <v/>
      </c>
      <c r="NWH33" t="str">
        <f t="shared" si="417"/>
        <v/>
      </c>
      <c r="NWI33" t="str">
        <f t="shared" si="417"/>
        <v/>
      </c>
      <c r="NWJ33" t="str">
        <f t="shared" si="417"/>
        <v/>
      </c>
      <c r="NWK33" t="str">
        <f t="shared" si="417"/>
        <v/>
      </c>
      <c r="NWL33" t="str">
        <f t="shared" si="417"/>
        <v/>
      </c>
      <c r="NWM33" t="str">
        <f t="shared" si="417"/>
        <v/>
      </c>
      <c r="NWN33" t="str">
        <f t="shared" si="417"/>
        <v/>
      </c>
      <c r="NWO33" t="str">
        <f t="shared" si="417"/>
        <v/>
      </c>
      <c r="NWP33" t="str">
        <f t="shared" si="417"/>
        <v/>
      </c>
      <c r="NWQ33" t="str">
        <f t="shared" si="417"/>
        <v/>
      </c>
      <c r="NWR33" t="str">
        <f t="shared" si="417"/>
        <v/>
      </c>
      <c r="NWS33" t="str">
        <f t="shared" si="417"/>
        <v/>
      </c>
      <c r="NWT33" t="str">
        <f t="shared" si="417"/>
        <v/>
      </c>
      <c r="NWU33" t="str">
        <f t="shared" si="417"/>
        <v/>
      </c>
      <c r="NWV33" t="str">
        <f t="shared" si="417"/>
        <v/>
      </c>
      <c r="NWW33" t="str">
        <f t="shared" si="417"/>
        <v/>
      </c>
      <c r="NWX33" t="str">
        <f t="shared" si="417"/>
        <v/>
      </c>
      <c r="NWY33" t="str">
        <f t="shared" si="417"/>
        <v/>
      </c>
      <c r="NWZ33" t="str">
        <f t="shared" si="417"/>
        <v/>
      </c>
      <c r="NXA33" t="str">
        <f t="shared" si="417"/>
        <v/>
      </c>
      <c r="NXB33" t="str">
        <f t="shared" si="417"/>
        <v/>
      </c>
      <c r="NXC33" t="str">
        <f t="shared" si="417"/>
        <v/>
      </c>
      <c r="NXD33" t="str">
        <f t="shared" si="417"/>
        <v/>
      </c>
      <c r="NXE33" t="str">
        <f t="shared" si="417"/>
        <v/>
      </c>
      <c r="NXF33" t="str">
        <f t="shared" si="417"/>
        <v/>
      </c>
      <c r="NXG33" t="str">
        <f t="shared" si="417"/>
        <v/>
      </c>
      <c r="NXH33" t="str">
        <f t="shared" si="417"/>
        <v/>
      </c>
      <c r="NXI33" t="str">
        <f t="shared" si="417"/>
        <v/>
      </c>
      <c r="NXJ33" t="str">
        <f t="shared" si="417"/>
        <v/>
      </c>
      <c r="NXK33" t="str">
        <f t="shared" si="417"/>
        <v/>
      </c>
      <c r="NXL33" t="str">
        <f t="shared" si="417"/>
        <v/>
      </c>
      <c r="NXM33" t="str">
        <f t="shared" si="417"/>
        <v/>
      </c>
      <c r="NXN33" t="str">
        <f t="shared" si="417"/>
        <v/>
      </c>
      <c r="NXO33" t="str">
        <f t="shared" si="417"/>
        <v/>
      </c>
      <c r="NXP33" t="str">
        <f t="shared" si="417"/>
        <v/>
      </c>
      <c r="NXQ33" t="str">
        <f t="shared" si="417"/>
        <v/>
      </c>
      <c r="NXR33" t="str">
        <f t="shared" si="417"/>
        <v/>
      </c>
      <c r="NXS33" t="str">
        <f t="shared" si="417"/>
        <v/>
      </c>
      <c r="NXT33" t="str">
        <f t="shared" si="417"/>
        <v/>
      </c>
      <c r="NXU33" t="str">
        <f t="shared" si="417"/>
        <v/>
      </c>
      <c r="NXV33" t="str">
        <f t="shared" si="417"/>
        <v/>
      </c>
      <c r="NXW33" t="str">
        <f t="shared" si="417"/>
        <v/>
      </c>
      <c r="NXX33" t="str">
        <f t="shared" si="417"/>
        <v/>
      </c>
      <c r="NXY33" t="str">
        <f t="shared" si="417"/>
        <v/>
      </c>
      <c r="NXZ33" t="str">
        <f t="shared" si="417"/>
        <v/>
      </c>
      <c r="NYA33" t="str">
        <f t="shared" si="417"/>
        <v/>
      </c>
      <c r="NYB33" t="str">
        <f t="shared" si="417"/>
        <v/>
      </c>
      <c r="NYC33" t="str">
        <f t="shared" si="417"/>
        <v/>
      </c>
      <c r="NYD33" t="str">
        <f t="shared" si="417"/>
        <v/>
      </c>
      <c r="NYE33" t="str">
        <f t="shared" si="417"/>
        <v/>
      </c>
      <c r="NYF33" t="str">
        <f t="shared" si="417"/>
        <v/>
      </c>
      <c r="NYG33" t="str">
        <f t="shared" si="417"/>
        <v/>
      </c>
      <c r="NYH33" t="str">
        <f t="shared" si="417"/>
        <v/>
      </c>
      <c r="NYI33" t="str">
        <f t="shared" si="417"/>
        <v/>
      </c>
      <c r="NYJ33" t="str">
        <f t="shared" si="417"/>
        <v/>
      </c>
      <c r="NYK33" t="str">
        <f t="shared" ref="NYK33:OAV33" si="418">TRIM(NZB17)</f>
        <v/>
      </c>
      <c r="NYL33" t="str">
        <f t="shared" si="418"/>
        <v/>
      </c>
      <c r="NYM33" t="str">
        <f t="shared" si="418"/>
        <v/>
      </c>
      <c r="NYN33" t="str">
        <f t="shared" si="418"/>
        <v/>
      </c>
      <c r="NYO33" t="str">
        <f t="shared" si="418"/>
        <v/>
      </c>
      <c r="NYP33" t="str">
        <f t="shared" si="418"/>
        <v/>
      </c>
      <c r="NYQ33" t="str">
        <f t="shared" si="418"/>
        <v/>
      </c>
      <c r="NYR33" t="str">
        <f t="shared" si="418"/>
        <v/>
      </c>
      <c r="NYS33" t="str">
        <f t="shared" si="418"/>
        <v/>
      </c>
      <c r="NYT33" t="str">
        <f t="shared" si="418"/>
        <v/>
      </c>
      <c r="NYU33" t="str">
        <f t="shared" si="418"/>
        <v/>
      </c>
      <c r="NYV33" t="str">
        <f t="shared" si="418"/>
        <v/>
      </c>
      <c r="NYW33" t="str">
        <f t="shared" si="418"/>
        <v/>
      </c>
      <c r="NYX33" t="str">
        <f t="shared" si="418"/>
        <v/>
      </c>
      <c r="NYY33" t="str">
        <f t="shared" si="418"/>
        <v/>
      </c>
      <c r="NYZ33" t="str">
        <f t="shared" si="418"/>
        <v/>
      </c>
      <c r="NZA33" t="str">
        <f t="shared" si="418"/>
        <v/>
      </c>
      <c r="NZB33" t="str">
        <f t="shared" si="418"/>
        <v/>
      </c>
      <c r="NZC33" t="str">
        <f t="shared" si="418"/>
        <v/>
      </c>
      <c r="NZD33" t="str">
        <f t="shared" si="418"/>
        <v/>
      </c>
      <c r="NZE33" t="str">
        <f t="shared" si="418"/>
        <v/>
      </c>
      <c r="NZF33" t="str">
        <f t="shared" si="418"/>
        <v/>
      </c>
      <c r="NZG33" t="str">
        <f t="shared" si="418"/>
        <v/>
      </c>
      <c r="NZH33" t="str">
        <f t="shared" si="418"/>
        <v/>
      </c>
      <c r="NZI33" t="str">
        <f t="shared" si="418"/>
        <v/>
      </c>
      <c r="NZJ33" t="str">
        <f t="shared" si="418"/>
        <v/>
      </c>
      <c r="NZK33" t="str">
        <f t="shared" si="418"/>
        <v/>
      </c>
      <c r="NZL33" t="str">
        <f t="shared" si="418"/>
        <v/>
      </c>
      <c r="NZM33" t="str">
        <f t="shared" si="418"/>
        <v/>
      </c>
      <c r="NZN33" t="str">
        <f t="shared" si="418"/>
        <v/>
      </c>
      <c r="NZO33" t="str">
        <f t="shared" si="418"/>
        <v/>
      </c>
      <c r="NZP33" t="str">
        <f t="shared" si="418"/>
        <v/>
      </c>
      <c r="NZQ33" t="str">
        <f t="shared" si="418"/>
        <v/>
      </c>
      <c r="NZR33" t="str">
        <f t="shared" si="418"/>
        <v/>
      </c>
      <c r="NZS33" t="str">
        <f t="shared" si="418"/>
        <v/>
      </c>
      <c r="NZT33" t="str">
        <f t="shared" si="418"/>
        <v/>
      </c>
      <c r="NZU33" t="str">
        <f t="shared" si="418"/>
        <v/>
      </c>
      <c r="NZV33" t="str">
        <f t="shared" si="418"/>
        <v/>
      </c>
      <c r="NZW33" t="str">
        <f t="shared" si="418"/>
        <v/>
      </c>
      <c r="NZX33" t="str">
        <f t="shared" si="418"/>
        <v/>
      </c>
      <c r="NZY33" t="str">
        <f t="shared" si="418"/>
        <v/>
      </c>
      <c r="NZZ33" t="str">
        <f t="shared" si="418"/>
        <v/>
      </c>
      <c r="OAA33" t="str">
        <f t="shared" si="418"/>
        <v/>
      </c>
      <c r="OAB33" t="str">
        <f t="shared" si="418"/>
        <v/>
      </c>
      <c r="OAC33" t="str">
        <f t="shared" si="418"/>
        <v/>
      </c>
      <c r="OAD33" t="str">
        <f t="shared" si="418"/>
        <v/>
      </c>
      <c r="OAE33" t="str">
        <f t="shared" si="418"/>
        <v/>
      </c>
      <c r="OAF33" t="str">
        <f t="shared" si="418"/>
        <v/>
      </c>
      <c r="OAG33" t="str">
        <f t="shared" si="418"/>
        <v/>
      </c>
      <c r="OAH33" t="str">
        <f t="shared" si="418"/>
        <v/>
      </c>
      <c r="OAI33" t="str">
        <f t="shared" si="418"/>
        <v/>
      </c>
      <c r="OAJ33" t="str">
        <f t="shared" si="418"/>
        <v/>
      </c>
      <c r="OAK33" t="str">
        <f t="shared" si="418"/>
        <v/>
      </c>
      <c r="OAL33" t="str">
        <f t="shared" si="418"/>
        <v/>
      </c>
      <c r="OAM33" t="str">
        <f t="shared" si="418"/>
        <v/>
      </c>
      <c r="OAN33" t="str">
        <f t="shared" si="418"/>
        <v/>
      </c>
      <c r="OAO33" t="str">
        <f t="shared" si="418"/>
        <v/>
      </c>
      <c r="OAP33" t="str">
        <f t="shared" si="418"/>
        <v/>
      </c>
      <c r="OAQ33" t="str">
        <f t="shared" si="418"/>
        <v/>
      </c>
      <c r="OAR33" t="str">
        <f t="shared" si="418"/>
        <v/>
      </c>
      <c r="OAS33" t="str">
        <f t="shared" si="418"/>
        <v/>
      </c>
      <c r="OAT33" t="str">
        <f t="shared" si="418"/>
        <v/>
      </c>
      <c r="OAU33" t="str">
        <f t="shared" si="418"/>
        <v/>
      </c>
      <c r="OAV33" t="str">
        <f t="shared" si="418"/>
        <v/>
      </c>
      <c r="OAW33" t="str">
        <f t="shared" ref="OAW33:ODH33" si="419">TRIM(OBN17)</f>
        <v/>
      </c>
      <c r="OAX33" t="str">
        <f t="shared" si="419"/>
        <v/>
      </c>
      <c r="OAY33" t="str">
        <f t="shared" si="419"/>
        <v/>
      </c>
      <c r="OAZ33" t="str">
        <f t="shared" si="419"/>
        <v/>
      </c>
      <c r="OBA33" t="str">
        <f t="shared" si="419"/>
        <v/>
      </c>
      <c r="OBB33" t="str">
        <f t="shared" si="419"/>
        <v/>
      </c>
      <c r="OBC33" t="str">
        <f t="shared" si="419"/>
        <v/>
      </c>
      <c r="OBD33" t="str">
        <f t="shared" si="419"/>
        <v/>
      </c>
      <c r="OBE33" t="str">
        <f t="shared" si="419"/>
        <v/>
      </c>
      <c r="OBF33" t="str">
        <f t="shared" si="419"/>
        <v/>
      </c>
      <c r="OBG33" t="str">
        <f t="shared" si="419"/>
        <v/>
      </c>
      <c r="OBH33" t="str">
        <f t="shared" si="419"/>
        <v/>
      </c>
      <c r="OBI33" t="str">
        <f t="shared" si="419"/>
        <v/>
      </c>
      <c r="OBJ33" t="str">
        <f t="shared" si="419"/>
        <v/>
      </c>
      <c r="OBK33" t="str">
        <f t="shared" si="419"/>
        <v/>
      </c>
      <c r="OBL33" t="str">
        <f t="shared" si="419"/>
        <v/>
      </c>
      <c r="OBM33" t="str">
        <f t="shared" si="419"/>
        <v/>
      </c>
      <c r="OBN33" t="str">
        <f t="shared" si="419"/>
        <v/>
      </c>
      <c r="OBO33" t="str">
        <f t="shared" si="419"/>
        <v/>
      </c>
      <c r="OBP33" t="str">
        <f t="shared" si="419"/>
        <v/>
      </c>
      <c r="OBQ33" t="str">
        <f t="shared" si="419"/>
        <v/>
      </c>
      <c r="OBR33" t="str">
        <f t="shared" si="419"/>
        <v/>
      </c>
      <c r="OBS33" t="str">
        <f t="shared" si="419"/>
        <v/>
      </c>
      <c r="OBT33" t="str">
        <f t="shared" si="419"/>
        <v/>
      </c>
      <c r="OBU33" t="str">
        <f t="shared" si="419"/>
        <v/>
      </c>
      <c r="OBV33" t="str">
        <f t="shared" si="419"/>
        <v/>
      </c>
      <c r="OBW33" t="str">
        <f t="shared" si="419"/>
        <v/>
      </c>
      <c r="OBX33" t="str">
        <f t="shared" si="419"/>
        <v/>
      </c>
      <c r="OBY33" t="str">
        <f t="shared" si="419"/>
        <v/>
      </c>
      <c r="OBZ33" t="str">
        <f t="shared" si="419"/>
        <v/>
      </c>
      <c r="OCA33" t="str">
        <f t="shared" si="419"/>
        <v/>
      </c>
      <c r="OCB33" t="str">
        <f t="shared" si="419"/>
        <v/>
      </c>
      <c r="OCC33" t="str">
        <f t="shared" si="419"/>
        <v/>
      </c>
      <c r="OCD33" t="str">
        <f t="shared" si="419"/>
        <v/>
      </c>
      <c r="OCE33" t="str">
        <f t="shared" si="419"/>
        <v/>
      </c>
      <c r="OCF33" t="str">
        <f t="shared" si="419"/>
        <v/>
      </c>
      <c r="OCG33" t="str">
        <f t="shared" si="419"/>
        <v/>
      </c>
      <c r="OCH33" t="str">
        <f t="shared" si="419"/>
        <v/>
      </c>
      <c r="OCI33" t="str">
        <f t="shared" si="419"/>
        <v/>
      </c>
      <c r="OCJ33" t="str">
        <f t="shared" si="419"/>
        <v/>
      </c>
      <c r="OCK33" t="str">
        <f t="shared" si="419"/>
        <v/>
      </c>
      <c r="OCL33" t="str">
        <f t="shared" si="419"/>
        <v/>
      </c>
      <c r="OCM33" t="str">
        <f t="shared" si="419"/>
        <v/>
      </c>
      <c r="OCN33" t="str">
        <f t="shared" si="419"/>
        <v/>
      </c>
      <c r="OCO33" t="str">
        <f t="shared" si="419"/>
        <v/>
      </c>
      <c r="OCP33" t="str">
        <f t="shared" si="419"/>
        <v/>
      </c>
      <c r="OCQ33" t="str">
        <f t="shared" si="419"/>
        <v/>
      </c>
      <c r="OCR33" t="str">
        <f t="shared" si="419"/>
        <v/>
      </c>
      <c r="OCS33" t="str">
        <f t="shared" si="419"/>
        <v/>
      </c>
      <c r="OCT33" t="str">
        <f t="shared" si="419"/>
        <v/>
      </c>
      <c r="OCU33" t="str">
        <f t="shared" si="419"/>
        <v/>
      </c>
      <c r="OCV33" t="str">
        <f t="shared" si="419"/>
        <v/>
      </c>
      <c r="OCW33" t="str">
        <f t="shared" si="419"/>
        <v/>
      </c>
      <c r="OCX33" t="str">
        <f t="shared" si="419"/>
        <v/>
      </c>
      <c r="OCY33" t="str">
        <f t="shared" si="419"/>
        <v/>
      </c>
      <c r="OCZ33" t="str">
        <f t="shared" si="419"/>
        <v/>
      </c>
      <c r="ODA33" t="str">
        <f t="shared" si="419"/>
        <v/>
      </c>
      <c r="ODB33" t="str">
        <f t="shared" si="419"/>
        <v/>
      </c>
      <c r="ODC33" t="str">
        <f t="shared" si="419"/>
        <v/>
      </c>
      <c r="ODD33" t="str">
        <f t="shared" si="419"/>
        <v/>
      </c>
      <c r="ODE33" t="str">
        <f t="shared" si="419"/>
        <v/>
      </c>
      <c r="ODF33" t="str">
        <f t="shared" si="419"/>
        <v/>
      </c>
      <c r="ODG33" t="str">
        <f t="shared" si="419"/>
        <v/>
      </c>
      <c r="ODH33" t="str">
        <f t="shared" si="419"/>
        <v/>
      </c>
      <c r="ODI33" t="str">
        <f t="shared" ref="ODI33:OFT33" si="420">TRIM(ODZ17)</f>
        <v/>
      </c>
      <c r="ODJ33" t="str">
        <f t="shared" si="420"/>
        <v/>
      </c>
      <c r="ODK33" t="str">
        <f t="shared" si="420"/>
        <v/>
      </c>
      <c r="ODL33" t="str">
        <f t="shared" si="420"/>
        <v/>
      </c>
      <c r="ODM33" t="str">
        <f t="shared" si="420"/>
        <v/>
      </c>
      <c r="ODN33" t="str">
        <f t="shared" si="420"/>
        <v/>
      </c>
      <c r="ODO33" t="str">
        <f t="shared" si="420"/>
        <v/>
      </c>
      <c r="ODP33" t="str">
        <f t="shared" si="420"/>
        <v/>
      </c>
      <c r="ODQ33" t="str">
        <f t="shared" si="420"/>
        <v/>
      </c>
      <c r="ODR33" t="str">
        <f t="shared" si="420"/>
        <v/>
      </c>
      <c r="ODS33" t="str">
        <f t="shared" si="420"/>
        <v/>
      </c>
      <c r="ODT33" t="str">
        <f t="shared" si="420"/>
        <v/>
      </c>
      <c r="ODU33" t="str">
        <f t="shared" si="420"/>
        <v/>
      </c>
      <c r="ODV33" t="str">
        <f t="shared" si="420"/>
        <v/>
      </c>
      <c r="ODW33" t="str">
        <f t="shared" si="420"/>
        <v/>
      </c>
      <c r="ODX33" t="str">
        <f t="shared" si="420"/>
        <v/>
      </c>
      <c r="ODY33" t="str">
        <f t="shared" si="420"/>
        <v/>
      </c>
      <c r="ODZ33" t="str">
        <f t="shared" si="420"/>
        <v/>
      </c>
      <c r="OEA33" t="str">
        <f t="shared" si="420"/>
        <v/>
      </c>
      <c r="OEB33" t="str">
        <f t="shared" si="420"/>
        <v/>
      </c>
      <c r="OEC33" t="str">
        <f t="shared" si="420"/>
        <v/>
      </c>
      <c r="OED33" t="str">
        <f t="shared" si="420"/>
        <v/>
      </c>
      <c r="OEE33" t="str">
        <f t="shared" si="420"/>
        <v/>
      </c>
      <c r="OEF33" t="str">
        <f t="shared" si="420"/>
        <v/>
      </c>
      <c r="OEG33" t="str">
        <f t="shared" si="420"/>
        <v/>
      </c>
      <c r="OEH33" t="str">
        <f t="shared" si="420"/>
        <v/>
      </c>
      <c r="OEI33" t="str">
        <f t="shared" si="420"/>
        <v/>
      </c>
      <c r="OEJ33" t="str">
        <f t="shared" si="420"/>
        <v/>
      </c>
      <c r="OEK33" t="str">
        <f t="shared" si="420"/>
        <v/>
      </c>
      <c r="OEL33" t="str">
        <f t="shared" si="420"/>
        <v/>
      </c>
      <c r="OEM33" t="str">
        <f t="shared" si="420"/>
        <v/>
      </c>
      <c r="OEN33" t="str">
        <f t="shared" si="420"/>
        <v/>
      </c>
      <c r="OEO33" t="str">
        <f t="shared" si="420"/>
        <v/>
      </c>
      <c r="OEP33" t="str">
        <f t="shared" si="420"/>
        <v/>
      </c>
      <c r="OEQ33" t="str">
        <f t="shared" si="420"/>
        <v/>
      </c>
      <c r="OER33" t="str">
        <f t="shared" si="420"/>
        <v/>
      </c>
      <c r="OES33" t="str">
        <f t="shared" si="420"/>
        <v/>
      </c>
      <c r="OET33" t="str">
        <f t="shared" si="420"/>
        <v/>
      </c>
      <c r="OEU33" t="str">
        <f t="shared" si="420"/>
        <v/>
      </c>
      <c r="OEV33" t="str">
        <f t="shared" si="420"/>
        <v/>
      </c>
      <c r="OEW33" t="str">
        <f t="shared" si="420"/>
        <v/>
      </c>
      <c r="OEX33" t="str">
        <f t="shared" si="420"/>
        <v/>
      </c>
      <c r="OEY33" t="str">
        <f t="shared" si="420"/>
        <v/>
      </c>
      <c r="OEZ33" t="str">
        <f t="shared" si="420"/>
        <v/>
      </c>
      <c r="OFA33" t="str">
        <f t="shared" si="420"/>
        <v/>
      </c>
      <c r="OFB33" t="str">
        <f t="shared" si="420"/>
        <v/>
      </c>
      <c r="OFC33" t="str">
        <f t="shared" si="420"/>
        <v/>
      </c>
      <c r="OFD33" t="str">
        <f t="shared" si="420"/>
        <v/>
      </c>
      <c r="OFE33" t="str">
        <f t="shared" si="420"/>
        <v/>
      </c>
      <c r="OFF33" t="str">
        <f t="shared" si="420"/>
        <v/>
      </c>
      <c r="OFG33" t="str">
        <f t="shared" si="420"/>
        <v/>
      </c>
      <c r="OFH33" t="str">
        <f t="shared" si="420"/>
        <v/>
      </c>
      <c r="OFI33" t="str">
        <f t="shared" si="420"/>
        <v/>
      </c>
      <c r="OFJ33" t="str">
        <f t="shared" si="420"/>
        <v/>
      </c>
      <c r="OFK33" t="str">
        <f t="shared" si="420"/>
        <v/>
      </c>
      <c r="OFL33" t="str">
        <f t="shared" si="420"/>
        <v/>
      </c>
      <c r="OFM33" t="str">
        <f t="shared" si="420"/>
        <v/>
      </c>
      <c r="OFN33" t="str">
        <f t="shared" si="420"/>
        <v/>
      </c>
      <c r="OFO33" t="str">
        <f t="shared" si="420"/>
        <v/>
      </c>
      <c r="OFP33" t="str">
        <f t="shared" si="420"/>
        <v/>
      </c>
      <c r="OFQ33" t="str">
        <f t="shared" si="420"/>
        <v/>
      </c>
      <c r="OFR33" t="str">
        <f t="shared" si="420"/>
        <v/>
      </c>
      <c r="OFS33" t="str">
        <f t="shared" si="420"/>
        <v/>
      </c>
      <c r="OFT33" t="str">
        <f t="shared" si="420"/>
        <v/>
      </c>
      <c r="OFU33" t="str">
        <f t="shared" ref="OFU33:OIF33" si="421">TRIM(OGL17)</f>
        <v/>
      </c>
      <c r="OFV33" t="str">
        <f t="shared" si="421"/>
        <v/>
      </c>
      <c r="OFW33" t="str">
        <f t="shared" si="421"/>
        <v/>
      </c>
      <c r="OFX33" t="str">
        <f t="shared" si="421"/>
        <v/>
      </c>
      <c r="OFY33" t="str">
        <f t="shared" si="421"/>
        <v/>
      </c>
      <c r="OFZ33" t="str">
        <f t="shared" si="421"/>
        <v/>
      </c>
      <c r="OGA33" t="str">
        <f t="shared" si="421"/>
        <v/>
      </c>
      <c r="OGB33" t="str">
        <f t="shared" si="421"/>
        <v/>
      </c>
      <c r="OGC33" t="str">
        <f t="shared" si="421"/>
        <v/>
      </c>
      <c r="OGD33" t="str">
        <f t="shared" si="421"/>
        <v/>
      </c>
      <c r="OGE33" t="str">
        <f t="shared" si="421"/>
        <v/>
      </c>
      <c r="OGF33" t="str">
        <f t="shared" si="421"/>
        <v/>
      </c>
      <c r="OGG33" t="str">
        <f t="shared" si="421"/>
        <v/>
      </c>
      <c r="OGH33" t="str">
        <f t="shared" si="421"/>
        <v/>
      </c>
      <c r="OGI33" t="str">
        <f t="shared" si="421"/>
        <v/>
      </c>
      <c r="OGJ33" t="str">
        <f t="shared" si="421"/>
        <v/>
      </c>
      <c r="OGK33" t="str">
        <f t="shared" si="421"/>
        <v/>
      </c>
      <c r="OGL33" t="str">
        <f t="shared" si="421"/>
        <v/>
      </c>
      <c r="OGM33" t="str">
        <f t="shared" si="421"/>
        <v/>
      </c>
      <c r="OGN33" t="str">
        <f t="shared" si="421"/>
        <v/>
      </c>
      <c r="OGO33" t="str">
        <f t="shared" si="421"/>
        <v/>
      </c>
      <c r="OGP33" t="str">
        <f t="shared" si="421"/>
        <v/>
      </c>
      <c r="OGQ33" t="str">
        <f t="shared" si="421"/>
        <v/>
      </c>
      <c r="OGR33" t="str">
        <f t="shared" si="421"/>
        <v/>
      </c>
      <c r="OGS33" t="str">
        <f t="shared" si="421"/>
        <v/>
      </c>
      <c r="OGT33" t="str">
        <f t="shared" si="421"/>
        <v/>
      </c>
      <c r="OGU33" t="str">
        <f t="shared" si="421"/>
        <v/>
      </c>
      <c r="OGV33" t="str">
        <f t="shared" si="421"/>
        <v/>
      </c>
      <c r="OGW33" t="str">
        <f t="shared" si="421"/>
        <v/>
      </c>
      <c r="OGX33" t="str">
        <f t="shared" si="421"/>
        <v/>
      </c>
      <c r="OGY33" t="str">
        <f t="shared" si="421"/>
        <v/>
      </c>
      <c r="OGZ33" t="str">
        <f t="shared" si="421"/>
        <v/>
      </c>
      <c r="OHA33" t="str">
        <f t="shared" si="421"/>
        <v/>
      </c>
      <c r="OHB33" t="str">
        <f t="shared" si="421"/>
        <v/>
      </c>
      <c r="OHC33" t="str">
        <f t="shared" si="421"/>
        <v/>
      </c>
      <c r="OHD33" t="str">
        <f t="shared" si="421"/>
        <v/>
      </c>
      <c r="OHE33" t="str">
        <f t="shared" si="421"/>
        <v/>
      </c>
      <c r="OHF33" t="str">
        <f t="shared" si="421"/>
        <v/>
      </c>
      <c r="OHG33" t="str">
        <f t="shared" si="421"/>
        <v/>
      </c>
      <c r="OHH33" t="str">
        <f t="shared" si="421"/>
        <v/>
      </c>
      <c r="OHI33" t="str">
        <f t="shared" si="421"/>
        <v/>
      </c>
      <c r="OHJ33" t="str">
        <f t="shared" si="421"/>
        <v/>
      </c>
      <c r="OHK33" t="str">
        <f t="shared" si="421"/>
        <v/>
      </c>
      <c r="OHL33" t="str">
        <f t="shared" si="421"/>
        <v/>
      </c>
      <c r="OHM33" t="str">
        <f t="shared" si="421"/>
        <v/>
      </c>
      <c r="OHN33" t="str">
        <f t="shared" si="421"/>
        <v/>
      </c>
      <c r="OHO33" t="str">
        <f t="shared" si="421"/>
        <v/>
      </c>
      <c r="OHP33" t="str">
        <f t="shared" si="421"/>
        <v/>
      </c>
      <c r="OHQ33" t="str">
        <f t="shared" si="421"/>
        <v/>
      </c>
      <c r="OHR33" t="str">
        <f t="shared" si="421"/>
        <v/>
      </c>
      <c r="OHS33" t="str">
        <f t="shared" si="421"/>
        <v/>
      </c>
      <c r="OHT33" t="str">
        <f t="shared" si="421"/>
        <v/>
      </c>
      <c r="OHU33" t="str">
        <f t="shared" si="421"/>
        <v/>
      </c>
      <c r="OHV33" t="str">
        <f t="shared" si="421"/>
        <v/>
      </c>
      <c r="OHW33" t="str">
        <f t="shared" si="421"/>
        <v/>
      </c>
      <c r="OHX33" t="str">
        <f t="shared" si="421"/>
        <v/>
      </c>
      <c r="OHY33" t="str">
        <f t="shared" si="421"/>
        <v/>
      </c>
      <c r="OHZ33" t="str">
        <f t="shared" si="421"/>
        <v/>
      </c>
      <c r="OIA33" t="str">
        <f t="shared" si="421"/>
        <v/>
      </c>
      <c r="OIB33" t="str">
        <f t="shared" si="421"/>
        <v/>
      </c>
      <c r="OIC33" t="str">
        <f t="shared" si="421"/>
        <v/>
      </c>
      <c r="OID33" t="str">
        <f t="shared" si="421"/>
        <v/>
      </c>
      <c r="OIE33" t="str">
        <f t="shared" si="421"/>
        <v/>
      </c>
      <c r="OIF33" t="str">
        <f t="shared" si="421"/>
        <v/>
      </c>
      <c r="OIG33" t="str">
        <f t="shared" ref="OIG33:OKR33" si="422">TRIM(OIX17)</f>
        <v/>
      </c>
      <c r="OIH33" t="str">
        <f t="shared" si="422"/>
        <v/>
      </c>
      <c r="OII33" t="str">
        <f t="shared" si="422"/>
        <v/>
      </c>
      <c r="OIJ33" t="str">
        <f t="shared" si="422"/>
        <v/>
      </c>
      <c r="OIK33" t="str">
        <f t="shared" si="422"/>
        <v/>
      </c>
      <c r="OIL33" t="str">
        <f t="shared" si="422"/>
        <v/>
      </c>
      <c r="OIM33" t="str">
        <f t="shared" si="422"/>
        <v/>
      </c>
      <c r="OIN33" t="str">
        <f t="shared" si="422"/>
        <v/>
      </c>
      <c r="OIO33" t="str">
        <f t="shared" si="422"/>
        <v/>
      </c>
      <c r="OIP33" t="str">
        <f t="shared" si="422"/>
        <v/>
      </c>
      <c r="OIQ33" t="str">
        <f t="shared" si="422"/>
        <v/>
      </c>
      <c r="OIR33" t="str">
        <f t="shared" si="422"/>
        <v/>
      </c>
      <c r="OIS33" t="str">
        <f t="shared" si="422"/>
        <v/>
      </c>
      <c r="OIT33" t="str">
        <f t="shared" si="422"/>
        <v/>
      </c>
      <c r="OIU33" t="str">
        <f t="shared" si="422"/>
        <v/>
      </c>
      <c r="OIV33" t="str">
        <f t="shared" si="422"/>
        <v/>
      </c>
      <c r="OIW33" t="str">
        <f t="shared" si="422"/>
        <v/>
      </c>
      <c r="OIX33" t="str">
        <f t="shared" si="422"/>
        <v/>
      </c>
      <c r="OIY33" t="str">
        <f t="shared" si="422"/>
        <v/>
      </c>
      <c r="OIZ33" t="str">
        <f t="shared" si="422"/>
        <v/>
      </c>
      <c r="OJA33" t="str">
        <f t="shared" si="422"/>
        <v/>
      </c>
      <c r="OJB33" t="str">
        <f t="shared" si="422"/>
        <v/>
      </c>
      <c r="OJC33" t="str">
        <f t="shared" si="422"/>
        <v/>
      </c>
      <c r="OJD33" t="str">
        <f t="shared" si="422"/>
        <v/>
      </c>
      <c r="OJE33" t="str">
        <f t="shared" si="422"/>
        <v/>
      </c>
      <c r="OJF33" t="str">
        <f t="shared" si="422"/>
        <v/>
      </c>
      <c r="OJG33" t="str">
        <f t="shared" si="422"/>
        <v/>
      </c>
      <c r="OJH33" t="str">
        <f t="shared" si="422"/>
        <v/>
      </c>
      <c r="OJI33" t="str">
        <f t="shared" si="422"/>
        <v/>
      </c>
      <c r="OJJ33" t="str">
        <f t="shared" si="422"/>
        <v/>
      </c>
      <c r="OJK33" t="str">
        <f t="shared" si="422"/>
        <v/>
      </c>
      <c r="OJL33" t="str">
        <f t="shared" si="422"/>
        <v/>
      </c>
      <c r="OJM33" t="str">
        <f t="shared" si="422"/>
        <v/>
      </c>
      <c r="OJN33" t="str">
        <f t="shared" si="422"/>
        <v/>
      </c>
      <c r="OJO33" t="str">
        <f t="shared" si="422"/>
        <v/>
      </c>
      <c r="OJP33" t="str">
        <f t="shared" si="422"/>
        <v/>
      </c>
      <c r="OJQ33" t="str">
        <f t="shared" si="422"/>
        <v/>
      </c>
      <c r="OJR33" t="str">
        <f t="shared" si="422"/>
        <v/>
      </c>
      <c r="OJS33" t="str">
        <f t="shared" si="422"/>
        <v/>
      </c>
      <c r="OJT33" t="str">
        <f t="shared" si="422"/>
        <v/>
      </c>
      <c r="OJU33" t="str">
        <f t="shared" si="422"/>
        <v/>
      </c>
      <c r="OJV33" t="str">
        <f t="shared" si="422"/>
        <v/>
      </c>
      <c r="OJW33" t="str">
        <f t="shared" si="422"/>
        <v/>
      </c>
      <c r="OJX33" t="str">
        <f t="shared" si="422"/>
        <v/>
      </c>
      <c r="OJY33" t="str">
        <f t="shared" si="422"/>
        <v/>
      </c>
      <c r="OJZ33" t="str">
        <f t="shared" si="422"/>
        <v/>
      </c>
      <c r="OKA33" t="str">
        <f t="shared" si="422"/>
        <v/>
      </c>
      <c r="OKB33" t="str">
        <f t="shared" si="422"/>
        <v/>
      </c>
      <c r="OKC33" t="str">
        <f t="shared" si="422"/>
        <v/>
      </c>
      <c r="OKD33" t="str">
        <f t="shared" si="422"/>
        <v/>
      </c>
      <c r="OKE33" t="str">
        <f t="shared" si="422"/>
        <v/>
      </c>
      <c r="OKF33" t="str">
        <f t="shared" si="422"/>
        <v/>
      </c>
      <c r="OKG33" t="str">
        <f t="shared" si="422"/>
        <v/>
      </c>
      <c r="OKH33" t="str">
        <f t="shared" si="422"/>
        <v/>
      </c>
      <c r="OKI33" t="str">
        <f t="shared" si="422"/>
        <v/>
      </c>
      <c r="OKJ33" t="str">
        <f t="shared" si="422"/>
        <v/>
      </c>
      <c r="OKK33" t="str">
        <f t="shared" si="422"/>
        <v/>
      </c>
      <c r="OKL33" t="str">
        <f t="shared" si="422"/>
        <v/>
      </c>
      <c r="OKM33" t="str">
        <f t="shared" si="422"/>
        <v/>
      </c>
      <c r="OKN33" t="str">
        <f t="shared" si="422"/>
        <v/>
      </c>
      <c r="OKO33" t="str">
        <f t="shared" si="422"/>
        <v/>
      </c>
      <c r="OKP33" t="str">
        <f t="shared" si="422"/>
        <v/>
      </c>
      <c r="OKQ33" t="str">
        <f t="shared" si="422"/>
        <v/>
      </c>
      <c r="OKR33" t="str">
        <f t="shared" si="422"/>
        <v/>
      </c>
      <c r="OKS33" t="str">
        <f t="shared" ref="OKS33:OND33" si="423">TRIM(OLJ17)</f>
        <v/>
      </c>
      <c r="OKT33" t="str">
        <f t="shared" si="423"/>
        <v/>
      </c>
      <c r="OKU33" t="str">
        <f t="shared" si="423"/>
        <v/>
      </c>
      <c r="OKV33" t="str">
        <f t="shared" si="423"/>
        <v/>
      </c>
      <c r="OKW33" t="str">
        <f t="shared" si="423"/>
        <v/>
      </c>
      <c r="OKX33" t="str">
        <f t="shared" si="423"/>
        <v/>
      </c>
      <c r="OKY33" t="str">
        <f t="shared" si="423"/>
        <v/>
      </c>
      <c r="OKZ33" t="str">
        <f t="shared" si="423"/>
        <v/>
      </c>
      <c r="OLA33" t="str">
        <f t="shared" si="423"/>
        <v/>
      </c>
      <c r="OLB33" t="str">
        <f t="shared" si="423"/>
        <v/>
      </c>
      <c r="OLC33" t="str">
        <f t="shared" si="423"/>
        <v/>
      </c>
      <c r="OLD33" t="str">
        <f t="shared" si="423"/>
        <v/>
      </c>
      <c r="OLE33" t="str">
        <f t="shared" si="423"/>
        <v/>
      </c>
      <c r="OLF33" t="str">
        <f t="shared" si="423"/>
        <v/>
      </c>
      <c r="OLG33" t="str">
        <f t="shared" si="423"/>
        <v/>
      </c>
      <c r="OLH33" t="str">
        <f t="shared" si="423"/>
        <v/>
      </c>
      <c r="OLI33" t="str">
        <f t="shared" si="423"/>
        <v/>
      </c>
      <c r="OLJ33" t="str">
        <f t="shared" si="423"/>
        <v/>
      </c>
      <c r="OLK33" t="str">
        <f t="shared" si="423"/>
        <v/>
      </c>
      <c r="OLL33" t="str">
        <f t="shared" si="423"/>
        <v/>
      </c>
      <c r="OLM33" t="str">
        <f t="shared" si="423"/>
        <v/>
      </c>
      <c r="OLN33" t="str">
        <f t="shared" si="423"/>
        <v/>
      </c>
      <c r="OLO33" t="str">
        <f t="shared" si="423"/>
        <v/>
      </c>
      <c r="OLP33" t="str">
        <f t="shared" si="423"/>
        <v/>
      </c>
      <c r="OLQ33" t="str">
        <f t="shared" si="423"/>
        <v/>
      </c>
      <c r="OLR33" t="str">
        <f t="shared" si="423"/>
        <v/>
      </c>
      <c r="OLS33" t="str">
        <f t="shared" si="423"/>
        <v/>
      </c>
      <c r="OLT33" t="str">
        <f t="shared" si="423"/>
        <v/>
      </c>
      <c r="OLU33" t="str">
        <f t="shared" si="423"/>
        <v/>
      </c>
      <c r="OLV33" t="str">
        <f t="shared" si="423"/>
        <v/>
      </c>
      <c r="OLW33" t="str">
        <f t="shared" si="423"/>
        <v/>
      </c>
      <c r="OLX33" t="str">
        <f t="shared" si="423"/>
        <v/>
      </c>
      <c r="OLY33" t="str">
        <f t="shared" si="423"/>
        <v/>
      </c>
      <c r="OLZ33" t="str">
        <f t="shared" si="423"/>
        <v/>
      </c>
      <c r="OMA33" t="str">
        <f t="shared" si="423"/>
        <v/>
      </c>
      <c r="OMB33" t="str">
        <f t="shared" si="423"/>
        <v/>
      </c>
      <c r="OMC33" t="str">
        <f t="shared" si="423"/>
        <v/>
      </c>
      <c r="OMD33" t="str">
        <f t="shared" si="423"/>
        <v/>
      </c>
      <c r="OME33" t="str">
        <f t="shared" si="423"/>
        <v/>
      </c>
      <c r="OMF33" t="str">
        <f t="shared" si="423"/>
        <v/>
      </c>
      <c r="OMG33" t="str">
        <f t="shared" si="423"/>
        <v/>
      </c>
      <c r="OMH33" t="str">
        <f t="shared" si="423"/>
        <v/>
      </c>
      <c r="OMI33" t="str">
        <f t="shared" si="423"/>
        <v/>
      </c>
      <c r="OMJ33" t="str">
        <f t="shared" si="423"/>
        <v/>
      </c>
      <c r="OMK33" t="str">
        <f t="shared" si="423"/>
        <v/>
      </c>
      <c r="OML33" t="str">
        <f t="shared" si="423"/>
        <v/>
      </c>
      <c r="OMM33" t="str">
        <f t="shared" si="423"/>
        <v/>
      </c>
      <c r="OMN33" t="str">
        <f t="shared" si="423"/>
        <v/>
      </c>
      <c r="OMO33" t="str">
        <f t="shared" si="423"/>
        <v/>
      </c>
      <c r="OMP33" t="str">
        <f t="shared" si="423"/>
        <v/>
      </c>
      <c r="OMQ33" t="str">
        <f t="shared" si="423"/>
        <v/>
      </c>
      <c r="OMR33" t="str">
        <f t="shared" si="423"/>
        <v/>
      </c>
      <c r="OMS33" t="str">
        <f t="shared" si="423"/>
        <v/>
      </c>
      <c r="OMT33" t="str">
        <f t="shared" si="423"/>
        <v/>
      </c>
      <c r="OMU33" t="str">
        <f t="shared" si="423"/>
        <v/>
      </c>
      <c r="OMV33" t="str">
        <f t="shared" si="423"/>
        <v/>
      </c>
      <c r="OMW33" t="str">
        <f t="shared" si="423"/>
        <v/>
      </c>
      <c r="OMX33" t="str">
        <f t="shared" si="423"/>
        <v/>
      </c>
      <c r="OMY33" t="str">
        <f t="shared" si="423"/>
        <v/>
      </c>
      <c r="OMZ33" t="str">
        <f t="shared" si="423"/>
        <v/>
      </c>
      <c r="ONA33" t="str">
        <f t="shared" si="423"/>
        <v/>
      </c>
      <c r="ONB33" t="str">
        <f t="shared" si="423"/>
        <v/>
      </c>
      <c r="ONC33" t="str">
        <f t="shared" si="423"/>
        <v/>
      </c>
      <c r="OND33" t="str">
        <f t="shared" si="423"/>
        <v/>
      </c>
      <c r="ONE33" t="str">
        <f t="shared" ref="ONE33:OPP33" si="424">TRIM(ONV17)</f>
        <v/>
      </c>
      <c r="ONF33" t="str">
        <f t="shared" si="424"/>
        <v/>
      </c>
      <c r="ONG33" t="str">
        <f t="shared" si="424"/>
        <v/>
      </c>
      <c r="ONH33" t="str">
        <f t="shared" si="424"/>
        <v/>
      </c>
      <c r="ONI33" t="str">
        <f t="shared" si="424"/>
        <v/>
      </c>
      <c r="ONJ33" t="str">
        <f t="shared" si="424"/>
        <v/>
      </c>
      <c r="ONK33" t="str">
        <f t="shared" si="424"/>
        <v/>
      </c>
      <c r="ONL33" t="str">
        <f t="shared" si="424"/>
        <v/>
      </c>
      <c r="ONM33" t="str">
        <f t="shared" si="424"/>
        <v/>
      </c>
      <c r="ONN33" t="str">
        <f t="shared" si="424"/>
        <v/>
      </c>
      <c r="ONO33" t="str">
        <f t="shared" si="424"/>
        <v/>
      </c>
      <c r="ONP33" t="str">
        <f t="shared" si="424"/>
        <v/>
      </c>
      <c r="ONQ33" t="str">
        <f t="shared" si="424"/>
        <v/>
      </c>
      <c r="ONR33" t="str">
        <f t="shared" si="424"/>
        <v/>
      </c>
      <c r="ONS33" t="str">
        <f t="shared" si="424"/>
        <v/>
      </c>
      <c r="ONT33" t="str">
        <f t="shared" si="424"/>
        <v/>
      </c>
      <c r="ONU33" t="str">
        <f t="shared" si="424"/>
        <v/>
      </c>
      <c r="ONV33" t="str">
        <f t="shared" si="424"/>
        <v/>
      </c>
      <c r="ONW33" t="str">
        <f t="shared" si="424"/>
        <v/>
      </c>
      <c r="ONX33" t="str">
        <f t="shared" si="424"/>
        <v/>
      </c>
      <c r="ONY33" t="str">
        <f t="shared" si="424"/>
        <v/>
      </c>
      <c r="ONZ33" t="str">
        <f t="shared" si="424"/>
        <v/>
      </c>
      <c r="OOA33" t="str">
        <f t="shared" si="424"/>
        <v/>
      </c>
      <c r="OOB33" t="str">
        <f t="shared" si="424"/>
        <v/>
      </c>
      <c r="OOC33" t="str">
        <f t="shared" si="424"/>
        <v/>
      </c>
      <c r="OOD33" t="str">
        <f t="shared" si="424"/>
        <v/>
      </c>
      <c r="OOE33" t="str">
        <f t="shared" si="424"/>
        <v/>
      </c>
      <c r="OOF33" t="str">
        <f t="shared" si="424"/>
        <v/>
      </c>
      <c r="OOG33" t="str">
        <f t="shared" si="424"/>
        <v/>
      </c>
      <c r="OOH33" t="str">
        <f t="shared" si="424"/>
        <v/>
      </c>
      <c r="OOI33" t="str">
        <f t="shared" si="424"/>
        <v/>
      </c>
      <c r="OOJ33" t="str">
        <f t="shared" si="424"/>
        <v/>
      </c>
      <c r="OOK33" t="str">
        <f t="shared" si="424"/>
        <v/>
      </c>
      <c r="OOL33" t="str">
        <f t="shared" si="424"/>
        <v/>
      </c>
      <c r="OOM33" t="str">
        <f t="shared" si="424"/>
        <v/>
      </c>
      <c r="OON33" t="str">
        <f t="shared" si="424"/>
        <v/>
      </c>
      <c r="OOO33" t="str">
        <f t="shared" si="424"/>
        <v/>
      </c>
      <c r="OOP33" t="str">
        <f t="shared" si="424"/>
        <v/>
      </c>
      <c r="OOQ33" t="str">
        <f t="shared" si="424"/>
        <v/>
      </c>
      <c r="OOR33" t="str">
        <f t="shared" si="424"/>
        <v/>
      </c>
      <c r="OOS33" t="str">
        <f t="shared" si="424"/>
        <v/>
      </c>
      <c r="OOT33" t="str">
        <f t="shared" si="424"/>
        <v/>
      </c>
      <c r="OOU33" t="str">
        <f t="shared" si="424"/>
        <v/>
      </c>
      <c r="OOV33" t="str">
        <f t="shared" si="424"/>
        <v/>
      </c>
      <c r="OOW33" t="str">
        <f t="shared" si="424"/>
        <v/>
      </c>
      <c r="OOX33" t="str">
        <f t="shared" si="424"/>
        <v/>
      </c>
      <c r="OOY33" t="str">
        <f t="shared" si="424"/>
        <v/>
      </c>
      <c r="OOZ33" t="str">
        <f t="shared" si="424"/>
        <v/>
      </c>
      <c r="OPA33" t="str">
        <f t="shared" si="424"/>
        <v/>
      </c>
      <c r="OPB33" t="str">
        <f t="shared" si="424"/>
        <v/>
      </c>
      <c r="OPC33" t="str">
        <f t="shared" si="424"/>
        <v/>
      </c>
      <c r="OPD33" t="str">
        <f t="shared" si="424"/>
        <v/>
      </c>
      <c r="OPE33" t="str">
        <f t="shared" si="424"/>
        <v/>
      </c>
      <c r="OPF33" t="str">
        <f t="shared" si="424"/>
        <v/>
      </c>
      <c r="OPG33" t="str">
        <f t="shared" si="424"/>
        <v/>
      </c>
      <c r="OPH33" t="str">
        <f t="shared" si="424"/>
        <v/>
      </c>
      <c r="OPI33" t="str">
        <f t="shared" si="424"/>
        <v/>
      </c>
      <c r="OPJ33" t="str">
        <f t="shared" si="424"/>
        <v/>
      </c>
      <c r="OPK33" t="str">
        <f t="shared" si="424"/>
        <v/>
      </c>
      <c r="OPL33" t="str">
        <f t="shared" si="424"/>
        <v/>
      </c>
      <c r="OPM33" t="str">
        <f t="shared" si="424"/>
        <v/>
      </c>
      <c r="OPN33" t="str">
        <f t="shared" si="424"/>
        <v/>
      </c>
      <c r="OPO33" t="str">
        <f t="shared" si="424"/>
        <v/>
      </c>
      <c r="OPP33" t="str">
        <f t="shared" si="424"/>
        <v/>
      </c>
      <c r="OPQ33" t="str">
        <f t="shared" ref="OPQ33:OSB33" si="425">TRIM(OQH17)</f>
        <v/>
      </c>
      <c r="OPR33" t="str">
        <f t="shared" si="425"/>
        <v/>
      </c>
      <c r="OPS33" t="str">
        <f t="shared" si="425"/>
        <v/>
      </c>
      <c r="OPT33" t="str">
        <f t="shared" si="425"/>
        <v/>
      </c>
      <c r="OPU33" t="str">
        <f t="shared" si="425"/>
        <v/>
      </c>
      <c r="OPV33" t="str">
        <f t="shared" si="425"/>
        <v/>
      </c>
      <c r="OPW33" t="str">
        <f t="shared" si="425"/>
        <v/>
      </c>
      <c r="OPX33" t="str">
        <f t="shared" si="425"/>
        <v/>
      </c>
      <c r="OPY33" t="str">
        <f t="shared" si="425"/>
        <v/>
      </c>
      <c r="OPZ33" t="str">
        <f t="shared" si="425"/>
        <v/>
      </c>
      <c r="OQA33" t="str">
        <f t="shared" si="425"/>
        <v/>
      </c>
      <c r="OQB33" t="str">
        <f t="shared" si="425"/>
        <v/>
      </c>
      <c r="OQC33" t="str">
        <f t="shared" si="425"/>
        <v/>
      </c>
      <c r="OQD33" t="str">
        <f t="shared" si="425"/>
        <v/>
      </c>
      <c r="OQE33" t="str">
        <f t="shared" si="425"/>
        <v/>
      </c>
      <c r="OQF33" t="str">
        <f t="shared" si="425"/>
        <v/>
      </c>
      <c r="OQG33" t="str">
        <f t="shared" si="425"/>
        <v/>
      </c>
      <c r="OQH33" t="str">
        <f t="shared" si="425"/>
        <v/>
      </c>
      <c r="OQI33" t="str">
        <f t="shared" si="425"/>
        <v/>
      </c>
      <c r="OQJ33" t="str">
        <f t="shared" si="425"/>
        <v/>
      </c>
      <c r="OQK33" t="str">
        <f t="shared" si="425"/>
        <v/>
      </c>
      <c r="OQL33" t="str">
        <f t="shared" si="425"/>
        <v/>
      </c>
      <c r="OQM33" t="str">
        <f t="shared" si="425"/>
        <v/>
      </c>
      <c r="OQN33" t="str">
        <f t="shared" si="425"/>
        <v/>
      </c>
      <c r="OQO33" t="str">
        <f t="shared" si="425"/>
        <v/>
      </c>
      <c r="OQP33" t="str">
        <f t="shared" si="425"/>
        <v/>
      </c>
      <c r="OQQ33" t="str">
        <f t="shared" si="425"/>
        <v/>
      </c>
      <c r="OQR33" t="str">
        <f t="shared" si="425"/>
        <v/>
      </c>
      <c r="OQS33" t="str">
        <f t="shared" si="425"/>
        <v/>
      </c>
      <c r="OQT33" t="str">
        <f t="shared" si="425"/>
        <v/>
      </c>
      <c r="OQU33" t="str">
        <f t="shared" si="425"/>
        <v/>
      </c>
      <c r="OQV33" t="str">
        <f t="shared" si="425"/>
        <v/>
      </c>
      <c r="OQW33" t="str">
        <f t="shared" si="425"/>
        <v/>
      </c>
      <c r="OQX33" t="str">
        <f t="shared" si="425"/>
        <v/>
      </c>
      <c r="OQY33" t="str">
        <f t="shared" si="425"/>
        <v/>
      </c>
      <c r="OQZ33" t="str">
        <f t="shared" si="425"/>
        <v/>
      </c>
      <c r="ORA33" t="str">
        <f t="shared" si="425"/>
        <v/>
      </c>
      <c r="ORB33" t="str">
        <f t="shared" si="425"/>
        <v/>
      </c>
      <c r="ORC33" t="str">
        <f t="shared" si="425"/>
        <v/>
      </c>
      <c r="ORD33" t="str">
        <f t="shared" si="425"/>
        <v/>
      </c>
      <c r="ORE33" t="str">
        <f t="shared" si="425"/>
        <v/>
      </c>
      <c r="ORF33" t="str">
        <f t="shared" si="425"/>
        <v/>
      </c>
      <c r="ORG33" t="str">
        <f t="shared" si="425"/>
        <v/>
      </c>
      <c r="ORH33" t="str">
        <f t="shared" si="425"/>
        <v/>
      </c>
      <c r="ORI33" t="str">
        <f t="shared" si="425"/>
        <v/>
      </c>
      <c r="ORJ33" t="str">
        <f t="shared" si="425"/>
        <v/>
      </c>
      <c r="ORK33" t="str">
        <f t="shared" si="425"/>
        <v/>
      </c>
      <c r="ORL33" t="str">
        <f t="shared" si="425"/>
        <v/>
      </c>
      <c r="ORM33" t="str">
        <f t="shared" si="425"/>
        <v/>
      </c>
      <c r="ORN33" t="str">
        <f t="shared" si="425"/>
        <v/>
      </c>
      <c r="ORO33" t="str">
        <f t="shared" si="425"/>
        <v/>
      </c>
      <c r="ORP33" t="str">
        <f t="shared" si="425"/>
        <v/>
      </c>
      <c r="ORQ33" t="str">
        <f t="shared" si="425"/>
        <v/>
      </c>
      <c r="ORR33" t="str">
        <f t="shared" si="425"/>
        <v/>
      </c>
      <c r="ORS33" t="str">
        <f t="shared" si="425"/>
        <v/>
      </c>
      <c r="ORT33" t="str">
        <f t="shared" si="425"/>
        <v/>
      </c>
      <c r="ORU33" t="str">
        <f t="shared" si="425"/>
        <v/>
      </c>
      <c r="ORV33" t="str">
        <f t="shared" si="425"/>
        <v/>
      </c>
      <c r="ORW33" t="str">
        <f t="shared" si="425"/>
        <v/>
      </c>
      <c r="ORX33" t="str">
        <f t="shared" si="425"/>
        <v/>
      </c>
      <c r="ORY33" t="str">
        <f t="shared" si="425"/>
        <v/>
      </c>
      <c r="ORZ33" t="str">
        <f t="shared" si="425"/>
        <v/>
      </c>
      <c r="OSA33" t="str">
        <f t="shared" si="425"/>
        <v/>
      </c>
      <c r="OSB33" t="str">
        <f t="shared" si="425"/>
        <v/>
      </c>
      <c r="OSC33" t="str">
        <f t="shared" ref="OSC33:OUN33" si="426">TRIM(OST17)</f>
        <v/>
      </c>
      <c r="OSD33" t="str">
        <f t="shared" si="426"/>
        <v/>
      </c>
      <c r="OSE33" t="str">
        <f t="shared" si="426"/>
        <v/>
      </c>
      <c r="OSF33" t="str">
        <f t="shared" si="426"/>
        <v/>
      </c>
      <c r="OSG33" t="str">
        <f t="shared" si="426"/>
        <v/>
      </c>
      <c r="OSH33" t="str">
        <f t="shared" si="426"/>
        <v/>
      </c>
      <c r="OSI33" t="str">
        <f t="shared" si="426"/>
        <v/>
      </c>
      <c r="OSJ33" t="str">
        <f t="shared" si="426"/>
        <v/>
      </c>
      <c r="OSK33" t="str">
        <f t="shared" si="426"/>
        <v/>
      </c>
      <c r="OSL33" t="str">
        <f t="shared" si="426"/>
        <v/>
      </c>
      <c r="OSM33" t="str">
        <f t="shared" si="426"/>
        <v/>
      </c>
      <c r="OSN33" t="str">
        <f t="shared" si="426"/>
        <v/>
      </c>
      <c r="OSO33" t="str">
        <f t="shared" si="426"/>
        <v/>
      </c>
      <c r="OSP33" t="str">
        <f t="shared" si="426"/>
        <v/>
      </c>
      <c r="OSQ33" t="str">
        <f t="shared" si="426"/>
        <v/>
      </c>
      <c r="OSR33" t="str">
        <f t="shared" si="426"/>
        <v/>
      </c>
      <c r="OSS33" t="str">
        <f t="shared" si="426"/>
        <v/>
      </c>
      <c r="OST33" t="str">
        <f t="shared" si="426"/>
        <v/>
      </c>
      <c r="OSU33" t="str">
        <f t="shared" si="426"/>
        <v/>
      </c>
      <c r="OSV33" t="str">
        <f t="shared" si="426"/>
        <v/>
      </c>
      <c r="OSW33" t="str">
        <f t="shared" si="426"/>
        <v/>
      </c>
      <c r="OSX33" t="str">
        <f t="shared" si="426"/>
        <v/>
      </c>
      <c r="OSY33" t="str">
        <f t="shared" si="426"/>
        <v/>
      </c>
      <c r="OSZ33" t="str">
        <f t="shared" si="426"/>
        <v/>
      </c>
      <c r="OTA33" t="str">
        <f t="shared" si="426"/>
        <v/>
      </c>
      <c r="OTB33" t="str">
        <f t="shared" si="426"/>
        <v/>
      </c>
      <c r="OTC33" t="str">
        <f t="shared" si="426"/>
        <v/>
      </c>
      <c r="OTD33" t="str">
        <f t="shared" si="426"/>
        <v/>
      </c>
      <c r="OTE33" t="str">
        <f t="shared" si="426"/>
        <v/>
      </c>
      <c r="OTF33" t="str">
        <f t="shared" si="426"/>
        <v/>
      </c>
      <c r="OTG33" t="str">
        <f t="shared" si="426"/>
        <v/>
      </c>
      <c r="OTH33" t="str">
        <f t="shared" si="426"/>
        <v/>
      </c>
      <c r="OTI33" t="str">
        <f t="shared" si="426"/>
        <v/>
      </c>
      <c r="OTJ33" t="str">
        <f t="shared" si="426"/>
        <v/>
      </c>
      <c r="OTK33" t="str">
        <f t="shared" si="426"/>
        <v/>
      </c>
      <c r="OTL33" t="str">
        <f t="shared" si="426"/>
        <v/>
      </c>
      <c r="OTM33" t="str">
        <f t="shared" si="426"/>
        <v/>
      </c>
      <c r="OTN33" t="str">
        <f t="shared" si="426"/>
        <v/>
      </c>
      <c r="OTO33" t="str">
        <f t="shared" si="426"/>
        <v/>
      </c>
      <c r="OTP33" t="str">
        <f t="shared" si="426"/>
        <v/>
      </c>
      <c r="OTQ33" t="str">
        <f t="shared" si="426"/>
        <v/>
      </c>
      <c r="OTR33" t="str">
        <f t="shared" si="426"/>
        <v/>
      </c>
      <c r="OTS33" t="str">
        <f t="shared" si="426"/>
        <v/>
      </c>
      <c r="OTT33" t="str">
        <f t="shared" si="426"/>
        <v/>
      </c>
      <c r="OTU33" t="str">
        <f t="shared" si="426"/>
        <v/>
      </c>
      <c r="OTV33" t="str">
        <f t="shared" si="426"/>
        <v/>
      </c>
      <c r="OTW33" t="str">
        <f t="shared" si="426"/>
        <v/>
      </c>
      <c r="OTX33" t="str">
        <f t="shared" si="426"/>
        <v/>
      </c>
      <c r="OTY33" t="str">
        <f t="shared" si="426"/>
        <v/>
      </c>
      <c r="OTZ33" t="str">
        <f t="shared" si="426"/>
        <v/>
      </c>
      <c r="OUA33" t="str">
        <f t="shared" si="426"/>
        <v/>
      </c>
      <c r="OUB33" t="str">
        <f t="shared" si="426"/>
        <v/>
      </c>
      <c r="OUC33" t="str">
        <f t="shared" si="426"/>
        <v/>
      </c>
      <c r="OUD33" t="str">
        <f t="shared" si="426"/>
        <v/>
      </c>
      <c r="OUE33" t="str">
        <f t="shared" si="426"/>
        <v/>
      </c>
      <c r="OUF33" t="str">
        <f t="shared" si="426"/>
        <v/>
      </c>
      <c r="OUG33" t="str">
        <f t="shared" si="426"/>
        <v/>
      </c>
      <c r="OUH33" t="str">
        <f t="shared" si="426"/>
        <v/>
      </c>
      <c r="OUI33" t="str">
        <f t="shared" si="426"/>
        <v/>
      </c>
      <c r="OUJ33" t="str">
        <f t="shared" si="426"/>
        <v/>
      </c>
      <c r="OUK33" t="str">
        <f t="shared" si="426"/>
        <v/>
      </c>
      <c r="OUL33" t="str">
        <f t="shared" si="426"/>
        <v/>
      </c>
      <c r="OUM33" t="str">
        <f t="shared" si="426"/>
        <v/>
      </c>
      <c r="OUN33" t="str">
        <f t="shared" si="426"/>
        <v/>
      </c>
      <c r="OUO33" t="str">
        <f t="shared" ref="OUO33:OWZ33" si="427">TRIM(OVF17)</f>
        <v/>
      </c>
      <c r="OUP33" t="str">
        <f t="shared" si="427"/>
        <v/>
      </c>
      <c r="OUQ33" t="str">
        <f t="shared" si="427"/>
        <v/>
      </c>
      <c r="OUR33" t="str">
        <f t="shared" si="427"/>
        <v/>
      </c>
      <c r="OUS33" t="str">
        <f t="shared" si="427"/>
        <v/>
      </c>
      <c r="OUT33" t="str">
        <f t="shared" si="427"/>
        <v/>
      </c>
      <c r="OUU33" t="str">
        <f t="shared" si="427"/>
        <v/>
      </c>
      <c r="OUV33" t="str">
        <f t="shared" si="427"/>
        <v/>
      </c>
      <c r="OUW33" t="str">
        <f t="shared" si="427"/>
        <v/>
      </c>
      <c r="OUX33" t="str">
        <f t="shared" si="427"/>
        <v/>
      </c>
      <c r="OUY33" t="str">
        <f t="shared" si="427"/>
        <v/>
      </c>
      <c r="OUZ33" t="str">
        <f t="shared" si="427"/>
        <v/>
      </c>
      <c r="OVA33" t="str">
        <f t="shared" si="427"/>
        <v/>
      </c>
      <c r="OVB33" t="str">
        <f t="shared" si="427"/>
        <v/>
      </c>
      <c r="OVC33" t="str">
        <f t="shared" si="427"/>
        <v/>
      </c>
      <c r="OVD33" t="str">
        <f t="shared" si="427"/>
        <v/>
      </c>
      <c r="OVE33" t="str">
        <f t="shared" si="427"/>
        <v/>
      </c>
      <c r="OVF33" t="str">
        <f t="shared" si="427"/>
        <v/>
      </c>
      <c r="OVG33" t="str">
        <f t="shared" si="427"/>
        <v/>
      </c>
      <c r="OVH33" t="str">
        <f t="shared" si="427"/>
        <v/>
      </c>
      <c r="OVI33" t="str">
        <f t="shared" si="427"/>
        <v/>
      </c>
      <c r="OVJ33" t="str">
        <f t="shared" si="427"/>
        <v/>
      </c>
      <c r="OVK33" t="str">
        <f t="shared" si="427"/>
        <v/>
      </c>
      <c r="OVL33" t="str">
        <f t="shared" si="427"/>
        <v/>
      </c>
      <c r="OVM33" t="str">
        <f t="shared" si="427"/>
        <v/>
      </c>
      <c r="OVN33" t="str">
        <f t="shared" si="427"/>
        <v/>
      </c>
      <c r="OVO33" t="str">
        <f t="shared" si="427"/>
        <v/>
      </c>
      <c r="OVP33" t="str">
        <f t="shared" si="427"/>
        <v/>
      </c>
      <c r="OVQ33" t="str">
        <f t="shared" si="427"/>
        <v/>
      </c>
      <c r="OVR33" t="str">
        <f t="shared" si="427"/>
        <v/>
      </c>
      <c r="OVS33" t="str">
        <f t="shared" si="427"/>
        <v/>
      </c>
      <c r="OVT33" t="str">
        <f t="shared" si="427"/>
        <v/>
      </c>
      <c r="OVU33" t="str">
        <f t="shared" si="427"/>
        <v/>
      </c>
      <c r="OVV33" t="str">
        <f t="shared" si="427"/>
        <v/>
      </c>
      <c r="OVW33" t="str">
        <f t="shared" si="427"/>
        <v/>
      </c>
      <c r="OVX33" t="str">
        <f t="shared" si="427"/>
        <v/>
      </c>
      <c r="OVY33" t="str">
        <f t="shared" si="427"/>
        <v/>
      </c>
      <c r="OVZ33" t="str">
        <f t="shared" si="427"/>
        <v/>
      </c>
      <c r="OWA33" t="str">
        <f t="shared" si="427"/>
        <v/>
      </c>
      <c r="OWB33" t="str">
        <f t="shared" si="427"/>
        <v/>
      </c>
      <c r="OWC33" t="str">
        <f t="shared" si="427"/>
        <v/>
      </c>
      <c r="OWD33" t="str">
        <f t="shared" si="427"/>
        <v/>
      </c>
      <c r="OWE33" t="str">
        <f t="shared" si="427"/>
        <v/>
      </c>
      <c r="OWF33" t="str">
        <f t="shared" si="427"/>
        <v/>
      </c>
      <c r="OWG33" t="str">
        <f t="shared" si="427"/>
        <v/>
      </c>
      <c r="OWH33" t="str">
        <f t="shared" si="427"/>
        <v/>
      </c>
      <c r="OWI33" t="str">
        <f t="shared" si="427"/>
        <v/>
      </c>
      <c r="OWJ33" t="str">
        <f t="shared" si="427"/>
        <v/>
      </c>
      <c r="OWK33" t="str">
        <f t="shared" si="427"/>
        <v/>
      </c>
      <c r="OWL33" t="str">
        <f t="shared" si="427"/>
        <v/>
      </c>
      <c r="OWM33" t="str">
        <f t="shared" si="427"/>
        <v/>
      </c>
      <c r="OWN33" t="str">
        <f t="shared" si="427"/>
        <v/>
      </c>
      <c r="OWO33" t="str">
        <f t="shared" si="427"/>
        <v/>
      </c>
      <c r="OWP33" t="str">
        <f t="shared" si="427"/>
        <v/>
      </c>
      <c r="OWQ33" t="str">
        <f t="shared" si="427"/>
        <v/>
      </c>
      <c r="OWR33" t="str">
        <f t="shared" si="427"/>
        <v/>
      </c>
      <c r="OWS33" t="str">
        <f t="shared" si="427"/>
        <v/>
      </c>
      <c r="OWT33" t="str">
        <f t="shared" si="427"/>
        <v/>
      </c>
      <c r="OWU33" t="str">
        <f t="shared" si="427"/>
        <v/>
      </c>
      <c r="OWV33" t="str">
        <f t="shared" si="427"/>
        <v/>
      </c>
      <c r="OWW33" t="str">
        <f t="shared" si="427"/>
        <v/>
      </c>
      <c r="OWX33" t="str">
        <f t="shared" si="427"/>
        <v/>
      </c>
      <c r="OWY33" t="str">
        <f t="shared" si="427"/>
        <v/>
      </c>
      <c r="OWZ33" t="str">
        <f t="shared" si="427"/>
        <v/>
      </c>
      <c r="OXA33" t="str">
        <f t="shared" ref="OXA33:OZL33" si="428">TRIM(OXR17)</f>
        <v/>
      </c>
      <c r="OXB33" t="str">
        <f t="shared" si="428"/>
        <v/>
      </c>
      <c r="OXC33" t="str">
        <f t="shared" si="428"/>
        <v/>
      </c>
      <c r="OXD33" t="str">
        <f t="shared" si="428"/>
        <v/>
      </c>
      <c r="OXE33" t="str">
        <f t="shared" si="428"/>
        <v/>
      </c>
      <c r="OXF33" t="str">
        <f t="shared" si="428"/>
        <v/>
      </c>
      <c r="OXG33" t="str">
        <f t="shared" si="428"/>
        <v/>
      </c>
      <c r="OXH33" t="str">
        <f t="shared" si="428"/>
        <v/>
      </c>
      <c r="OXI33" t="str">
        <f t="shared" si="428"/>
        <v/>
      </c>
      <c r="OXJ33" t="str">
        <f t="shared" si="428"/>
        <v/>
      </c>
      <c r="OXK33" t="str">
        <f t="shared" si="428"/>
        <v/>
      </c>
      <c r="OXL33" t="str">
        <f t="shared" si="428"/>
        <v/>
      </c>
      <c r="OXM33" t="str">
        <f t="shared" si="428"/>
        <v/>
      </c>
      <c r="OXN33" t="str">
        <f t="shared" si="428"/>
        <v/>
      </c>
      <c r="OXO33" t="str">
        <f t="shared" si="428"/>
        <v/>
      </c>
      <c r="OXP33" t="str">
        <f t="shared" si="428"/>
        <v/>
      </c>
      <c r="OXQ33" t="str">
        <f t="shared" si="428"/>
        <v/>
      </c>
      <c r="OXR33" t="str">
        <f t="shared" si="428"/>
        <v/>
      </c>
      <c r="OXS33" t="str">
        <f t="shared" si="428"/>
        <v/>
      </c>
      <c r="OXT33" t="str">
        <f t="shared" si="428"/>
        <v/>
      </c>
      <c r="OXU33" t="str">
        <f t="shared" si="428"/>
        <v/>
      </c>
      <c r="OXV33" t="str">
        <f t="shared" si="428"/>
        <v/>
      </c>
      <c r="OXW33" t="str">
        <f t="shared" si="428"/>
        <v/>
      </c>
      <c r="OXX33" t="str">
        <f t="shared" si="428"/>
        <v/>
      </c>
      <c r="OXY33" t="str">
        <f t="shared" si="428"/>
        <v/>
      </c>
      <c r="OXZ33" t="str">
        <f t="shared" si="428"/>
        <v/>
      </c>
      <c r="OYA33" t="str">
        <f t="shared" si="428"/>
        <v/>
      </c>
      <c r="OYB33" t="str">
        <f t="shared" si="428"/>
        <v/>
      </c>
      <c r="OYC33" t="str">
        <f t="shared" si="428"/>
        <v/>
      </c>
      <c r="OYD33" t="str">
        <f t="shared" si="428"/>
        <v/>
      </c>
      <c r="OYE33" t="str">
        <f t="shared" si="428"/>
        <v/>
      </c>
      <c r="OYF33" t="str">
        <f t="shared" si="428"/>
        <v/>
      </c>
      <c r="OYG33" t="str">
        <f t="shared" si="428"/>
        <v/>
      </c>
      <c r="OYH33" t="str">
        <f t="shared" si="428"/>
        <v/>
      </c>
      <c r="OYI33" t="str">
        <f t="shared" si="428"/>
        <v/>
      </c>
      <c r="OYJ33" t="str">
        <f t="shared" si="428"/>
        <v/>
      </c>
      <c r="OYK33" t="str">
        <f t="shared" si="428"/>
        <v/>
      </c>
      <c r="OYL33" t="str">
        <f t="shared" si="428"/>
        <v/>
      </c>
      <c r="OYM33" t="str">
        <f t="shared" si="428"/>
        <v/>
      </c>
      <c r="OYN33" t="str">
        <f t="shared" si="428"/>
        <v/>
      </c>
      <c r="OYO33" t="str">
        <f t="shared" si="428"/>
        <v/>
      </c>
      <c r="OYP33" t="str">
        <f t="shared" si="428"/>
        <v/>
      </c>
      <c r="OYQ33" t="str">
        <f t="shared" si="428"/>
        <v/>
      </c>
      <c r="OYR33" t="str">
        <f t="shared" si="428"/>
        <v/>
      </c>
      <c r="OYS33" t="str">
        <f t="shared" si="428"/>
        <v/>
      </c>
      <c r="OYT33" t="str">
        <f t="shared" si="428"/>
        <v/>
      </c>
      <c r="OYU33" t="str">
        <f t="shared" si="428"/>
        <v/>
      </c>
      <c r="OYV33" t="str">
        <f t="shared" si="428"/>
        <v/>
      </c>
      <c r="OYW33" t="str">
        <f t="shared" si="428"/>
        <v/>
      </c>
      <c r="OYX33" t="str">
        <f t="shared" si="428"/>
        <v/>
      </c>
      <c r="OYY33" t="str">
        <f t="shared" si="428"/>
        <v/>
      </c>
      <c r="OYZ33" t="str">
        <f t="shared" si="428"/>
        <v/>
      </c>
      <c r="OZA33" t="str">
        <f t="shared" si="428"/>
        <v/>
      </c>
      <c r="OZB33" t="str">
        <f t="shared" si="428"/>
        <v/>
      </c>
      <c r="OZC33" t="str">
        <f t="shared" si="428"/>
        <v/>
      </c>
      <c r="OZD33" t="str">
        <f t="shared" si="428"/>
        <v/>
      </c>
      <c r="OZE33" t="str">
        <f t="shared" si="428"/>
        <v/>
      </c>
      <c r="OZF33" t="str">
        <f t="shared" si="428"/>
        <v/>
      </c>
      <c r="OZG33" t="str">
        <f t="shared" si="428"/>
        <v/>
      </c>
      <c r="OZH33" t="str">
        <f t="shared" si="428"/>
        <v/>
      </c>
      <c r="OZI33" t="str">
        <f t="shared" si="428"/>
        <v/>
      </c>
      <c r="OZJ33" t="str">
        <f t="shared" si="428"/>
        <v/>
      </c>
      <c r="OZK33" t="str">
        <f t="shared" si="428"/>
        <v/>
      </c>
      <c r="OZL33" t="str">
        <f t="shared" si="428"/>
        <v/>
      </c>
      <c r="OZM33" t="str">
        <f t="shared" ref="OZM33:PBX33" si="429">TRIM(PAD17)</f>
        <v/>
      </c>
      <c r="OZN33" t="str">
        <f t="shared" si="429"/>
        <v/>
      </c>
      <c r="OZO33" t="str">
        <f t="shared" si="429"/>
        <v/>
      </c>
      <c r="OZP33" t="str">
        <f t="shared" si="429"/>
        <v/>
      </c>
      <c r="OZQ33" t="str">
        <f t="shared" si="429"/>
        <v/>
      </c>
      <c r="OZR33" t="str">
        <f t="shared" si="429"/>
        <v/>
      </c>
      <c r="OZS33" t="str">
        <f t="shared" si="429"/>
        <v/>
      </c>
      <c r="OZT33" t="str">
        <f t="shared" si="429"/>
        <v/>
      </c>
      <c r="OZU33" t="str">
        <f t="shared" si="429"/>
        <v/>
      </c>
      <c r="OZV33" t="str">
        <f t="shared" si="429"/>
        <v/>
      </c>
      <c r="OZW33" t="str">
        <f t="shared" si="429"/>
        <v/>
      </c>
      <c r="OZX33" t="str">
        <f t="shared" si="429"/>
        <v/>
      </c>
      <c r="OZY33" t="str">
        <f t="shared" si="429"/>
        <v/>
      </c>
      <c r="OZZ33" t="str">
        <f t="shared" si="429"/>
        <v/>
      </c>
      <c r="PAA33" t="str">
        <f t="shared" si="429"/>
        <v/>
      </c>
      <c r="PAB33" t="str">
        <f t="shared" si="429"/>
        <v/>
      </c>
      <c r="PAC33" t="str">
        <f t="shared" si="429"/>
        <v/>
      </c>
      <c r="PAD33" t="str">
        <f t="shared" si="429"/>
        <v/>
      </c>
      <c r="PAE33" t="str">
        <f t="shared" si="429"/>
        <v/>
      </c>
      <c r="PAF33" t="str">
        <f t="shared" si="429"/>
        <v/>
      </c>
      <c r="PAG33" t="str">
        <f t="shared" si="429"/>
        <v/>
      </c>
      <c r="PAH33" t="str">
        <f t="shared" si="429"/>
        <v/>
      </c>
      <c r="PAI33" t="str">
        <f t="shared" si="429"/>
        <v/>
      </c>
      <c r="PAJ33" t="str">
        <f t="shared" si="429"/>
        <v/>
      </c>
      <c r="PAK33" t="str">
        <f t="shared" si="429"/>
        <v/>
      </c>
      <c r="PAL33" t="str">
        <f t="shared" si="429"/>
        <v/>
      </c>
      <c r="PAM33" t="str">
        <f t="shared" si="429"/>
        <v/>
      </c>
      <c r="PAN33" t="str">
        <f t="shared" si="429"/>
        <v/>
      </c>
      <c r="PAO33" t="str">
        <f t="shared" si="429"/>
        <v/>
      </c>
      <c r="PAP33" t="str">
        <f t="shared" si="429"/>
        <v/>
      </c>
      <c r="PAQ33" t="str">
        <f t="shared" si="429"/>
        <v/>
      </c>
      <c r="PAR33" t="str">
        <f t="shared" si="429"/>
        <v/>
      </c>
      <c r="PAS33" t="str">
        <f t="shared" si="429"/>
        <v/>
      </c>
      <c r="PAT33" t="str">
        <f t="shared" si="429"/>
        <v/>
      </c>
      <c r="PAU33" t="str">
        <f t="shared" si="429"/>
        <v/>
      </c>
      <c r="PAV33" t="str">
        <f t="shared" si="429"/>
        <v/>
      </c>
      <c r="PAW33" t="str">
        <f t="shared" si="429"/>
        <v/>
      </c>
      <c r="PAX33" t="str">
        <f t="shared" si="429"/>
        <v/>
      </c>
      <c r="PAY33" t="str">
        <f t="shared" si="429"/>
        <v/>
      </c>
      <c r="PAZ33" t="str">
        <f t="shared" si="429"/>
        <v/>
      </c>
      <c r="PBA33" t="str">
        <f t="shared" si="429"/>
        <v/>
      </c>
      <c r="PBB33" t="str">
        <f t="shared" si="429"/>
        <v/>
      </c>
      <c r="PBC33" t="str">
        <f t="shared" si="429"/>
        <v/>
      </c>
      <c r="PBD33" t="str">
        <f t="shared" si="429"/>
        <v/>
      </c>
      <c r="PBE33" t="str">
        <f t="shared" si="429"/>
        <v/>
      </c>
      <c r="PBF33" t="str">
        <f t="shared" si="429"/>
        <v/>
      </c>
      <c r="PBG33" t="str">
        <f t="shared" si="429"/>
        <v/>
      </c>
      <c r="PBH33" t="str">
        <f t="shared" si="429"/>
        <v/>
      </c>
      <c r="PBI33" t="str">
        <f t="shared" si="429"/>
        <v/>
      </c>
      <c r="PBJ33" t="str">
        <f t="shared" si="429"/>
        <v/>
      </c>
      <c r="PBK33" t="str">
        <f t="shared" si="429"/>
        <v/>
      </c>
      <c r="PBL33" t="str">
        <f t="shared" si="429"/>
        <v/>
      </c>
      <c r="PBM33" t="str">
        <f t="shared" si="429"/>
        <v/>
      </c>
      <c r="PBN33" t="str">
        <f t="shared" si="429"/>
        <v/>
      </c>
      <c r="PBO33" t="str">
        <f t="shared" si="429"/>
        <v/>
      </c>
      <c r="PBP33" t="str">
        <f t="shared" si="429"/>
        <v/>
      </c>
      <c r="PBQ33" t="str">
        <f t="shared" si="429"/>
        <v/>
      </c>
      <c r="PBR33" t="str">
        <f t="shared" si="429"/>
        <v/>
      </c>
      <c r="PBS33" t="str">
        <f t="shared" si="429"/>
        <v/>
      </c>
      <c r="PBT33" t="str">
        <f t="shared" si="429"/>
        <v/>
      </c>
      <c r="PBU33" t="str">
        <f t="shared" si="429"/>
        <v/>
      </c>
      <c r="PBV33" t="str">
        <f t="shared" si="429"/>
        <v/>
      </c>
      <c r="PBW33" t="str">
        <f t="shared" si="429"/>
        <v/>
      </c>
      <c r="PBX33" t="str">
        <f t="shared" si="429"/>
        <v/>
      </c>
      <c r="PBY33" t="str">
        <f t="shared" ref="PBY33:PEJ33" si="430">TRIM(PCP17)</f>
        <v/>
      </c>
      <c r="PBZ33" t="str">
        <f t="shared" si="430"/>
        <v/>
      </c>
      <c r="PCA33" t="str">
        <f t="shared" si="430"/>
        <v/>
      </c>
      <c r="PCB33" t="str">
        <f t="shared" si="430"/>
        <v/>
      </c>
      <c r="PCC33" t="str">
        <f t="shared" si="430"/>
        <v/>
      </c>
      <c r="PCD33" t="str">
        <f t="shared" si="430"/>
        <v/>
      </c>
      <c r="PCE33" t="str">
        <f t="shared" si="430"/>
        <v/>
      </c>
      <c r="PCF33" t="str">
        <f t="shared" si="430"/>
        <v/>
      </c>
      <c r="PCG33" t="str">
        <f t="shared" si="430"/>
        <v/>
      </c>
      <c r="PCH33" t="str">
        <f t="shared" si="430"/>
        <v/>
      </c>
      <c r="PCI33" t="str">
        <f t="shared" si="430"/>
        <v/>
      </c>
      <c r="PCJ33" t="str">
        <f t="shared" si="430"/>
        <v/>
      </c>
      <c r="PCK33" t="str">
        <f t="shared" si="430"/>
        <v/>
      </c>
      <c r="PCL33" t="str">
        <f t="shared" si="430"/>
        <v/>
      </c>
      <c r="PCM33" t="str">
        <f t="shared" si="430"/>
        <v/>
      </c>
      <c r="PCN33" t="str">
        <f t="shared" si="430"/>
        <v/>
      </c>
      <c r="PCO33" t="str">
        <f t="shared" si="430"/>
        <v/>
      </c>
      <c r="PCP33" t="str">
        <f t="shared" si="430"/>
        <v/>
      </c>
      <c r="PCQ33" t="str">
        <f t="shared" si="430"/>
        <v/>
      </c>
      <c r="PCR33" t="str">
        <f t="shared" si="430"/>
        <v/>
      </c>
      <c r="PCS33" t="str">
        <f t="shared" si="430"/>
        <v/>
      </c>
      <c r="PCT33" t="str">
        <f t="shared" si="430"/>
        <v/>
      </c>
      <c r="PCU33" t="str">
        <f t="shared" si="430"/>
        <v/>
      </c>
      <c r="PCV33" t="str">
        <f t="shared" si="430"/>
        <v/>
      </c>
      <c r="PCW33" t="str">
        <f t="shared" si="430"/>
        <v/>
      </c>
      <c r="PCX33" t="str">
        <f t="shared" si="430"/>
        <v/>
      </c>
      <c r="PCY33" t="str">
        <f t="shared" si="430"/>
        <v/>
      </c>
      <c r="PCZ33" t="str">
        <f t="shared" si="430"/>
        <v/>
      </c>
      <c r="PDA33" t="str">
        <f t="shared" si="430"/>
        <v/>
      </c>
      <c r="PDB33" t="str">
        <f t="shared" si="430"/>
        <v/>
      </c>
      <c r="PDC33" t="str">
        <f t="shared" si="430"/>
        <v/>
      </c>
      <c r="PDD33" t="str">
        <f t="shared" si="430"/>
        <v/>
      </c>
      <c r="PDE33" t="str">
        <f t="shared" si="430"/>
        <v/>
      </c>
      <c r="PDF33" t="str">
        <f t="shared" si="430"/>
        <v/>
      </c>
      <c r="PDG33" t="str">
        <f t="shared" si="430"/>
        <v/>
      </c>
      <c r="PDH33" t="str">
        <f t="shared" si="430"/>
        <v/>
      </c>
      <c r="PDI33" t="str">
        <f t="shared" si="430"/>
        <v/>
      </c>
      <c r="PDJ33" t="str">
        <f t="shared" si="430"/>
        <v/>
      </c>
      <c r="PDK33" t="str">
        <f t="shared" si="430"/>
        <v/>
      </c>
      <c r="PDL33" t="str">
        <f t="shared" si="430"/>
        <v/>
      </c>
      <c r="PDM33" t="str">
        <f t="shared" si="430"/>
        <v/>
      </c>
      <c r="PDN33" t="str">
        <f t="shared" si="430"/>
        <v/>
      </c>
      <c r="PDO33" t="str">
        <f t="shared" si="430"/>
        <v/>
      </c>
      <c r="PDP33" t="str">
        <f t="shared" si="430"/>
        <v/>
      </c>
      <c r="PDQ33" t="str">
        <f t="shared" si="430"/>
        <v/>
      </c>
      <c r="PDR33" t="str">
        <f t="shared" si="430"/>
        <v/>
      </c>
      <c r="PDS33" t="str">
        <f t="shared" si="430"/>
        <v/>
      </c>
      <c r="PDT33" t="str">
        <f t="shared" si="430"/>
        <v/>
      </c>
      <c r="PDU33" t="str">
        <f t="shared" si="430"/>
        <v/>
      </c>
      <c r="PDV33" t="str">
        <f t="shared" si="430"/>
        <v/>
      </c>
      <c r="PDW33" t="str">
        <f t="shared" si="430"/>
        <v/>
      </c>
      <c r="PDX33" t="str">
        <f t="shared" si="430"/>
        <v/>
      </c>
      <c r="PDY33" t="str">
        <f t="shared" si="430"/>
        <v/>
      </c>
      <c r="PDZ33" t="str">
        <f t="shared" si="430"/>
        <v/>
      </c>
      <c r="PEA33" t="str">
        <f t="shared" si="430"/>
        <v/>
      </c>
      <c r="PEB33" t="str">
        <f t="shared" si="430"/>
        <v/>
      </c>
      <c r="PEC33" t="str">
        <f t="shared" si="430"/>
        <v/>
      </c>
      <c r="PED33" t="str">
        <f t="shared" si="430"/>
        <v/>
      </c>
      <c r="PEE33" t="str">
        <f t="shared" si="430"/>
        <v/>
      </c>
      <c r="PEF33" t="str">
        <f t="shared" si="430"/>
        <v/>
      </c>
      <c r="PEG33" t="str">
        <f t="shared" si="430"/>
        <v/>
      </c>
      <c r="PEH33" t="str">
        <f t="shared" si="430"/>
        <v/>
      </c>
      <c r="PEI33" t="str">
        <f t="shared" si="430"/>
        <v/>
      </c>
      <c r="PEJ33" t="str">
        <f t="shared" si="430"/>
        <v/>
      </c>
      <c r="PEK33" t="str">
        <f t="shared" ref="PEK33:PGV33" si="431">TRIM(PFB17)</f>
        <v/>
      </c>
      <c r="PEL33" t="str">
        <f t="shared" si="431"/>
        <v/>
      </c>
      <c r="PEM33" t="str">
        <f t="shared" si="431"/>
        <v/>
      </c>
      <c r="PEN33" t="str">
        <f t="shared" si="431"/>
        <v/>
      </c>
      <c r="PEO33" t="str">
        <f t="shared" si="431"/>
        <v/>
      </c>
      <c r="PEP33" t="str">
        <f t="shared" si="431"/>
        <v/>
      </c>
      <c r="PEQ33" t="str">
        <f t="shared" si="431"/>
        <v/>
      </c>
      <c r="PER33" t="str">
        <f t="shared" si="431"/>
        <v/>
      </c>
      <c r="PES33" t="str">
        <f t="shared" si="431"/>
        <v/>
      </c>
      <c r="PET33" t="str">
        <f t="shared" si="431"/>
        <v/>
      </c>
      <c r="PEU33" t="str">
        <f t="shared" si="431"/>
        <v/>
      </c>
      <c r="PEV33" t="str">
        <f t="shared" si="431"/>
        <v/>
      </c>
      <c r="PEW33" t="str">
        <f t="shared" si="431"/>
        <v/>
      </c>
      <c r="PEX33" t="str">
        <f t="shared" si="431"/>
        <v/>
      </c>
      <c r="PEY33" t="str">
        <f t="shared" si="431"/>
        <v/>
      </c>
      <c r="PEZ33" t="str">
        <f t="shared" si="431"/>
        <v/>
      </c>
      <c r="PFA33" t="str">
        <f t="shared" si="431"/>
        <v/>
      </c>
      <c r="PFB33" t="str">
        <f t="shared" si="431"/>
        <v/>
      </c>
      <c r="PFC33" t="str">
        <f t="shared" si="431"/>
        <v/>
      </c>
      <c r="PFD33" t="str">
        <f t="shared" si="431"/>
        <v/>
      </c>
      <c r="PFE33" t="str">
        <f t="shared" si="431"/>
        <v/>
      </c>
      <c r="PFF33" t="str">
        <f t="shared" si="431"/>
        <v/>
      </c>
      <c r="PFG33" t="str">
        <f t="shared" si="431"/>
        <v/>
      </c>
      <c r="PFH33" t="str">
        <f t="shared" si="431"/>
        <v/>
      </c>
      <c r="PFI33" t="str">
        <f t="shared" si="431"/>
        <v/>
      </c>
      <c r="PFJ33" t="str">
        <f t="shared" si="431"/>
        <v/>
      </c>
      <c r="PFK33" t="str">
        <f t="shared" si="431"/>
        <v/>
      </c>
      <c r="PFL33" t="str">
        <f t="shared" si="431"/>
        <v/>
      </c>
      <c r="PFM33" t="str">
        <f t="shared" si="431"/>
        <v/>
      </c>
      <c r="PFN33" t="str">
        <f t="shared" si="431"/>
        <v/>
      </c>
      <c r="PFO33" t="str">
        <f t="shared" si="431"/>
        <v/>
      </c>
      <c r="PFP33" t="str">
        <f t="shared" si="431"/>
        <v/>
      </c>
      <c r="PFQ33" t="str">
        <f t="shared" si="431"/>
        <v/>
      </c>
      <c r="PFR33" t="str">
        <f t="shared" si="431"/>
        <v/>
      </c>
      <c r="PFS33" t="str">
        <f t="shared" si="431"/>
        <v/>
      </c>
      <c r="PFT33" t="str">
        <f t="shared" si="431"/>
        <v/>
      </c>
      <c r="PFU33" t="str">
        <f t="shared" si="431"/>
        <v/>
      </c>
      <c r="PFV33" t="str">
        <f t="shared" si="431"/>
        <v/>
      </c>
      <c r="PFW33" t="str">
        <f t="shared" si="431"/>
        <v/>
      </c>
      <c r="PFX33" t="str">
        <f t="shared" si="431"/>
        <v/>
      </c>
      <c r="PFY33" t="str">
        <f t="shared" si="431"/>
        <v/>
      </c>
      <c r="PFZ33" t="str">
        <f t="shared" si="431"/>
        <v/>
      </c>
      <c r="PGA33" t="str">
        <f t="shared" si="431"/>
        <v/>
      </c>
      <c r="PGB33" t="str">
        <f t="shared" si="431"/>
        <v/>
      </c>
      <c r="PGC33" t="str">
        <f t="shared" si="431"/>
        <v/>
      </c>
      <c r="PGD33" t="str">
        <f t="shared" si="431"/>
        <v/>
      </c>
      <c r="PGE33" t="str">
        <f t="shared" si="431"/>
        <v/>
      </c>
      <c r="PGF33" t="str">
        <f t="shared" si="431"/>
        <v/>
      </c>
      <c r="PGG33" t="str">
        <f t="shared" si="431"/>
        <v/>
      </c>
      <c r="PGH33" t="str">
        <f t="shared" si="431"/>
        <v/>
      </c>
      <c r="PGI33" t="str">
        <f t="shared" si="431"/>
        <v/>
      </c>
      <c r="PGJ33" t="str">
        <f t="shared" si="431"/>
        <v/>
      </c>
      <c r="PGK33" t="str">
        <f t="shared" si="431"/>
        <v/>
      </c>
      <c r="PGL33" t="str">
        <f t="shared" si="431"/>
        <v/>
      </c>
      <c r="PGM33" t="str">
        <f t="shared" si="431"/>
        <v/>
      </c>
      <c r="PGN33" t="str">
        <f t="shared" si="431"/>
        <v/>
      </c>
      <c r="PGO33" t="str">
        <f t="shared" si="431"/>
        <v/>
      </c>
      <c r="PGP33" t="str">
        <f t="shared" si="431"/>
        <v/>
      </c>
      <c r="PGQ33" t="str">
        <f t="shared" si="431"/>
        <v/>
      </c>
      <c r="PGR33" t="str">
        <f t="shared" si="431"/>
        <v/>
      </c>
      <c r="PGS33" t="str">
        <f t="shared" si="431"/>
        <v/>
      </c>
      <c r="PGT33" t="str">
        <f t="shared" si="431"/>
        <v/>
      </c>
      <c r="PGU33" t="str">
        <f t="shared" si="431"/>
        <v/>
      </c>
      <c r="PGV33" t="str">
        <f t="shared" si="431"/>
        <v/>
      </c>
      <c r="PGW33" t="str">
        <f t="shared" ref="PGW33:PJH33" si="432">TRIM(PHN17)</f>
        <v/>
      </c>
      <c r="PGX33" t="str">
        <f t="shared" si="432"/>
        <v/>
      </c>
      <c r="PGY33" t="str">
        <f t="shared" si="432"/>
        <v/>
      </c>
      <c r="PGZ33" t="str">
        <f t="shared" si="432"/>
        <v/>
      </c>
      <c r="PHA33" t="str">
        <f t="shared" si="432"/>
        <v/>
      </c>
      <c r="PHB33" t="str">
        <f t="shared" si="432"/>
        <v/>
      </c>
      <c r="PHC33" t="str">
        <f t="shared" si="432"/>
        <v/>
      </c>
      <c r="PHD33" t="str">
        <f t="shared" si="432"/>
        <v/>
      </c>
      <c r="PHE33" t="str">
        <f t="shared" si="432"/>
        <v/>
      </c>
      <c r="PHF33" t="str">
        <f t="shared" si="432"/>
        <v/>
      </c>
      <c r="PHG33" t="str">
        <f t="shared" si="432"/>
        <v/>
      </c>
      <c r="PHH33" t="str">
        <f t="shared" si="432"/>
        <v/>
      </c>
      <c r="PHI33" t="str">
        <f t="shared" si="432"/>
        <v/>
      </c>
      <c r="PHJ33" t="str">
        <f t="shared" si="432"/>
        <v/>
      </c>
      <c r="PHK33" t="str">
        <f t="shared" si="432"/>
        <v/>
      </c>
      <c r="PHL33" t="str">
        <f t="shared" si="432"/>
        <v/>
      </c>
      <c r="PHM33" t="str">
        <f t="shared" si="432"/>
        <v/>
      </c>
      <c r="PHN33" t="str">
        <f t="shared" si="432"/>
        <v/>
      </c>
      <c r="PHO33" t="str">
        <f t="shared" si="432"/>
        <v/>
      </c>
      <c r="PHP33" t="str">
        <f t="shared" si="432"/>
        <v/>
      </c>
      <c r="PHQ33" t="str">
        <f t="shared" si="432"/>
        <v/>
      </c>
      <c r="PHR33" t="str">
        <f t="shared" si="432"/>
        <v/>
      </c>
      <c r="PHS33" t="str">
        <f t="shared" si="432"/>
        <v/>
      </c>
      <c r="PHT33" t="str">
        <f t="shared" si="432"/>
        <v/>
      </c>
      <c r="PHU33" t="str">
        <f t="shared" si="432"/>
        <v/>
      </c>
      <c r="PHV33" t="str">
        <f t="shared" si="432"/>
        <v/>
      </c>
      <c r="PHW33" t="str">
        <f t="shared" si="432"/>
        <v/>
      </c>
      <c r="PHX33" t="str">
        <f t="shared" si="432"/>
        <v/>
      </c>
      <c r="PHY33" t="str">
        <f t="shared" si="432"/>
        <v/>
      </c>
      <c r="PHZ33" t="str">
        <f t="shared" si="432"/>
        <v/>
      </c>
      <c r="PIA33" t="str">
        <f t="shared" si="432"/>
        <v/>
      </c>
      <c r="PIB33" t="str">
        <f t="shared" si="432"/>
        <v/>
      </c>
      <c r="PIC33" t="str">
        <f t="shared" si="432"/>
        <v/>
      </c>
      <c r="PID33" t="str">
        <f t="shared" si="432"/>
        <v/>
      </c>
      <c r="PIE33" t="str">
        <f t="shared" si="432"/>
        <v/>
      </c>
      <c r="PIF33" t="str">
        <f t="shared" si="432"/>
        <v/>
      </c>
      <c r="PIG33" t="str">
        <f t="shared" si="432"/>
        <v/>
      </c>
      <c r="PIH33" t="str">
        <f t="shared" si="432"/>
        <v/>
      </c>
      <c r="PII33" t="str">
        <f t="shared" si="432"/>
        <v/>
      </c>
      <c r="PIJ33" t="str">
        <f t="shared" si="432"/>
        <v/>
      </c>
      <c r="PIK33" t="str">
        <f t="shared" si="432"/>
        <v/>
      </c>
      <c r="PIL33" t="str">
        <f t="shared" si="432"/>
        <v/>
      </c>
      <c r="PIM33" t="str">
        <f t="shared" si="432"/>
        <v/>
      </c>
      <c r="PIN33" t="str">
        <f t="shared" si="432"/>
        <v/>
      </c>
      <c r="PIO33" t="str">
        <f t="shared" si="432"/>
        <v/>
      </c>
      <c r="PIP33" t="str">
        <f t="shared" si="432"/>
        <v/>
      </c>
      <c r="PIQ33" t="str">
        <f t="shared" si="432"/>
        <v/>
      </c>
      <c r="PIR33" t="str">
        <f t="shared" si="432"/>
        <v/>
      </c>
      <c r="PIS33" t="str">
        <f t="shared" si="432"/>
        <v/>
      </c>
      <c r="PIT33" t="str">
        <f t="shared" si="432"/>
        <v/>
      </c>
      <c r="PIU33" t="str">
        <f t="shared" si="432"/>
        <v/>
      </c>
      <c r="PIV33" t="str">
        <f t="shared" si="432"/>
        <v/>
      </c>
      <c r="PIW33" t="str">
        <f t="shared" si="432"/>
        <v/>
      </c>
      <c r="PIX33" t="str">
        <f t="shared" si="432"/>
        <v/>
      </c>
      <c r="PIY33" t="str">
        <f t="shared" si="432"/>
        <v/>
      </c>
      <c r="PIZ33" t="str">
        <f t="shared" si="432"/>
        <v/>
      </c>
      <c r="PJA33" t="str">
        <f t="shared" si="432"/>
        <v/>
      </c>
      <c r="PJB33" t="str">
        <f t="shared" si="432"/>
        <v/>
      </c>
      <c r="PJC33" t="str">
        <f t="shared" si="432"/>
        <v/>
      </c>
      <c r="PJD33" t="str">
        <f t="shared" si="432"/>
        <v/>
      </c>
      <c r="PJE33" t="str">
        <f t="shared" si="432"/>
        <v/>
      </c>
      <c r="PJF33" t="str">
        <f t="shared" si="432"/>
        <v/>
      </c>
      <c r="PJG33" t="str">
        <f t="shared" si="432"/>
        <v/>
      </c>
      <c r="PJH33" t="str">
        <f t="shared" si="432"/>
        <v/>
      </c>
      <c r="PJI33" t="str">
        <f t="shared" ref="PJI33:PLT33" si="433">TRIM(PJZ17)</f>
        <v/>
      </c>
      <c r="PJJ33" t="str">
        <f t="shared" si="433"/>
        <v/>
      </c>
      <c r="PJK33" t="str">
        <f t="shared" si="433"/>
        <v/>
      </c>
      <c r="PJL33" t="str">
        <f t="shared" si="433"/>
        <v/>
      </c>
      <c r="PJM33" t="str">
        <f t="shared" si="433"/>
        <v/>
      </c>
      <c r="PJN33" t="str">
        <f t="shared" si="433"/>
        <v/>
      </c>
      <c r="PJO33" t="str">
        <f t="shared" si="433"/>
        <v/>
      </c>
      <c r="PJP33" t="str">
        <f t="shared" si="433"/>
        <v/>
      </c>
      <c r="PJQ33" t="str">
        <f t="shared" si="433"/>
        <v/>
      </c>
      <c r="PJR33" t="str">
        <f t="shared" si="433"/>
        <v/>
      </c>
      <c r="PJS33" t="str">
        <f t="shared" si="433"/>
        <v/>
      </c>
      <c r="PJT33" t="str">
        <f t="shared" si="433"/>
        <v/>
      </c>
      <c r="PJU33" t="str">
        <f t="shared" si="433"/>
        <v/>
      </c>
      <c r="PJV33" t="str">
        <f t="shared" si="433"/>
        <v/>
      </c>
      <c r="PJW33" t="str">
        <f t="shared" si="433"/>
        <v/>
      </c>
      <c r="PJX33" t="str">
        <f t="shared" si="433"/>
        <v/>
      </c>
      <c r="PJY33" t="str">
        <f t="shared" si="433"/>
        <v/>
      </c>
      <c r="PJZ33" t="str">
        <f t="shared" si="433"/>
        <v/>
      </c>
      <c r="PKA33" t="str">
        <f t="shared" si="433"/>
        <v/>
      </c>
      <c r="PKB33" t="str">
        <f t="shared" si="433"/>
        <v/>
      </c>
      <c r="PKC33" t="str">
        <f t="shared" si="433"/>
        <v/>
      </c>
      <c r="PKD33" t="str">
        <f t="shared" si="433"/>
        <v/>
      </c>
      <c r="PKE33" t="str">
        <f t="shared" si="433"/>
        <v/>
      </c>
      <c r="PKF33" t="str">
        <f t="shared" si="433"/>
        <v/>
      </c>
      <c r="PKG33" t="str">
        <f t="shared" si="433"/>
        <v/>
      </c>
      <c r="PKH33" t="str">
        <f t="shared" si="433"/>
        <v/>
      </c>
      <c r="PKI33" t="str">
        <f t="shared" si="433"/>
        <v/>
      </c>
      <c r="PKJ33" t="str">
        <f t="shared" si="433"/>
        <v/>
      </c>
      <c r="PKK33" t="str">
        <f t="shared" si="433"/>
        <v/>
      </c>
      <c r="PKL33" t="str">
        <f t="shared" si="433"/>
        <v/>
      </c>
      <c r="PKM33" t="str">
        <f t="shared" si="433"/>
        <v/>
      </c>
      <c r="PKN33" t="str">
        <f t="shared" si="433"/>
        <v/>
      </c>
      <c r="PKO33" t="str">
        <f t="shared" si="433"/>
        <v/>
      </c>
      <c r="PKP33" t="str">
        <f t="shared" si="433"/>
        <v/>
      </c>
      <c r="PKQ33" t="str">
        <f t="shared" si="433"/>
        <v/>
      </c>
      <c r="PKR33" t="str">
        <f t="shared" si="433"/>
        <v/>
      </c>
      <c r="PKS33" t="str">
        <f t="shared" si="433"/>
        <v/>
      </c>
      <c r="PKT33" t="str">
        <f t="shared" si="433"/>
        <v/>
      </c>
      <c r="PKU33" t="str">
        <f t="shared" si="433"/>
        <v/>
      </c>
      <c r="PKV33" t="str">
        <f t="shared" si="433"/>
        <v/>
      </c>
      <c r="PKW33" t="str">
        <f t="shared" si="433"/>
        <v/>
      </c>
      <c r="PKX33" t="str">
        <f t="shared" si="433"/>
        <v/>
      </c>
      <c r="PKY33" t="str">
        <f t="shared" si="433"/>
        <v/>
      </c>
      <c r="PKZ33" t="str">
        <f t="shared" si="433"/>
        <v/>
      </c>
      <c r="PLA33" t="str">
        <f t="shared" si="433"/>
        <v/>
      </c>
      <c r="PLB33" t="str">
        <f t="shared" si="433"/>
        <v/>
      </c>
      <c r="PLC33" t="str">
        <f t="shared" si="433"/>
        <v/>
      </c>
      <c r="PLD33" t="str">
        <f t="shared" si="433"/>
        <v/>
      </c>
      <c r="PLE33" t="str">
        <f t="shared" si="433"/>
        <v/>
      </c>
      <c r="PLF33" t="str">
        <f t="shared" si="433"/>
        <v/>
      </c>
      <c r="PLG33" t="str">
        <f t="shared" si="433"/>
        <v/>
      </c>
      <c r="PLH33" t="str">
        <f t="shared" si="433"/>
        <v/>
      </c>
      <c r="PLI33" t="str">
        <f t="shared" si="433"/>
        <v/>
      </c>
      <c r="PLJ33" t="str">
        <f t="shared" si="433"/>
        <v/>
      </c>
      <c r="PLK33" t="str">
        <f t="shared" si="433"/>
        <v/>
      </c>
      <c r="PLL33" t="str">
        <f t="shared" si="433"/>
        <v/>
      </c>
      <c r="PLM33" t="str">
        <f t="shared" si="433"/>
        <v/>
      </c>
      <c r="PLN33" t="str">
        <f t="shared" si="433"/>
        <v/>
      </c>
      <c r="PLO33" t="str">
        <f t="shared" si="433"/>
        <v/>
      </c>
      <c r="PLP33" t="str">
        <f t="shared" si="433"/>
        <v/>
      </c>
      <c r="PLQ33" t="str">
        <f t="shared" si="433"/>
        <v/>
      </c>
      <c r="PLR33" t="str">
        <f t="shared" si="433"/>
        <v/>
      </c>
      <c r="PLS33" t="str">
        <f t="shared" si="433"/>
        <v/>
      </c>
      <c r="PLT33" t="str">
        <f t="shared" si="433"/>
        <v/>
      </c>
      <c r="PLU33" t="str">
        <f t="shared" ref="PLU33:POF33" si="434">TRIM(PML17)</f>
        <v/>
      </c>
      <c r="PLV33" t="str">
        <f t="shared" si="434"/>
        <v/>
      </c>
      <c r="PLW33" t="str">
        <f t="shared" si="434"/>
        <v/>
      </c>
      <c r="PLX33" t="str">
        <f t="shared" si="434"/>
        <v/>
      </c>
      <c r="PLY33" t="str">
        <f t="shared" si="434"/>
        <v/>
      </c>
      <c r="PLZ33" t="str">
        <f t="shared" si="434"/>
        <v/>
      </c>
      <c r="PMA33" t="str">
        <f t="shared" si="434"/>
        <v/>
      </c>
      <c r="PMB33" t="str">
        <f t="shared" si="434"/>
        <v/>
      </c>
      <c r="PMC33" t="str">
        <f t="shared" si="434"/>
        <v/>
      </c>
      <c r="PMD33" t="str">
        <f t="shared" si="434"/>
        <v/>
      </c>
      <c r="PME33" t="str">
        <f t="shared" si="434"/>
        <v/>
      </c>
      <c r="PMF33" t="str">
        <f t="shared" si="434"/>
        <v/>
      </c>
      <c r="PMG33" t="str">
        <f t="shared" si="434"/>
        <v/>
      </c>
      <c r="PMH33" t="str">
        <f t="shared" si="434"/>
        <v/>
      </c>
      <c r="PMI33" t="str">
        <f t="shared" si="434"/>
        <v/>
      </c>
      <c r="PMJ33" t="str">
        <f t="shared" si="434"/>
        <v/>
      </c>
      <c r="PMK33" t="str">
        <f t="shared" si="434"/>
        <v/>
      </c>
      <c r="PML33" t="str">
        <f t="shared" si="434"/>
        <v/>
      </c>
      <c r="PMM33" t="str">
        <f t="shared" si="434"/>
        <v/>
      </c>
      <c r="PMN33" t="str">
        <f t="shared" si="434"/>
        <v/>
      </c>
      <c r="PMO33" t="str">
        <f t="shared" si="434"/>
        <v/>
      </c>
      <c r="PMP33" t="str">
        <f t="shared" si="434"/>
        <v/>
      </c>
      <c r="PMQ33" t="str">
        <f t="shared" si="434"/>
        <v/>
      </c>
      <c r="PMR33" t="str">
        <f t="shared" si="434"/>
        <v/>
      </c>
      <c r="PMS33" t="str">
        <f t="shared" si="434"/>
        <v/>
      </c>
      <c r="PMT33" t="str">
        <f t="shared" si="434"/>
        <v/>
      </c>
      <c r="PMU33" t="str">
        <f t="shared" si="434"/>
        <v/>
      </c>
      <c r="PMV33" t="str">
        <f t="shared" si="434"/>
        <v/>
      </c>
      <c r="PMW33" t="str">
        <f t="shared" si="434"/>
        <v/>
      </c>
      <c r="PMX33" t="str">
        <f t="shared" si="434"/>
        <v/>
      </c>
      <c r="PMY33" t="str">
        <f t="shared" si="434"/>
        <v/>
      </c>
      <c r="PMZ33" t="str">
        <f t="shared" si="434"/>
        <v/>
      </c>
      <c r="PNA33" t="str">
        <f t="shared" si="434"/>
        <v/>
      </c>
      <c r="PNB33" t="str">
        <f t="shared" si="434"/>
        <v/>
      </c>
      <c r="PNC33" t="str">
        <f t="shared" si="434"/>
        <v/>
      </c>
      <c r="PND33" t="str">
        <f t="shared" si="434"/>
        <v/>
      </c>
      <c r="PNE33" t="str">
        <f t="shared" si="434"/>
        <v/>
      </c>
      <c r="PNF33" t="str">
        <f t="shared" si="434"/>
        <v/>
      </c>
      <c r="PNG33" t="str">
        <f t="shared" si="434"/>
        <v/>
      </c>
      <c r="PNH33" t="str">
        <f t="shared" si="434"/>
        <v/>
      </c>
      <c r="PNI33" t="str">
        <f t="shared" si="434"/>
        <v/>
      </c>
      <c r="PNJ33" t="str">
        <f t="shared" si="434"/>
        <v/>
      </c>
      <c r="PNK33" t="str">
        <f t="shared" si="434"/>
        <v/>
      </c>
      <c r="PNL33" t="str">
        <f t="shared" si="434"/>
        <v/>
      </c>
      <c r="PNM33" t="str">
        <f t="shared" si="434"/>
        <v/>
      </c>
      <c r="PNN33" t="str">
        <f t="shared" si="434"/>
        <v/>
      </c>
      <c r="PNO33" t="str">
        <f t="shared" si="434"/>
        <v/>
      </c>
      <c r="PNP33" t="str">
        <f t="shared" si="434"/>
        <v/>
      </c>
      <c r="PNQ33" t="str">
        <f t="shared" si="434"/>
        <v/>
      </c>
      <c r="PNR33" t="str">
        <f t="shared" si="434"/>
        <v/>
      </c>
      <c r="PNS33" t="str">
        <f t="shared" si="434"/>
        <v/>
      </c>
      <c r="PNT33" t="str">
        <f t="shared" si="434"/>
        <v/>
      </c>
      <c r="PNU33" t="str">
        <f t="shared" si="434"/>
        <v/>
      </c>
      <c r="PNV33" t="str">
        <f t="shared" si="434"/>
        <v/>
      </c>
      <c r="PNW33" t="str">
        <f t="shared" si="434"/>
        <v/>
      </c>
      <c r="PNX33" t="str">
        <f t="shared" si="434"/>
        <v/>
      </c>
      <c r="PNY33" t="str">
        <f t="shared" si="434"/>
        <v/>
      </c>
      <c r="PNZ33" t="str">
        <f t="shared" si="434"/>
        <v/>
      </c>
      <c r="POA33" t="str">
        <f t="shared" si="434"/>
        <v/>
      </c>
      <c r="POB33" t="str">
        <f t="shared" si="434"/>
        <v/>
      </c>
      <c r="POC33" t="str">
        <f t="shared" si="434"/>
        <v/>
      </c>
      <c r="POD33" t="str">
        <f t="shared" si="434"/>
        <v/>
      </c>
      <c r="POE33" t="str">
        <f t="shared" si="434"/>
        <v/>
      </c>
      <c r="POF33" t="str">
        <f t="shared" si="434"/>
        <v/>
      </c>
      <c r="POG33" t="str">
        <f t="shared" ref="POG33:PQR33" si="435">TRIM(POX17)</f>
        <v/>
      </c>
      <c r="POH33" t="str">
        <f t="shared" si="435"/>
        <v/>
      </c>
      <c r="POI33" t="str">
        <f t="shared" si="435"/>
        <v/>
      </c>
      <c r="POJ33" t="str">
        <f t="shared" si="435"/>
        <v/>
      </c>
      <c r="POK33" t="str">
        <f t="shared" si="435"/>
        <v/>
      </c>
      <c r="POL33" t="str">
        <f t="shared" si="435"/>
        <v/>
      </c>
      <c r="POM33" t="str">
        <f t="shared" si="435"/>
        <v/>
      </c>
      <c r="PON33" t="str">
        <f t="shared" si="435"/>
        <v/>
      </c>
      <c r="POO33" t="str">
        <f t="shared" si="435"/>
        <v/>
      </c>
      <c r="POP33" t="str">
        <f t="shared" si="435"/>
        <v/>
      </c>
      <c r="POQ33" t="str">
        <f t="shared" si="435"/>
        <v/>
      </c>
      <c r="POR33" t="str">
        <f t="shared" si="435"/>
        <v/>
      </c>
      <c r="POS33" t="str">
        <f t="shared" si="435"/>
        <v/>
      </c>
      <c r="POT33" t="str">
        <f t="shared" si="435"/>
        <v/>
      </c>
      <c r="POU33" t="str">
        <f t="shared" si="435"/>
        <v/>
      </c>
      <c r="POV33" t="str">
        <f t="shared" si="435"/>
        <v/>
      </c>
      <c r="POW33" t="str">
        <f t="shared" si="435"/>
        <v/>
      </c>
      <c r="POX33" t="str">
        <f t="shared" si="435"/>
        <v/>
      </c>
      <c r="POY33" t="str">
        <f t="shared" si="435"/>
        <v/>
      </c>
      <c r="POZ33" t="str">
        <f t="shared" si="435"/>
        <v/>
      </c>
      <c r="PPA33" t="str">
        <f t="shared" si="435"/>
        <v/>
      </c>
      <c r="PPB33" t="str">
        <f t="shared" si="435"/>
        <v/>
      </c>
      <c r="PPC33" t="str">
        <f t="shared" si="435"/>
        <v/>
      </c>
      <c r="PPD33" t="str">
        <f t="shared" si="435"/>
        <v/>
      </c>
      <c r="PPE33" t="str">
        <f t="shared" si="435"/>
        <v/>
      </c>
      <c r="PPF33" t="str">
        <f t="shared" si="435"/>
        <v/>
      </c>
      <c r="PPG33" t="str">
        <f t="shared" si="435"/>
        <v/>
      </c>
      <c r="PPH33" t="str">
        <f t="shared" si="435"/>
        <v/>
      </c>
      <c r="PPI33" t="str">
        <f t="shared" si="435"/>
        <v/>
      </c>
      <c r="PPJ33" t="str">
        <f t="shared" si="435"/>
        <v/>
      </c>
      <c r="PPK33" t="str">
        <f t="shared" si="435"/>
        <v/>
      </c>
      <c r="PPL33" t="str">
        <f t="shared" si="435"/>
        <v/>
      </c>
      <c r="PPM33" t="str">
        <f t="shared" si="435"/>
        <v/>
      </c>
      <c r="PPN33" t="str">
        <f t="shared" si="435"/>
        <v/>
      </c>
      <c r="PPO33" t="str">
        <f t="shared" si="435"/>
        <v/>
      </c>
      <c r="PPP33" t="str">
        <f t="shared" si="435"/>
        <v/>
      </c>
      <c r="PPQ33" t="str">
        <f t="shared" si="435"/>
        <v/>
      </c>
      <c r="PPR33" t="str">
        <f t="shared" si="435"/>
        <v/>
      </c>
      <c r="PPS33" t="str">
        <f t="shared" si="435"/>
        <v/>
      </c>
      <c r="PPT33" t="str">
        <f t="shared" si="435"/>
        <v/>
      </c>
      <c r="PPU33" t="str">
        <f t="shared" si="435"/>
        <v/>
      </c>
      <c r="PPV33" t="str">
        <f t="shared" si="435"/>
        <v/>
      </c>
      <c r="PPW33" t="str">
        <f t="shared" si="435"/>
        <v/>
      </c>
      <c r="PPX33" t="str">
        <f t="shared" si="435"/>
        <v/>
      </c>
      <c r="PPY33" t="str">
        <f t="shared" si="435"/>
        <v/>
      </c>
      <c r="PPZ33" t="str">
        <f t="shared" si="435"/>
        <v/>
      </c>
      <c r="PQA33" t="str">
        <f t="shared" si="435"/>
        <v/>
      </c>
      <c r="PQB33" t="str">
        <f t="shared" si="435"/>
        <v/>
      </c>
      <c r="PQC33" t="str">
        <f t="shared" si="435"/>
        <v/>
      </c>
      <c r="PQD33" t="str">
        <f t="shared" si="435"/>
        <v/>
      </c>
      <c r="PQE33" t="str">
        <f t="shared" si="435"/>
        <v/>
      </c>
      <c r="PQF33" t="str">
        <f t="shared" si="435"/>
        <v/>
      </c>
      <c r="PQG33" t="str">
        <f t="shared" si="435"/>
        <v/>
      </c>
      <c r="PQH33" t="str">
        <f t="shared" si="435"/>
        <v/>
      </c>
      <c r="PQI33" t="str">
        <f t="shared" si="435"/>
        <v/>
      </c>
      <c r="PQJ33" t="str">
        <f t="shared" si="435"/>
        <v/>
      </c>
      <c r="PQK33" t="str">
        <f t="shared" si="435"/>
        <v/>
      </c>
      <c r="PQL33" t="str">
        <f t="shared" si="435"/>
        <v/>
      </c>
      <c r="PQM33" t="str">
        <f t="shared" si="435"/>
        <v/>
      </c>
      <c r="PQN33" t="str">
        <f t="shared" si="435"/>
        <v/>
      </c>
      <c r="PQO33" t="str">
        <f t="shared" si="435"/>
        <v/>
      </c>
      <c r="PQP33" t="str">
        <f t="shared" si="435"/>
        <v/>
      </c>
      <c r="PQQ33" t="str">
        <f t="shared" si="435"/>
        <v/>
      </c>
      <c r="PQR33" t="str">
        <f t="shared" si="435"/>
        <v/>
      </c>
      <c r="PQS33" t="str">
        <f t="shared" ref="PQS33:PTD33" si="436">TRIM(PRJ17)</f>
        <v/>
      </c>
      <c r="PQT33" t="str">
        <f t="shared" si="436"/>
        <v/>
      </c>
      <c r="PQU33" t="str">
        <f t="shared" si="436"/>
        <v/>
      </c>
      <c r="PQV33" t="str">
        <f t="shared" si="436"/>
        <v/>
      </c>
      <c r="PQW33" t="str">
        <f t="shared" si="436"/>
        <v/>
      </c>
      <c r="PQX33" t="str">
        <f t="shared" si="436"/>
        <v/>
      </c>
      <c r="PQY33" t="str">
        <f t="shared" si="436"/>
        <v/>
      </c>
      <c r="PQZ33" t="str">
        <f t="shared" si="436"/>
        <v/>
      </c>
      <c r="PRA33" t="str">
        <f t="shared" si="436"/>
        <v/>
      </c>
      <c r="PRB33" t="str">
        <f t="shared" si="436"/>
        <v/>
      </c>
      <c r="PRC33" t="str">
        <f t="shared" si="436"/>
        <v/>
      </c>
      <c r="PRD33" t="str">
        <f t="shared" si="436"/>
        <v/>
      </c>
      <c r="PRE33" t="str">
        <f t="shared" si="436"/>
        <v/>
      </c>
      <c r="PRF33" t="str">
        <f t="shared" si="436"/>
        <v/>
      </c>
      <c r="PRG33" t="str">
        <f t="shared" si="436"/>
        <v/>
      </c>
      <c r="PRH33" t="str">
        <f t="shared" si="436"/>
        <v/>
      </c>
      <c r="PRI33" t="str">
        <f t="shared" si="436"/>
        <v/>
      </c>
      <c r="PRJ33" t="str">
        <f t="shared" si="436"/>
        <v/>
      </c>
      <c r="PRK33" t="str">
        <f t="shared" si="436"/>
        <v/>
      </c>
      <c r="PRL33" t="str">
        <f t="shared" si="436"/>
        <v/>
      </c>
      <c r="PRM33" t="str">
        <f t="shared" si="436"/>
        <v/>
      </c>
      <c r="PRN33" t="str">
        <f t="shared" si="436"/>
        <v/>
      </c>
      <c r="PRO33" t="str">
        <f t="shared" si="436"/>
        <v/>
      </c>
      <c r="PRP33" t="str">
        <f t="shared" si="436"/>
        <v/>
      </c>
      <c r="PRQ33" t="str">
        <f t="shared" si="436"/>
        <v/>
      </c>
      <c r="PRR33" t="str">
        <f t="shared" si="436"/>
        <v/>
      </c>
      <c r="PRS33" t="str">
        <f t="shared" si="436"/>
        <v/>
      </c>
      <c r="PRT33" t="str">
        <f t="shared" si="436"/>
        <v/>
      </c>
      <c r="PRU33" t="str">
        <f t="shared" si="436"/>
        <v/>
      </c>
      <c r="PRV33" t="str">
        <f t="shared" si="436"/>
        <v/>
      </c>
      <c r="PRW33" t="str">
        <f t="shared" si="436"/>
        <v/>
      </c>
      <c r="PRX33" t="str">
        <f t="shared" si="436"/>
        <v/>
      </c>
      <c r="PRY33" t="str">
        <f t="shared" si="436"/>
        <v/>
      </c>
      <c r="PRZ33" t="str">
        <f t="shared" si="436"/>
        <v/>
      </c>
      <c r="PSA33" t="str">
        <f t="shared" si="436"/>
        <v/>
      </c>
      <c r="PSB33" t="str">
        <f t="shared" si="436"/>
        <v/>
      </c>
      <c r="PSC33" t="str">
        <f t="shared" si="436"/>
        <v/>
      </c>
      <c r="PSD33" t="str">
        <f t="shared" si="436"/>
        <v/>
      </c>
      <c r="PSE33" t="str">
        <f t="shared" si="436"/>
        <v/>
      </c>
      <c r="PSF33" t="str">
        <f t="shared" si="436"/>
        <v/>
      </c>
      <c r="PSG33" t="str">
        <f t="shared" si="436"/>
        <v/>
      </c>
      <c r="PSH33" t="str">
        <f t="shared" si="436"/>
        <v/>
      </c>
      <c r="PSI33" t="str">
        <f t="shared" si="436"/>
        <v/>
      </c>
      <c r="PSJ33" t="str">
        <f t="shared" si="436"/>
        <v/>
      </c>
      <c r="PSK33" t="str">
        <f t="shared" si="436"/>
        <v/>
      </c>
      <c r="PSL33" t="str">
        <f t="shared" si="436"/>
        <v/>
      </c>
      <c r="PSM33" t="str">
        <f t="shared" si="436"/>
        <v/>
      </c>
      <c r="PSN33" t="str">
        <f t="shared" si="436"/>
        <v/>
      </c>
      <c r="PSO33" t="str">
        <f t="shared" si="436"/>
        <v/>
      </c>
      <c r="PSP33" t="str">
        <f t="shared" si="436"/>
        <v/>
      </c>
      <c r="PSQ33" t="str">
        <f t="shared" si="436"/>
        <v/>
      </c>
      <c r="PSR33" t="str">
        <f t="shared" si="436"/>
        <v/>
      </c>
      <c r="PSS33" t="str">
        <f t="shared" si="436"/>
        <v/>
      </c>
      <c r="PST33" t="str">
        <f t="shared" si="436"/>
        <v/>
      </c>
      <c r="PSU33" t="str">
        <f t="shared" si="436"/>
        <v/>
      </c>
      <c r="PSV33" t="str">
        <f t="shared" si="436"/>
        <v/>
      </c>
      <c r="PSW33" t="str">
        <f t="shared" si="436"/>
        <v/>
      </c>
      <c r="PSX33" t="str">
        <f t="shared" si="436"/>
        <v/>
      </c>
      <c r="PSY33" t="str">
        <f t="shared" si="436"/>
        <v/>
      </c>
      <c r="PSZ33" t="str">
        <f t="shared" si="436"/>
        <v/>
      </c>
      <c r="PTA33" t="str">
        <f t="shared" si="436"/>
        <v/>
      </c>
      <c r="PTB33" t="str">
        <f t="shared" si="436"/>
        <v/>
      </c>
      <c r="PTC33" t="str">
        <f t="shared" si="436"/>
        <v/>
      </c>
      <c r="PTD33" t="str">
        <f t="shared" si="436"/>
        <v/>
      </c>
      <c r="PTE33" t="str">
        <f t="shared" ref="PTE33:PVP33" si="437">TRIM(PTV17)</f>
        <v/>
      </c>
      <c r="PTF33" t="str">
        <f t="shared" si="437"/>
        <v/>
      </c>
      <c r="PTG33" t="str">
        <f t="shared" si="437"/>
        <v/>
      </c>
      <c r="PTH33" t="str">
        <f t="shared" si="437"/>
        <v/>
      </c>
      <c r="PTI33" t="str">
        <f t="shared" si="437"/>
        <v/>
      </c>
      <c r="PTJ33" t="str">
        <f t="shared" si="437"/>
        <v/>
      </c>
      <c r="PTK33" t="str">
        <f t="shared" si="437"/>
        <v/>
      </c>
      <c r="PTL33" t="str">
        <f t="shared" si="437"/>
        <v/>
      </c>
      <c r="PTM33" t="str">
        <f t="shared" si="437"/>
        <v/>
      </c>
      <c r="PTN33" t="str">
        <f t="shared" si="437"/>
        <v/>
      </c>
      <c r="PTO33" t="str">
        <f t="shared" si="437"/>
        <v/>
      </c>
      <c r="PTP33" t="str">
        <f t="shared" si="437"/>
        <v/>
      </c>
      <c r="PTQ33" t="str">
        <f t="shared" si="437"/>
        <v/>
      </c>
      <c r="PTR33" t="str">
        <f t="shared" si="437"/>
        <v/>
      </c>
      <c r="PTS33" t="str">
        <f t="shared" si="437"/>
        <v/>
      </c>
      <c r="PTT33" t="str">
        <f t="shared" si="437"/>
        <v/>
      </c>
      <c r="PTU33" t="str">
        <f t="shared" si="437"/>
        <v/>
      </c>
      <c r="PTV33" t="str">
        <f t="shared" si="437"/>
        <v/>
      </c>
      <c r="PTW33" t="str">
        <f t="shared" si="437"/>
        <v/>
      </c>
      <c r="PTX33" t="str">
        <f t="shared" si="437"/>
        <v/>
      </c>
      <c r="PTY33" t="str">
        <f t="shared" si="437"/>
        <v/>
      </c>
      <c r="PTZ33" t="str">
        <f t="shared" si="437"/>
        <v/>
      </c>
      <c r="PUA33" t="str">
        <f t="shared" si="437"/>
        <v/>
      </c>
      <c r="PUB33" t="str">
        <f t="shared" si="437"/>
        <v/>
      </c>
      <c r="PUC33" t="str">
        <f t="shared" si="437"/>
        <v/>
      </c>
      <c r="PUD33" t="str">
        <f t="shared" si="437"/>
        <v/>
      </c>
      <c r="PUE33" t="str">
        <f t="shared" si="437"/>
        <v/>
      </c>
      <c r="PUF33" t="str">
        <f t="shared" si="437"/>
        <v/>
      </c>
      <c r="PUG33" t="str">
        <f t="shared" si="437"/>
        <v/>
      </c>
      <c r="PUH33" t="str">
        <f t="shared" si="437"/>
        <v/>
      </c>
      <c r="PUI33" t="str">
        <f t="shared" si="437"/>
        <v/>
      </c>
      <c r="PUJ33" t="str">
        <f t="shared" si="437"/>
        <v/>
      </c>
      <c r="PUK33" t="str">
        <f t="shared" si="437"/>
        <v/>
      </c>
      <c r="PUL33" t="str">
        <f t="shared" si="437"/>
        <v/>
      </c>
      <c r="PUM33" t="str">
        <f t="shared" si="437"/>
        <v/>
      </c>
      <c r="PUN33" t="str">
        <f t="shared" si="437"/>
        <v/>
      </c>
      <c r="PUO33" t="str">
        <f t="shared" si="437"/>
        <v/>
      </c>
      <c r="PUP33" t="str">
        <f t="shared" si="437"/>
        <v/>
      </c>
      <c r="PUQ33" t="str">
        <f t="shared" si="437"/>
        <v/>
      </c>
      <c r="PUR33" t="str">
        <f t="shared" si="437"/>
        <v/>
      </c>
      <c r="PUS33" t="str">
        <f t="shared" si="437"/>
        <v/>
      </c>
      <c r="PUT33" t="str">
        <f t="shared" si="437"/>
        <v/>
      </c>
      <c r="PUU33" t="str">
        <f t="shared" si="437"/>
        <v/>
      </c>
      <c r="PUV33" t="str">
        <f t="shared" si="437"/>
        <v/>
      </c>
      <c r="PUW33" t="str">
        <f t="shared" si="437"/>
        <v/>
      </c>
      <c r="PUX33" t="str">
        <f t="shared" si="437"/>
        <v/>
      </c>
      <c r="PUY33" t="str">
        <f t="shared" si="437"/>
        <v/>
      </c>
      <c r="PUZ33" t="str">
        <f t="shared" si="437"/>
        <v/>
      </c>
      <c r="PVA33" t="str">
        <f t="shared" si="437"/>
        <v/>
      </c>
      <c r="PVB33" t="str">
        <f t="shared" si="437"/>
        <v/>
      </c>
      <c r="PVC33" t="str">
        <f t="shared" si="437"/>
        <v/>
      </c>
      <c r="PVD33" t="str">
        <f t="shared" si="437"/>
        <v/>
      </c>
      <c r="PVE33" t="str">
        <f t="shared" si="437"/>
        <v/>
      </c>
      <c r="PVF33" t="str">
        <f t="shared" si="437"/>
        <v/>
      </c>
      <c r="PVG33" t="str">
        <f t="shared" si="437"/>
        <v/>
      </c>
      <c r="PVH33" t="str">
        <f t="shared" si="437"/>
        <v/>
      </c>
      <c r="PVI33" t="str">
        <f t="shared" si="437"/>
        <v/>
      </c>
      <c r="PVJ33" t="str">
        <f t="shared" si="437"/>
        <v/>
      </c>
      <c r="PVK33" t="str">
        <f t="shared" si="437"/>
        <v/>
      </c>
      <c r="PVL33" t="str">
        <f t="shared" si="437"/>
        <v/>
      </c>
      <c r="PVM33" t="str">
        <f t="shared" si="437"/>
        <v/>
      </c>
      <c r="PVN33" t="str">
        <f t="shared" si="437"/>
        <v/>
      </c>
      <c r="PVO33" t="str">
        <f t="shared" si="437"/>
        <v/>
      </c>
      <c r="PVP33" t="str">
        <f t="shared" si="437"/>
        <v/>
      </c>
      <c r="PVQ33" t="str">
        <f t="shared" ref="PVQ33:PYB33" si="438">TRIM(PWH17)</f>
        <v/>
      </c>
      <c r="PVR33" t="str">
        <f t="shared" si="438"/>
        <v/>
      </c>
      <c r="PVS33" t="str">
        <f t="shared" si="438"/>
        <v/>
      </c>
      <c r="PVT33" t="str">
        <f t="shared" si="438"/>
        <v/>
      </c>
      <c r="PVU33" t="str">
        <f t="shared" si="438"/>
        <v/>
      </c>
      <c r="PVV33" t="str">
        <f t="shared" si="438"/>
        <v/>
      </c>
      <c r="PVW33" t="str">
        <f t="shared" si="438"/>
        <v/>
      </c>
      <c r="PVX33" t="str">
        <f t="shared" si="438"/>
        <v/>
      </c>
      <c r="PVY33" t="str">
        <f t="shared" si="438"/>
        <v/>
      </c>
      <c r="PVZ33" t="str">
        <f t="shared" si="438"/>
        <v/>
      </c>
      <c r="PWA33" t="str">
        <f t="shared" si="438"/>
        <v/>
      </c>
      <c r="PWB33" t="str">
        <f t="shared" si="438"/>
        <v/>
      </c>
      <c r="PWC33" t="str">
        <f t="shared" si="438"/>
        <v/>
      </c>
      <c r="PWD33" t="str">
        <f t="shared" si="438"/>
        <v/>
      </c>
      <c r="PWE33" t="str">
        <f t="shared" si="438"/>
        <v/>
      </c>
      <c r="PWF33" t="str">
        <f t="shared" si="438"/>
        <v/>
      </c>
      <c r="PWG33" t="str">
        <f t="shared" si="438"/>
        <v/>
      </c>
      <c r="PWH33" t="str">
        <f t="shared" si="438"/>
        <v/>
      </c>
      <c r="PWI33" t="str">
        <f t="shared" si="438"/>
        <v/>
      </c>
      <c r="PWJ33" t="str">
        <f t="shared" si="438"/>
        <v/>
      </c>
      <c r="PWK33" t="str">
        <f t="shared" si="438"/>
        <v/>
      </c>
      <c r="PWL33" t="str">
        <f t="shared" si="438"/>
        <v/>
      </c>
      <c r="PWM33" t="str">
        <f t="shared" si="438"/>
        <v/>
      </c>
      <c r="PWN33" t="str">
        <f t="shared" si="438"/>
        <v/>
      </c>
      <c r="PWO33" t="str">
        <f t="shared" si="438"/>
        <v/>
      </c>
      <c r="PWP33" t="str">
        <f t="shared" si="438"/>
        <v/>
      </c>
      <c r="PWQ33" t="str">
        <f t="shared" si="438"/>
        <v/>
      </c>
      <c r="PWR33" t="str">
        <f t="shared" si="438"/>
        <v/>
      </c>
      <c r="PWS33" t="str">
        <f t="shared" si="438"/>
        <v/>
      </c>
      <c r="PWT33" t="str">
        <f t="shared" si="438"/>
        <v/>
      </c>
      <c r="PWU33" t="str">
        <f t="shared" si="438"/>
        <v/>
      </c>
      <c r="PWV33" t="str">
        <f t="shared" si="438"/>
        <v/>
      </c>
      <c r="PWW33" t="str">
        <f t="shared" si="438"/>
        <v/>
      </c>
      <c r="PWX33" t="str">
        <f t="shared" si="438"/>
        <v/>
      </c>
      <c r="PWY33" t="str">
        <f t="shared" si="438"/>
        <v/>
      </c>
      <c r="PWZ33" t="str">
        <f t="shared" si="438"/>
        <v/>
      </c>
      <c r="PXA33" t="str">
        <f t="shared" si="438"/>
        <v/>
      </c>
      <c r="PXB33" t="str">
        <f t="shared" si="438"/>
        <v/>
      </c>
      <c r="PXC33" t="str">
        <f t="shared" si="438"/>
        <v/>
      </c>
      <c r="PXD33" t="str">
        <f t="shared" si="438"/>
        <v/>
      </c>
      <c r="PXE33" t="str">
        <f t="shared" si="438"/>
        <v/>
      </c>
      <c r="PXF33" t="str">
        <f t="shared" si="438"/>
        <v/>
      </c>
      <c r="PXG33" t="str">
        <f t="shared" si="438"/>
        <v/>
      </c>
      <c r="PXH33" t="str">
        <f t="shared" si="438"/>
        <v/>
      </c>
      <c r="PXI33" t="str">
        <f t="shared" si="438"/>
        <v/>
      </c>
      <c r="PXJ33" t="str">
        <f t="shared" si="438"/>
        <v/>
      </c>
      <c r="PXK33" t="str">
        <f t="shared" si="438"/>
        <v/>
      </c>
      <c r="PXL33" t="str">
        <f t="shared" si="438"/>
        <v/>
      </c>
      <c r="PXM33" t="str">
        <f t="shared" si="438"/>
        <v/>
      </c>
      <c r="PXN33" t="str">
        <f t="shared" si="438"/>
        <v/>
      </c>
      <c r="PXO33" t="str">
        <f t="shared" si="438"/>
        <v/>
      </c>
      <c r="PXP33" t="str">
        <f t="shared" si="438"/>
        <v/>
      </c>
      <c r="PXQ33" t="str">
        <f t="shared" si="438"/>
        <v/>
      </c>
      <c r="PXR33" t="str">
        <f t="shared" si="438"/>
        <v/>
      </c>
      <c r="PXS33" t="str">
        <f t="shared" si="438"/>
        <v/>
      </c>
      <c r="PXT33" t="str">
        <f t="shared" si="438"/>
        <v/>
      </c>
      <c r="PXU33" t="str">
        <f t="shared" si="438"/>
        <v/>
      </c>
      <c r="PXV33" t="str">
        <f t="shared" si="438"/>
        <v/>
      </c>
      <c r="PXW33" t="str">
        <f t="shared" si="438"/>
        <v/>
      </c>
      <c r="PXX33" t="str">
        <f t="shared" si="438"/>
        <v/>
      </c>
      <c r="PXY33" t="str">
        <f t="shared" si="438"/>
        <v/>
      </c>
      <c r="PXZ33" t="str">
        <f t="shared" si="438"/>
        <v/>
      </c>
      <c r="PYA33" t="str">
        <f t="shared" si="438"/>
        <v/>
      </c>
      <c r="PYB33" t="str">
        <f t="shared" si="438"/>
        <v/>
      </c>
      <c r="PYC33" t="str">
        <f t="shared" ref="PYC33:QAN33" si="439">TRIM(PYT17)</f>
        <v/>
      </c>
      <c r="PYD33" t="str">
        <f t="shared" si="439"/>
        <v/>
      </c>
      <c r="PYE33" t="str">
        <f t="shared" si="439"/>
        <v/>
      </c>
      <c r="PYF33" t="str">
        <f t="shared" si="439"/>
        <v/>
      </c>
      <c r="PYG33" t="str">
        <f t="shared" si="439"/>
        <v/>
      </c>
      <c r="PYH33" t="str">
        <f t="shared" si="439"/>
        <v/>
      </c>
      <c r="PYI33" t="str">
        <f t="shared" si="439"/>
        <v/>
      </c>
      <c r="PYJ33" t="str">
        <f t="shared" si="439"/>
        <v/>
      </c>
      <c r="PYK33" t="str">
        <f t="shared" si="439"/>
        <v/>
      </c>
      <c r="PYL33" t="str">
        <f t="shared" si="439"/>
        <v/>
      </c>
      <c r="PYM33" t="str">
        <f t="shared" si="439"/>
        <v/>
      </c>
      <c r="PYN33" t="str">
        <f t="shared" si="439"/>
        <v/>
      </c>
      <c r="PYO33" t="str">
        <f t="shared" si="439"/>
        <v/>
      </c>
      <c r="PYP33" t="str">
        <f t="shared" si="439"/>
        <v/>
      </c>
      <c r="PYQ33" t="str">
        <f t="shared" si="439"/>
        <v/>
      </c>
      <c r="PYR33" t="str">
        <f t="shared" si="439"/>
        <v/>
      </c>
      <c r="PYS33" t="str">
        <f t="shared" si="439"/>
        <v/>
      </c>
      <c r="PYT33" t="str">
        <f t="shared" si="439"/>
        <v/>
      </c>
      <c r="PYU33" t="str">
        <f t="shared" si="439"/>
        <v/>
      </c>
      <c r="PYV33" t="str">
        <f t="shared" si="439"/>
        <v/>
      </c>
      <c r="PYW33" t="str">
        <f t="shared" si="439"/>
        <v/>
      </c>
      <c r="PYX33" t="str">
        <f t="shared" si="439"/>
        <v/>
      </c>
      <c r="PYY33" t="str">
        <f t="shared" si="439"/>
        <v/>
      </c>
      <c r="PYZ33" t="str">
        <f t="shared" si="439"/>
        <v/>
      </c>
      <c r="PZA33" t="str">
        <f t="shared" si="439"/>
        <v/>
      </c>
      <c r="PZB33" t="str">
        <f t="shared" si="439"/>
        <v/>
      </c>
      <c r="PZC33" t="str">
        <f t="shared" si="439"/>
        <v/>
      </c>
      <c r="PZD33" t="str">
        <f t="shared" si="439"/>
        <v/>
      </c>
      <c r="PZE33" t="str">
        <f t="shared" si="439"/>
        <v/>
      </c>
      <c r="PZF33" t="str">
        <f t="shared" si="439"/>
        <v/>
      </c>
      <c r="PZG33" t="str">
        <f t="shared" si="439"/>
        <v/>
      </c>
      <c r="PZH33" t="str">
        <f t="shared" si="439"/>
        <v/>
      </c>
      <c r="PZI33" t="str">
        <f t="shared" si="439"/>
        <v/>
      </c>
      <c r="PZJ33" t="str">
        <f t="shared" si="439"/>
        <v/>
      </c>
      <c r="PZK33" t="str">
        <f t="shared" si="439"/>
        <v/>
      </c>
      <c r="PZL33" t="str">
        <f t="shared" si="439"/>
        <v/>
      </c>
      <c r="PZM33" t="str">
        <f t="shared" si="439"/>
        <v/>
      </c>
      <c r="PZN33" t="str">
        <f t="shared" si="439"/>
        <v/>
      </c>
      <c r="PZO33" t="str">
        <f t="shared" si="439"/>
        <v/>
      </c>
      <c r="PZP33" t="str">
        <f t="shared" si="439"/>
        <v/>
      </c>
      <c r="PZQ33" t="str">
        <f t="shared" si="439"/>
        <v/>
      </c>
      <c r="PZR33" t="str">
        <f t="shared" si="439"/>
        <v/>
      </c>
      <c r="PZS33" t="str">
        <f t="shared" si="439"/>
        <v/>
      </c>
      <c r="PZT33" t="str">
        <f t="shared" si="439"/>
        <v/>
      </c>
      <c r="PZU33" t="str">
        <f t="shared" si="439"/>
        <v/>
      </c>
      <c r="PZV33" t="str">
        <f t="shared" si="439"/>
        <v/>
      </c>
      <c r="PZW33" t="str">
        <f t="shared" si="439"/>
        <v/>
      </c>
      <c r="PZX33" t="str">
        <f t="shared" si="439"/>
        <v/>
      </c>
      <c r="PZY33" t="str">
        <f t="shared" si="439"/>
        <v/>
      </c>
      <c r="PZZ33" t="str">
        <f t="shared" si="439"/>
        <v/>
      </c>
      <c r="QAA33" t="str">
        <f t="shared" si="439"/>
        <v/>
      </c>
      <c r="QAB33" t="str">
        <f t="shared" si="439"/>
        <v/>
      </c>
      <c r="QAC33" t="str">
        <f t="shared" si="439"/>
        <v/>
      </c>
      <c r="QAD33" t="str">
        <f t="shared" si="439"/>
        <v/>
      </c>
      <c r="QAE33" t="str">
        <f t="shared" si="439"/>
        <v/>
      </c>
      <c r="QAF33" t="str">
        <f t="shared" si="439"/>
        <v/>
      </c>
      <c r="QAG33" t="str">
        <f t="shared" si="439"/>
        <v/>
      </c>
      <c r="QAH33" t="str">
        <f t="shared" si="439"/>
        <v/>
      </c>
      <c r="QAI33" t="str">
        <f t="shared" si="439"/>
        <v/>
      </c>
      <c r="QAJ33" t="str">
        <f t="shared" si="439"/>
        <v/>
      </c>
      <c r="QAK33" t="str">
        <f t="shared" si="439"/>
        <v/>
      </c>
      <c r="QAL33" t="str">
        <f t="shared" si="439"/>
        <v/>
      </c>
      <c r="QAM33" t="str">
        <f t="shared" si="439"/>
        <v/>
      </c>
      <c r="QAN33" t="str">
        <f t="shared" si="439"/>
        <v/>
      </c>
      <c r="QAO33" t="str">
        <f t="shared" ref="QAO33:QCZ33" si="440">TRIM(QBF17)</f>
        <v/>
      </c>
      <c r="QAP33" t="str">
        <f t="shared" si="440"/>
        <v/>
      </c>
      <c r="QAQ33" t="str">
        <f t="shared" si="440"/>
        <v/>
      </c>
      <c r="QAR33" t="str">
        <f t="shared" si="440"/>
        <v/>
      </c>
      <c r="QAS33" t="str">
        <f t="shared" si="440"/>
        <v/>
      </c>
      <c r="QAT33" t="str">
        <f t="shared" si="440"/>
        <v/>
      </c>
      <c r="QAU33" t="str">
        <f t="shared" si="440"/>
        <v/>
      </c>
      <c r="QAV33" t="str">
        <f t="shared" si="440"/>
        <v/>
      </c>
      <c r="QAW33" t="str">
        <f t="shared" si="440"/>
        <v/>
      </c>
      <c r="QAX33" t="str">
        <f t="shared" si="440"/>
        <v/>
      </c>
      <c r="QAY33" t="str">
        <f t="shared" si="440"/>
        <v/>
      </c>
      <c r="QAZ33" t="str">
        <f t="shared" si="440"/>
        <v/>
      </c>
      <c r="QBA33" t="str">
        <f t="shared" si="440"/>
        <v/>
      </c>
      <c r="QBB33" t="str">
        <f t="shared" si="440"/>
        <v/>
      </c>
      <c r="QBC33" t="str">
        <f t="shared" si="440"/>
        <v/>
      </c>
      <c r="QBD33" t="str">
        <f t="shared" si="440"/>
        <v/>
      </c>
      <c r="QBE33" t="str">
        <f t="shared" si="440"/>
        <v/>
      </c>
      <c r="QBF33" t="str">
        <f t="shared" si="440"/>
        <v/>
      </c>
      <c r="QBG33" t="str">
        <f t="shared" si="440"/>
        <v/>
      </c>
      <c r="QBH33" t="str">
        <f t="shared" si="440"/>
        <v/>
      </c>
      <c r="QBI33" t="str">
        <f t="shared" si="440"/>
        <v/>
      </c>
      <c r="QBJ33" t="str">
        <f t="shared" si="440"/>
        <v/>
      </c>
      <c r="QBK33" t="str">
        <f t="shared" si="440"/>
        <v/>
      </c>
      <c r="QBL33" t="str">
        <f t="shared" si="440"/>
        <v/>
      </c>
      <c r="QBM33" t="str">
        <f t="shared" si="440"/>
        <v/>
      </c>
      <c r="QBN33" t="str">
        <f t="shared" si="440"/>
        <v/>
      </c>
      <c r="QBO33" t="str">
        <f t="shared" si="440"/>
        <v/>
      </c>
      <c r="QBP33" t="str">
        <f t="shared" si="440"/>
        <v/>
      </c>
      <c r="QBQ33" t="str">
        <f t="shared" si="440"/>
        <v/>
      </c>
      <c r="QBR33" t="str">
        <f t="shared" si="440"/>
        <v/>
      </c>
      <c r="QBS33" t="str">
        <f t="shared" si="440"/>
        <v/>
      </c>
      <c r="QBT33" t="str">
        <f t="shared" si="440"/>
        <v/>
      </c>
      <c r="QBU33" t="str">
        <f t="shared" si="440"/>
        <v/>
      </c>
      <c r="QBV33" t="str">
        <f t="shared" si="440"/>
        <v/>
      </c>
      <c r="QBW33" t="str">
        <f t="shared" si="440"/>
        <v/>
      </c>
      <c r="QBX33" t="str">
        <f t="shared" si="440"/>
        <v/>
      </c>
      <c r="QBY33" t="str">
        <f t="shared" si="440"/>
        <v/>
      </c>
      <c r="QBZ33" t="str">
        <f t="shared" si="440"/>
        <v/>
      </c>
      <c r="QCA33" t="str">
        <f t="shared" si="440"/>
        <v/>
      </c>
      <c r="QCB33" t="str">
        <f t="shared" si="440"/>
        <v/>
      </c>
      <c r="QCC33" t="str">
        <f t="shared" si="440"/>
        <v/>
      </c>
      <c r="QCD33" t="str">
        <f t="shared" si="440"/>
        <v/>
      </c>
      <c r="QCE33" t="str">
        <f t="shared" si="440"/>
        <v/>
      </c>
      <c r="QCF33" t="str">
        <f t="shared" si="440"/>
        <v/>
      </c>
      <c r="QCG33" t="str">
        <f t="shared" si="440"/>
        <v/>
      </c>
      <c r="QCH33" t="str">
        <f t="shared" si="440"/>
        <v/>
      </c>
      <c r="QCI33" t="str">
        <f t="shared" si="440"/>
        <v/>
      </c>
      <c r="QCJ33" t="str">
        <f t="shared" si="440"/>
        <v/>
      </c>
      <c r="QCK33" t="str">
        <f t="shared" si="440"/>
        <v/>
      </c>
      <c r="QCL33" t="str">
        <f t="shared" si="440"/>
        <v/>
      </c>
      <c r="QCM33" t="str">
        <f t="shared" si="440"/>
        <v/>
      </c>
      <c r="QCN33" t="str">
        <f t="shared" si="440"/>
        <v/>
      </c>
      <c r="QCO33" t="str">
        <f t="shared" si="440"/>
        <v/>
      </c>
      <c r="QCP33" t="str">
        <f t="shared" si="440"/>
        <v/>
      </c>
      <c r="QCQ33" t="str">
        <f t="shared" si="440"/>
        <v/>
      </c>
      <c r="QCR33" t="str">
        <f t="shared" si="440"/>
        <v/>
      </c>
      <c r="QCS33" t="str">
        <f t="shared" si="440"/>
        <v/>
      </c>
      <c r="QCT33" t="str">
        <f t="shared" si="440"/>
        <v/>
      </c>
      <c r="QCU33" t="str">
        <f t="shared" si="440"/>
        <v/>
      </c>
      <c r="QCV33" t="str">
        <f t="shared" si="440"/>
        <v/>
      </c>
      <c r="QCW33" t="str">
        <f t="shared" si="440"/>
        <v/>
      </c>
      <c r="QCX33" t="str">
        <f t="shared" si="440"/>
        <v/>
      </c>
      <c r="QCY33" t="str">
        <f t="shared" si="440"/>
        <v/>
      </c>
      <c r="QCZ33" t="str">
        <f t="shared" si="440"/>
        <v/>
      </c>
      <c r="QDA33" t="str">
        <f t="shared" ref="QDA33:QFL33" si="441">TRIM(QDR17)</f>
        <v/>
      </c>
      <c r="QDB33" t="str">
        <f t="shared" si="441"/>
        <v/>
      </c>
      <c r="QDC33" t="str">
        <f t="shared" si="441"/>
        <v/>
      </c>
      <c r="QDD33" t="str">
        <f t="shared" si="441"/>
        <v/>
      </c>
      <c r="QDE33" t="str">
        <f t="shared" si="441"/>
        <v/>
      </c>
      <c r="QDF33" t="str">
        <f t="shared" si="441"/>
        <v/>
      </c>
      <c r="QDG33" t="str">
        <f t="shared" si="441"/>
        <v/>
      </c>
      <c r="QDH33" t="str">
        <f t="shared" si="441"/>
        <v/>
      </c>
      <c r="QDI33" t="str">
        <f t="shared" si="441"/>
        <v/>
      </c>
      <c r="QDJ33" t="str">
        <f t="shared" si="441"/>
        <v/>
      </c>
      <c r="QDK33" t="str">
        <f t="shared" si="441"/>
        <v/>
      </c>
      <c r="QDL33" t="str">
        <f t="shared" si="441"/>
        <v/>
      </c>
      <c r="QDM33" t="str">
        <f t="shared" si="441"/>
        <v/>
      </c>
      <c r="QDN33" t="str">
        <f t="shared" si="441"/>
        <v/>
      </c>
      <c r="QDO33" t="str">
        <f t="shared" si="441"/>
        <v/>
      </c>
      <c r="QDP33" t="str">
        <f t="shared" si="441"/>
        <v/>
      </c>
      <c r="QDQ33" t="str">
        <f t="shared" si="441"/>
        <v/>
      </c>
      <c r="QDR33" t="str">
        <f t="shared" si="441"/>
        <v/>
      </c>
      <c r="QDS33" t="str">
        <f t="shared" si="441"/>
        <v/>
      </c>
      <c r="QDT33" t="str">
        <f t="shared" si="441"/>
        <v/>
      </c>
      <c r="QDU33" t="str">
        <f t="shared" si="441"/>
        <v/>
      </c>
      <c r="QDV33" t="str">
        <f t="shared" si="441"/>
        <v/>
      </c>
      <c r="QDW33" t="str">
        <f t="shared" si="441"/>
        <v/>
      </c>
      <c r="QDX33" t="str">
        <f t="shared" si="441"/>
        <v/>
      </c>
      <c r="QDY33" t="str">
        <f t="shared" si="441"/>
        <v/>
      </c>
      <c r="QDZ33" t="str">
        <f t="shared" si="441"/>
        <v/>
      </c>
      <c r="QEA33" t="str">
        <f t="shared" si="441"/>
        <v/>
      </c>
      <c r="QEB33" t="str">
        <f t="shared" si="441"/>
        <v/>
      </c>
      <c r="QEC33" t="str">
        <f t="shared" si="441"/>
        <v/>
      </c>
      <c r="QED33" t="str">
        <f t="shared" si="441"/>
        <v/>
      </c>
      <c r="QEE33" t="str">
        <f t="shared" si="441"/>
        <v/>
      </c>
      <c r="QEF33" t="str">
        <f t="shared" si="441"/>
        <v/>
      </c>
      <c r="QEG33" t="str">
        <f t="shared" si="441"/>
        <v/>
      </c>
      <c r="QEH33" t="str">
        <f t="shared" si="441"/>
        <v/>
      </c>
      <c r="QEI33" t="str">
        <f t="shared" si="441"/>
        <v/>
      </c>
      <c r="QEJ33" t="str">
        <f t="shared" si="441"/>
        <v/>
      </c>
      <c r="QEK33" t="str">
        <f t="shared" si="441"/>
        <v/>
      </c>
      <c r="QEL33" t="str">
        <f t="shared" si="441"/>
        <v/>
      </c>
      <c r="QEM33" t="str">
        <f t="shared" si="441"/>
        <v/>
      </c>
      <c r="QEN33" t="str">
        <f t="shared" si="441"/>
        <v/>
      </c>
      <c r="QEO33" t="str">
        <f t="shared" si="441"/>
        <v/>
      </c>
      <c r="QEP33" t="str">
        <f t="shared" si="441"/>
        <v/>
      </c>
      <c r="QEQ33" t="str">
        <f t="shared" si="441"/>
        <v/>
      </c>
      <c r="QER33" t="str">
        <f t="shared" si="441"/>
        <v/>
      </c>
      <c r="QES33" t="str">
        <f t="shared" si="441"/>
        <v/>
      </c>
      <c r="QET33" t="str">
        <f t="shared" si="441"/>
        <v/>
      </c>
      <c r="QEU33" t="str">
        <f t="shared" si="441"/>
        <v/>
      </c>
      <c r="QEV33" t="str">
        <f t="shared" si="441"/>
        <v/>
      </c>
      <c r="QEW33" t="str">
        <f t="shared" si="441"/>
        <v/>
      </c>
      <c r="QEX33" t="str">
        <f t="shared" si="441"/>
        <v/>
      </c>
      <c r="QEY33" t="str">
        <f t="shared" si="441"/>
        <v/>
      </c>
      <c r="QEZ33" t="str">
        <f t="shared" si="441"/>
        <v/>
      </c>
      <c r="QFA33" t="str">
        <f t="shared" si="441"/>
        <v/>
      </c>
      <c r="QFB33" t="str">
        <f t="shared" si="441"/>
        <v/>
      </c>
      <c r="QFC33" t="str">
        <f t="shared" si="441"/>
        <v/>
      </c>
      <c r="QFD33" t="str">
        <f t="shared" si="441"/>
        <v/>
      </c>
      <c r="QFE33" t="str">
        <f t="shared" si="441"/>
        <v/>
      </c>
      <c r="QFF33" t="str">
        <f t="shared" si="441"/>
        <v/>
      </c>
      <c r="QFG33" t="str">
        <f t="shared" si="441"/>
        <v/>
      </c>
      <c r="QFH33" t="str">
        <f t="shared" si="441"/>
        <v/>
      </c>
      <c r="QFI33" t="str">
        <f t="shared" si="441"/>
        <v/>
      </c>
      <c r="QFJ33" t="str">
        <f t="shared" si="441"/>
        <v/>
      </c>
      <c r="QFK33" t="str">
        <f t="shared" si="441"/>
        <v/>
      </c>
      <c r="QFL33" t="str">
        <f t="shared" si="441"/>
        <v/>
      </c>
      <c r="QFM33" t="str">
        <f t="shared" ref="QFM33:QHX33" si="442">TRIM(QGD17)</f>
        <v/>
      </c>
      <c r="QFN33" t="str">
        <f t="shared" si="442"/>
        <v/>
      </c>
      <c r="QFO33" t="str">
        <f t="shared" si="442"/>
        <v/>
      </c>
      <c r="QFP33" t="str">
        <f t="shared" si="442"/>
        <v/>
      </c>
      <c r="QFQ33" t="str">
        <f t="shared" si="442"/>
        <v/>
      </c>
      <c r="QFR33" t="str">
        <f t="shared" si="442"/>
        <v/>
      </c>
      <c r="QFS33" t="str">
        <f t="shared" si="442"/>
        <v/>
      </c>
      <c r="QFT33" t="str">
        <f t="shared" si="442"/>
        <v/>
      </c>
      <c r="QFU33" t="str">
        <f t="shared" si="442"/>
        <v/>
      </c>
      <c r="QFV33" t="str">
        <f t="shared" si="442"/>
        <v/>
      </c>
      <c r="QFW33" t="str">
        <f t="shared" si="442"/>
        <v/>
      </c>
      <c r="QFX33" t="str">
        <f t="shared" si="442"/>
        <v/>
      </c>
      <c r="QFY33" t="str">
        <f t="shared" si="442"/>
        <v/>
      </c>
      <c r="QFZ33" t="str">
        <f t="shared" si="442"/>
        <v/>
      </c>
      <c r="QGA33" t="str">
        <f t="shared" si="442"/>
        <v/>
      </c>
      <c r="QGB33" t="str">
        <f t="shared" si="442"/>
        <v/>
      </c>
      <c r="QGC33" t="str">
        <f t="shared" si="442"/>
        <v/>
      </c>
      <c r="QGD33" t="str">
        <f t="shared" si="442"/>
        <v/>
      </c>
      <c r="QGE33" t="str">
        <f t="shared" si="442"/>
        <v/>
      </c>
      <c r="QGF33" t="str">
        <f t="shared" si="442"/>
        <v/>
      </c>
      <c r="QGG33" t="str">
        <f t="shared" si="442"/>
        <v/>
      </c>
      <c r="QGH33" t="str">
        <f t="shared" si="442"/>
        <v/>
      </c>
      <c r="QGI33" t="str">
        <f t="shared" si="442"/>
        <v/>
      </c>
      <c r="QGJ33" t="str">
        <f t="shared" si="442"/>
        <v/>
      </c>
      <c r="QGK33" t="str">
        <f t="shared" si="442"/>
        <v/>
      </c>
      <c r="QGL33" t="str">
        <f t="shared" si="442"/>
        <v/>
      </c>
      <c r="QGM33" t="str">
        <f t="shared" si="442"/>
        <v/>
      </c>
      <c r="QGN33" t="str">
        <f t="shared" si="442"/>
        <v/>
      </c>
      <c r="QGO33" t="str">
        <f t="shared" si="442"/>
        <v/>
      </c>
      <c r="QGP33" t="str">
        <f t="shared" si="442"/>
        <v/>
      </c>
      <c r="QGQ33" t="str">
        <f t="shared" si="442"/>
        <v/>
      </c>
      <c r="QGR33" t="str">
        <f t="shared" si="442"/>
        <v/>
      </c>
      <c r="QGS33" t="str">
        <f t="shared" si="442"/>
        <v/>
      </c>
      <c r="QGT33" t="str">
        <f t="shared" si="442"/>
        <v/>
      </c>
      <c r="QGU33" t="str">
        <f t="shared" si="442"/>
        <v/>
      </c>
      <c r="QGV33" t="str">
        <f t="shared" si="442"/>
        <v/>
      </c>
      <c r="QGW33" t="str">
        <f t="shared" si="442"/>
        <v/>
      </c>
      <c r="QGX33" t="str">
        <f t="shared" si="442"/>
        <v/>
      </c>
      <c r="QGY33" t="str">
        <f t="shared" si="442"/>
        <v/>
      </c>
      <c r="QGZ33" t="str">
        <f t="shared" si="442"/>
        <v/>
      </c>
      <c r="QHA33" t="str">
        <f t="shared" si="442"/>
        <v/>
      </c>
      <c r="QHB33" t="str">
        <f t="shared" si="442"/>
        <v/>
      </c>
      <c r="QHC33" t="str">
        <f t="shared" si="442"/>
        <v/>
      </c>
      <c r="QHD33" t="str">
        <f t="shared" si="442"/>
        <v/>
      </c>
      <c r="QHE33" t="str">
        <f t="shared" si="442"/>
        <v/>
      </c>
      <c r="QHF33" t="str">
        <f t="shared" si="442"/>
        <v/>
      </c>
      <c r="QHG33" t="str">
        <f t="shared" si="442"/>
        <v/>
      </c>
      <c r="QHH33" t="str">
        <f t="shared" si="442"/>
        <v/>
      </c>
      <c r="QHI33" t="str">
        <f t="shared" si="442"/>
        <v/>
      </c>
      <c r="QHJ33" t="str">
        <f t="shared" si="442"/>
        <v/>
      </c>
      <c r="QHK33" t="str">
        <f t="shared" si="442"/>
        <v/>
      </c>
      <c r="QHL33" t="str">
        <f t="shared" si="442"/>
        <v/>
      </c>
      <c r="QHM33" t="str">
        <f t="shared" si="442"/>
        <v/>
      </c>
      <c r="QHN33" t="str">
        <f t="shared" si="442"/>
        <v/>
      </c>
      <c r="QHO33" t="str">
        <f t="shared" si="442"/>
        <v/>
      </c>
      <c r="QHP33" t="str">
        <f t="shared" si="442"/>
        <v/>
      </c>
      <c r="QHQ33" t="str">
        <f t="shared" si="442"/>
        <v/>
      </c>
      <c r="QHR33" t="str">
        <f t="shared" si="442"/>
        <v/>
      </c>
      <c r="QHS33" t="str">
        <f t="shared" si="442"/>
        <v/>
      </c>
      <c r="QHT33" t="str">
        <f t="shared" si="442"/>
        <v/>
      </c>
      <c r="QHU33" t="str">
        <f t="shared" si="442"/>
        <v/>
      </c>
      <c r="QHV33" t="str">
        <f t="shared" si="442"/>
        <v/>
      </c>
      <c r="QHW33" t="str">
        <f t="shared" si="442"/>
        <v/>
      </c>
      <c r="QHX33" t="str">
        <f t="shared" si="442"/>
        <v/>
      </c>
      <c r="QHY33" t="str">
        <f t="shared" ref="QHY33:QKJ33" si="443">TRIM(QIP17)</f>
        <v/>
      </c>
      <c r="QHZ33" t="str">
        <f t="shared" si="443"/>
        <v/>
      </c>
      <c r="QIA33" t="str">
        <f t="shared" si="443"/>
        <v/>
      </c>
      <c r="QIB33" t="str">
        <f t="shared" si="443"/>
        <v/>
      </c>
      <c r="QIC33" t="str">
        <f t="shared" si="443"/>
        <v/>
      </c>
      <c r="QID33" t="str">
        <f t="shared" si="443"/>
        <v/>
      </c>
      <c r="QIE33" t="str">
        <f t="shared" si="443"/>
        <v/>
      </c>
      <c r="QIF33" t="str">
        <f t="shared" si="443"/>
        <v/>
      </c>
      <c r="QIG33" t="str">
        <f t="shared" si="443"/>
        <v/>
      </c>
      <c r="QIH33" t="str">
        <f t="shared" si="443"/>
        <v/>
      </c>
      <c r="QII33" t="str">
        <f t="shared" si="443"/>
        <v/>
      </c>
      <c r="QIJ33" t="str">
        <f t="shared" si="443"/>
        <v/>
      </c>
      <c r="QIK33" t="str">
        <f t="shared" si="443"/>
        <v/>
      </c>
      <c r="QIL33" t="str">
        <f t="shared" si="443"/>
        <v/>
      </c>
      <c r="QIM33" t="str">
        <f t="shared" si="443"/>
        <v/>
      </c>
      <c r="QIN33" t="str">
        <f t="shared" si="443"/>
        <v/>
      </c>
      <c r="QIO33" t="str">
        <f t="shared" si="443"/>
        <v/>
      </c>
      <c r="QIP33" t="str">
        <f t="shared" si="443"/>
        <v/>
      </c>
      <c r="QIQ33" t="str">
        <f t="shared" si="443"/>
        <v/>
      </c>
      <c r="QIR33" t="str">
        <f t="shared" si="443"/>
        <v/>
      </c>
      <c r="QIS33" t="str">
        <f t="shared" si="443"/>
        <v/>
      </c>
      <c r="QIT33" t="str">
        <f t="shared" si="443"/>
        <v/>
      </c>
      <c r="QIU33" t="str">
        <f t="shared" si="443"/>
        <v/>
      </c>
      <c r="QIV33" t="str">
        <f t="shared" si="443"/>
        <v/>
      </c>
      <c r="QIW33" t="str">
        <f t="shared" si="443"/>
        <v/>
      </c>
      <c r="QIX33" t="str">
        <f t="shared" si="443"/>
        <v/>
      </c>
      <c r="QIY33" t="str">
        <f t="shared" si="443"/>
        <v/>
      </c>
      <c r="QIZ33" t="str">
        <f t="shared" si="443"/>
        <v/>
      </c>
      <c r="QJA33" t="str">
        <f t="shared" si="443"/>
        <v/>
      </c>
      <c r="QJB33" t="str">
        <f t="shared" si="443"/>
        <v/>
      </c>
      <c r="QJC33" t="str">
        <f t="shared" si="443"/>
        <v/>
      </c>
      <c r="QJD33" t="str">
        <f t="shared" si="443"/>
        <v/>
      </c>
      <c r="QJE33" t="str">
        <f t="shared" si="443"/>
        <v/>
      </c>
      <c r="QJF33" t="str">
        <f t="shared" si="443"/>
        <v/>
      </c>
      <c r="QJG33" t="str">
        <f t="shared" si="443"/>
        <v/>
      </c>
      <c r="QJH33" t="str">
        <f t="shared" si="443"/>
        <v/>
      </c>
      <c r="QJI33" t="str">
        <f t="shared" si="443"/>
        <v/>
      </c>
      <c r="QJJ33" t="str">
        <f t="shared" si="443"/>
        <v/>
      </c>
      <c r="QJK33" t="str">
        <f t="shared" si="443"/>
        <v/>
      </c>
      <c r="QJL33" t="str">
        <f t="shared" si="443"/>
        <v/>
      </c>
      <c r="QJM33" t="str">
        <f t="shared" si="443"/>
        <v/>
      </c>
      <c r="QJN33" t="str">
        <f t="shared" si="443"/>
        <v/>
      </c>
      <c r="QJO33" t="str">
        <f t="shared" si="443"/>
        <v/>
      </c>
      <c r="QJP33" t="str">
        <f t="shared" si="443"/>
        <v/>
      </c>
      <c r="QJQ33" t="str">
        <f t="shared" si="443"/>
        <v/>
      </c>
      <c r="QJR33" t="str">
        <f t="shared" si="443"/>
        <v/>
      </c>
      <c r="QJS33" t="str">
        <f t="shared" si="443"/>
        <v/>
      </c>
      <c r="QJT33" t="str">
        <f t="shared" si="443"/>
        <v/>
      </c>
      <c r="QJU33" t="str">
        <f t="shared" si="443"/>
        <v/>
      </c>
      <c r="QJV33" t="str">
        <f t="shared" si="443"/>
        <v/>
      </c>
      <c r="QJW33" t="str">
        <f t="shared" si="443"/>
        <v/>
      </c>
      <c r="QJX33" t="str">
        <f t="shared" si="443"/>
        <v/>
      </c>
      <c r="QJY33" t="str">
        <f t="shared" si="443"/>
        <v/>
      </c>
      <c r="QJZ33" t="str">
        <f t="shared" si="443"/>
        <v/>
      </c>
      <c r="QKA33" t="str">
        <f t="shared" si="443"/>
        <v/>
      </c>
      <c r="QKB33" t="str">
        <f t="shared" si="443"/>
        <v/>
      </c>
      <c r="QKC33" t="str">
        <f t="shared" si="443"/>
        <v/>
      </c>
      <c r="QKD33" t="str">
        <f t="shared" si="443"/>
        <v/>
      </c>
      <c r="QKE33" t="str">
        <f t="shared" si="443"/>
        <v/>
      </c>
      <c r="QKF33" t="str">
        <f t="shared" si="443"/>
        <v/>
      </c>
      <c r="QKG33" t="str">
        <f t="shared" si="443"/>
        <v/>
      </c>
      <c r="QKH33" t="str">
        <f t="shared" si="443"/>
        <v/>
      </c>
      <c r="QKI33" t="str">
        <f t="shared" si="443"/>
        <v/>
      </c>
      <c r="QKJ33" t="str">
        <f t="shared" si="443"/>
        <v/>
      </c>
      <c r="QKK33" t="str">
        <f t="shared" ref="QKK33:QMV33" si="444">TRIM(QLB17)</f>
        <v/>
      </c>
      <c r="QKL33" t="str">
        <f t="shared" si="444"/>
        <v/>
      </c>
      <c r="QKM33" t="str">
        <f t="shared" si="444"/>
        <v/>
      </c>
      <c r="QKN33" t="str">
        <f t="shared" si="444"/>
        <v/>
      </c>
      <c r="QKO33" t="str">
        <f t="shared" si="444"/>
        <v/>
      </c>
      <c r="QKP33" t="str">
        <f t="shared" si="444"/>
        <v/>
      </c>
      <c r="QKQ33" t="str">
        <f t="shared" si="444"/>
        <v/>
      </c>
      <c r="QKR33" t="str">
        <f t="shared" si="444"/>
        <v/>
      </c>
      <c r="QKS33" t="str">
        <f t="shared" si="444"/>
        <v/>
      </c>
      <c r="QKT33" t="str">
        <f t="shared" si="444"/>
        <v/>
      </c>
      <c r="QKU33" t="str">
        <f t="shared" si="444"/>
        <v/>
      </c>
      <c r="QKV33" t="str">
        <f t="shared" si="444"/>
        <v/>
      </c>
      <c r="QKW33" t="str">
        <f t="shared" si="444"/>
        <v/>
      </c>
      <c r="QKX33" t="str">
        <f t="shared" si="444"/>
        <v/>
      </c>
      <c r="QKY33" t="str">
        <f t="shared" si="444"/>
        <v/>
      </c>
      <c r="QKZ33" t="str">
        <f t="shared" si="444"/>
        <v/>
      </c>
      <c r="QLA33" t="str">
        <f t="shared" si="444"/>
        <v/>
      </c>
      <c r="QLB33" t="str">
        <f t="shared" si="444"/>
        <v/>
      </c>
      <c r="QLC33" t="str">
        <f t="shared" si="444"/>
        <v/>
      </c>
      <c r="QLD33" t="str">
        <f t="shared" si="444"/>
        <v/>
      </c>
      <c r="QLE33" t="str">
        <f t="shared" si="444"/>
        <v/>
      </c>
      <c r="QLF33" t="str">
        <f t="shared" si="444"/>
        <v/>
      </c>
      <c r="QLG33" t="str">
        <f t="shared" si="444"/>
        <v/>
      </c>
      <c r="QLH33" t="str">
        <f t="shared" si="444"/>
        <v/>
      </c>
      <c r="QLI33" t="str">
        <f t="shared" si="444"/>
        <v/>
      </c>
      <c r="QLJ33" t="str">
        <f t="shared" si="444"/>
        <v/>
      </c>
      <c r="QLK33" t="str">
        <f t="shared" si="444"/>
        <v/>
      </c>
      <c r="QLL33" t="str">
        <f t="shared" si="444"/>
        <v/>
      </c>
      <c r="QLM33" t="str">
        <f t="shared" si="444"/>
        <v/>
      </c>
      <c r="QLN33" t="str">
        <f t="shared" si="444"/>
        <v/>
      </c>
      <c r="QLO33" t="str">
        <f t="shared" si="444"/>
        <v/>
      </c>
      <c r="QLP33" t="str">
        <f t="shared" si="444"/>
        <v/>
      </c>
      <c r="QLQ33" t="str">
        <f t="shared" si="444"/>
        <v/>
      </c>
      <c r="QLR33" t="str">
        <f t="shared" si="444"/>
        <v/>
      </c>
      <c r="QLS33" t="str">
        <f t="shared" si="444"/>
        <v/>
      </c>
      <c r="QLT33" t="str">
        <f t="shared" si="444"/>
        <v/>
      </c>
      <c r="QLU33" t="str">
        <f t="shared" si="444"/>
        <v/>
      </c>
      <c r="QLV33" t="str">
        <f t="shared" si="444"/>
        <v/>
      </c>
      <c r="QLW33" t="str">
        <f t="shared" si="444"/>
        <v/>
      </c>
      <c r="QLX33" t="str">
        <f t="shared" si="444"/>
        <v/>
      </c>
      <c r="QLY33" t="str">
        <f t="shared" si="444"/>
        <v/>
      </c>
      <c r="QLZ33" t="str">
        <f t="shared" si="444"/>
        <v/>
      </c>
      <c r="QMA33" t="str">
        <f t="shared" si="444"/>
        <v/>
      </c>
      <c r="QMB33" t="str">
        <f t="shared" si="444"/>
        <v/>
      </c>
      <c r="QMC33" t="str">
        <f t="shared" si="444"/>
        <v/>
      </c>
      <c r="QMD33" t="str">
        <f t="shared" si="444"/>
        <v/>
      </c>
      <c r="QME33" t="str">
        <f t="shared" si="444"/>
        <v/>
      </c>
      <c r="QMF33" t="str">
        <f t="shared" si="444"/>
        <v/>
      </c>
      <c r="QMG33" t="str">
        <f t="shared" si="444"/>
        <v/>
      </c>
      <c r="QMH33" t="str">
        <f t="shared" si="444"/>
        <v/>
      </c>
      <c r="QMI33" t="str">
        <f t="shared" si="444"/>
        <v/>
      </c>
      <c r="QMJ33" t="str">
        <f t="shared" si="444"/>
        <v/>
      </c>
      <c r="QMK33" t="str">
        <f t="shared" si="444"/>
        <v/>
      </c>
      <c r="QML33" t="str">
        <f t="shared" si="444"/>
        <v/>
      </c>
      <c r="QMM33" t="str">
        <f t="shared" si="444"/>
        <v/>
      </c>
      <c r="QMN33" t="str">
        <f t="shared" si="444"/>
        <v/>
      </c>
      <c r="QMO33" t="str">
        <f t="shared" si="444"/>
        <v/>
      </c>
      <c r="QMP33" t="str">
        <f t="shared" si="444"/>
        <v/>
      </c>
      <c r="QMQ33" t="str">
        <f t="shared" si="444"/>
        <v/>
      </c>
      <c r="QMR33" t="str">
        <f t="shared" si="444"/>
        <v/>
      </c>
      <c r="QMS33" t="str">
        <f t="shared" si="444"/>
        <v/>
      </c>
      <c r="QMT33" t="str">
        <f t="shared" si="444"/>
        <v/>
      </c>
      <c r="QMU33" t="str">
        <f t="shared" si="444"/>
        <v/>
      </c>
      <c r="QMV33" t="str">
        <f t="shared" si="444"/>
        <v/>
      </c>
      <c r="QMW33" t="str">
        <f t="shared" ref="QMW33:QPH33" si="445">TRIM(QNN17)</f>
        <v/>
      </c>
      <c r="QMX33" t="str">
        <f t="shared" si="445"/>
        <v/>
      </c>
      <c r="QMY33" t="str">
        <f t="shared" si="445"/>
        <v/>
      </c>
      <c r="QMZ33" t="str">
        <f t="shared" si="445"/>
        <v/>
      </c>
      <c r="QNA33" t="str">
        <f t="shared" si="445"/>
        <v/>
      </c>
      <c r="QNB33" t="str">
        <f t="shared" si="445"/>
        <v/>
      </c>
      <c r="QNC33" t="str">
        <f t="shared" si="445"/>
        <v/>
      </c>
      <c r="QND33" t="str">
        <f t="shared" si="445"/>
        <v/>
      </c>
      <c r="QNE33" t="str">
        <f t="shared" si="445"/>
        <v/>
      </c>
      <c r="QNF33" t="str">
        <f t="shared" si="445"/>
        <v/>
      </c>
      <c r="QNG33" t="str">
        <f t="shared" si="445"/>
        <v/>
      </c>
      <c r="QNH33" t="str">
        <f t="shared" si="445"/>
        <v/>
      </c>
      <c r="QNI33" t="str">
        <f t="shared" si="445"/>
        <v/>
      </c>
      <c r="QNJ33" t="str">
        <f t="shared" si="445"/>
        <v/>
      </c>
      <c r="QNK33" t="str">
        <f t="shared" si="445"/>
        <v/>
      </c>
      <c r="QNL33" t="str">
        <f t="shared" si="445"/>
        <v/>
      </c>
      <c r="QNM33" t="str">
        <f t="shared" si="445"/>
        <v/>
      </c>
      <c r="QNN33" t="str">
        <f t="shared" si="445"/>
        <v/>
      </c>
      <c r="QNO33" t="str">
        <f t="shared" si="445"/>
        <v/>
      </c>
      <c r="QNP33" t="str">
        <f t="shared" si="445"/>
        <v/>
      </c>
      <c r="QNQ33" t="str">
        <f t="shared" si="445"/>
        <v/>
      </c>
      <c r="QNR33" t="str">
        <f t="shared" si="445"/>
        <v/>
      </c>
      <c r="QNS33" t="str">
        <f t="shared" si="445"/>
        <v/>
      </c>
      <c r="QNT33" t="str">
        <f t="shared" si="445"/>
        <v/>
      </c>
      <c r="QNU33" t="str">
        <f t="shared" si="445"/>
        <v/>
      </c>
      <c r="QNV33" t="str">
        <f t="shared" si="445"/>
        <v/>
      </c>
      <c r="QNW33" t="str">
        <f t="shared" si="445"/>
        <v/>
      </c>
      <c r="QNX33" t="str">
        <f t="shared" si="445"/>
        <v/>
      </c>
      <c r="QNY33" t="str">
        <f t="shared" si="445"/>
        <v/>
      </c>
      <c r="QNZ33" t="str">
        <f t="shared" si="445"/>
        <v/>
      </c>
      <c r="QOA33" t="str">
        <f t="shared" si="445"/>
        <v/>
      </c>
      <c r="QOB33" t="str">
        <f t="shared" si="445"/>
        <v/>
      </c>
      <c r="QOC33" t="str">
        <f t="shared" si="445"/>
        <v/>
      </c>
      <c r="QOD33" t="str">
        <f t="shared" si="445"/>
        <v/>
      </c>
      <c r="QOE33" t="str">
        <f t="shared" si="445"/>
        <v/>
      </c>
      <c r="QOF33" t="str">
        <f t="shared" si="445"/>
        <v/>
      </c>
      <c r="QOG33" t="str">
        <f t="shared" si="445"/>
        <v/>
      </c>
      <c r="QOH33" t="str">
        <f t="shared" si="445"/>
        <v/>
      </c>
      <c r="QOI33" t="str">
        <f t="shared" si="445"/>
        <v/>
      </c>
      <c r="QOJ33" t="str">
        <f t="shared" si="445"/>
        <v/>
      </c>
      <c r="QOK33" t="str">
        <f t="shared" si="445"/>
        <v/>
      </c>
      <c r="QOL33" t="str">
        <f t="shared" si="445"/>
        <v/>
      </c>
      <c r="QOM33" t="str">
        <f t="shared" si="445"/>
        <v/>
      </c>
      <c r="QON33" t="str">
        <f t="shared" si="445"/>
        <v/>
      </c>
      <c r="QOO33" t="str">
        <f t="shared" si="445"/>
        <v/>
      </c>
      <c r="QOP33" t="str">
        <f t="shared" si="445"/>
        <v/>
      </c>
      <c r="QOQ33" t="str">
        <f t="shared" si="445"/>
        <v/>
      </c>
      <c r="QOR33" t="str">
        <f t="shared" si="445"/>
        <v/>
      </c>
      <c r="QOS33" t="str">
        <f t="shared" si="445"/>
        <v/>
      </c>
      <c r="QOT33" t="str">
        <f t="shared" si="445"/>
        <v/>
      </c>
      <c r="QOU33" t="str">
        <f t="shared" si="445"/>
        <v/>
      </c>
      <c r="QOV33" t="str">
        <f t="shared" si="445"/>
        <v/>
      </c>
      <c r="QOW33" t="str">
        <f t="shared" si="445"/>
        <v/>
      </c>
      <c r="QOX33" t="str">
        <f t="shared" si="445"/>
        <v/>
      </c>
      <c r="QOY33" t="str">
        <f t="shared" si="445"/>
        <v/>
      </c>
      <c r="QOZ33" t="str">
        <f t="shared" si="445"/>
        <v/>
      </c>
      <c r="QPA33" t="str">
        <f t="shared" si="445"/>
        <v/>
      </c>
      <c r="QPB33" t="str">
        <f t="shared" si="445"/>
        <v/>
      </c>
      <c r="QPC33" t="str">
        <f t="shared" si="445"/>
        <v/>
      </c>
      <c r="QPD33" t="str">
        <f t="shared" si="445"/>
        <v/>
      </c>
      <c r="QPE33" t="str">
        <f t="shared" si="445"/>
        <v/>
      </c>
      <c r="QPF33" t="str">
        <f t="shared" si="445"/>
        <v/>
      </c>
      <c r="QPG33" t="str">
        <f t="shared" si="445"/>
        <v/>
      </c>
      <c r="QPH33" t="str">
        <f t="shared" si="445"/>
        <v/>
      </c>
      <c r="QPI33" t="str">
        <f t="shared" ref="QPI33:QRT33" si="446">TRIM(QPZ17)</f>
        <v/>
      </c>
      <c r="QPJ33" t="str">
        <f t="shared" si="446"/>
        <v/>
      </c>
      <c r="QPK33" t="str">
        <f t="shared" si="446"/>
        <v/>
      </c>
      <c r="QPL33" t="str">
        <f t="shared" si="446"/>
        <v/>
      </c>
      <c r="QPM33" t="str">
        <f t="shared" si="446"/>
        <v/>
      </c>
      <c r="QPN33" t="str">
        <f t="shared" si="446"/>
        <v/>
      </c>
      <c r="QPO33" t="str">
        <f t="shared" si="446"/>
        <v/>
      </c>
      <c r="QPP33" t="str">
        <f t="shared" si="446"/>
        <v/>
      </c>
      <c r="QPQ33" t="str">
        <f t="shared" si="446"/>
        <v/>
      </c>
      <c r="QPR33" t="str">
        <f t="shared" si="446"/>
        <v/>
      </c>
      <c r="QPS33" t="str">
        <f t="shared" si="446"/>
        <v/>
      </c>
      <c r="QPT33" t="str">
        <f t="shared" si="446"/>
        <v/>
      </c>
      <c r="QPU33" t="str">
        <f t="shared" si="446"/>
        <v/>
      </c>
      <c r="QPV33" t="str">
        <f t="shared" si="446"/>
        <v/>
      </c>
      <c r="QPW33" t="str">
        <f t="shared" si="446"/>
        <v/>
      </c>
      <c r="QPX33" t="str">
        <f t="shared" si="446"/>
        <v/>
      </c>
      <c r="QPY33" t="str">
        <f t="shared" si="446"/>
        <v/>
      </c>
      <c r="QPZ33" t="str">
        <f t="shared" si="446"/>
        <v/>
      </c>
      <c r="QQA33" t="str">
        <f t="shared" si="446"/>
        <v/>
      </c>
      <c r="QQB33" t="str">
        <f t="shared" si="446"/>
        <v/>
      </c>
      <c r="QQC33" t="str">
        <f t="shared" si="446"/>
        <v/>
      </c>
      <c r="QQD33" t="str">
        <f t="shared" si="446"/>
        <v/>
      </c>
      <c r="QQE33" t="str">
        <f t="shared" si="446"/>
        <v/>
      </c>
      <c r="QQF33" t="str">
        <f t="shared" si="446"/>
        <v/>
      </c>
      <c r="QQG33" t="str">
        <f t="shared" si="446"/>
        <v/>
      </c>
      <c r="QQH33" t="str">
        <f t="shared" si="446"/>
        <v/>
      </c>
      <c r="QQI33" t="str">
        <f t="shared" si="446"/>
        <v/>
      </c>
      <c r="QQJ33" t="str">
        <f t="shared" si="446"/>
        <v/>
      </c>
      <c r="QQK33" t="str">
        <f t="shared" si="446"/>
        <v/>
      </c>
      <c r="QQL33" t="str">
        <f t="shared" si="446"/>
        <v/>
      </c>
      <c r="QQM33" t="str">
        <f t="shared" si="446"/>
        <v/>
      </c>
      <c r="QQN33" t="str">
        <f t="shared" si="446"/>
        <v/>
      </c>
      <c r="QQO33" t="str">
        <f t="shared" si="446"/>
        <v/>
      </c>
      <c r="QQP33" t="str">
        <f t="shared" si="446"/>
        <v/>
      </c>
      <c r="QQQ33" t="str">
        <f t="shared" si="446"/>
        <v/>
      </c>
      <c r="QQR33" t="str">
        <f t="shared" si="446"/>
        <v/>
      </c>
      <c r="QQS33" t="str">
        <f t="shared" si="446"/>
        <v/>
      </c>
      <c r="QQT33" t="str">
        <f t="shared" si="446"/>
        <v/>
      </c>
      <c r="QQU33" t="str">
        <f t="shared" si="446"/>
        <v/>
      </c>
      <c r="QQV33" t="str">
        <f t="shared" si="446"/>
        <v/>
      </c>
      <c r="QQW33" t="str">
        <f t="shared" si="446"/>
        <v/>
      </c>
      <c r="QQX33" t="str">
        <f t="shared" si="446"/>
        <v/>
      </c>
      <c r="QQY33" t="str">
        <f t="shared" si="446"/>
        <v/>
      </c>
      <c r="QQZ33" t="str">
        <f t="shared" si="446"/>
        <v/>
      </c>
      <c r="QRA33" t="str">
        <f t="shared" si="446"/>
        <v/>
      </c>
      <c r="QRB33" t="str">
        <f t="shared" si="446"/>
        <v/>
      </c>
      <c r="QRC33" t="str">
        <f t="shared" si="446"/>
        <v/>
      </c>
      <c r="QRD33" t="str">
        <f t="shared" si="446"/>
        <v/>
      </c>
      <c r="QRE33" t="str">
        <f t="shared" si="446"/>
        <v/>
      </c>
      <c r="QRF33" t="str">
        <f t="shared" si="446"/>
        <v/>
      </c>
      <c r="QRG33" t="str">
        <f t="shared" si="446"/>
        <v/>
      </c>
      <c r="QRH33" t="str">
        <f t="shared" si="446"/>
        <v/>
      </c>
      <c r="QRI33" t="str">
        <f t="shared" si="446"/>
        <v/>
      </c>
      <c r="QRJ33" t="str">
        <f t="shared" si="446"/>
        <v/>
      </c>
      <c r="QRK33" t="str">
        <f t="shared" si="446"/>
        <v/>
      </c>
      <c r="QRL33" t="str">
        <f t="shared" si="446"/>
        <v/>
      </c>
      <c r="QRM33" t="str">
        <f t="shared" si="446"/>
        <v/>
      </c>
      <c r="QRN33" t="str">
        <f t="shared" si="446"/>
        <v/>
      </c>
      <c r="QRO33" t="str">
        <f t="shared" si="446"/>
        <v/>
      </c>
      <c r="QRP33" t="str">
        <f t="shared" si="446"/>
        <v/>
      </c>
      <c r="QRQ33" t="str">
        <f t="shared" si="446"/>
        <v/>
      </c>
      <c r="QRR33" t="str">
        <f t="shared" si="446"/>
        <v/>
      </c>
      <c r="QRS33" t="str">
        <f t="shared" si="446"/>
        <v/>
      </c>
      <c r="QRT33" t="str">
        <f t="shared" si="446"/>
        <v/>
      </c>
      <c r="QRU33" t="str">
        <f t="shared" ref="QRU33:QUF33" si="447">TRIM(QSL17)</f>
        <v/>
      </c>
      <c r="QRV33" t="str">
        <f t="shared" si="447"/>
        <v/>
      </c>
      <c r="QRW33" t="str">
        <f t="shared" si="447"/>
        <v/>
      </c>
      <c r="QRX33" t="str">
        <f t="shared" si="447"/>
        <v/>
      </c>
      <c r="QRY33" t="str">
        <f t="shared" si="447"/>
        <v/>
      </c>
      <c r="QRZ33" t="str">
        <f t="shared" si="447"/>
        <v/>
      </c>
      <c r="QSA33" t="str">
        <f t="shared" si="447"/>
        <v/>
      </c>
      <c r="QSB33" t="str">
        <f t="shared" si="447"/>
        <v/>
      </c>
      <c r="QSC33" t="str">
        <f t="shared" si="447"/>
        <v/>
      </c>
      <c r="QSD33" t="str">
        <f t="shared" si="447"/>
        <v/>
      </c>
      <c r="QSE33" t="str">
        <f t="shared" si="447"/>
        <v/>
      </c>
      <c r="QSF33" t="str">
        <f t="shared" si="447"/>
        <v/>
      </c>
      <c r="QSG33" t="str">
        <f t="shared" si="447"/>
        <v/>
      </c>
      <c r="QSH33" t="str">
        <f t="shared" si="447"/>
        <v/>
      </c>
      <c r="QSI33" t="str">
        <f t="shared" si="447"/>
        <v/>
      </c>
      <c r="QSJ33" t="str">
        <f t="shared" si="447"/>
        <v/>
      </c>
      <c r="QSK33" t="str">
        <f t="shared" si="447"/>
        <v/>
      </c>
      <c r="QSL33" t="str">
        <f t="shared" si="447"/>
        <v/>
      </c>
      <c r="QSM33" t="str">
        <f t="shared" si="447"/>
        <v/>
      </c>
      <c r="QSN33" t="str">
        <f t="shared" si="447"/>
        <v/>
      </c>
      <c r="QSO33" t="str">
        <f t="shared" si="447"/>
        <v/>
      </c>
      <c r="QSP33" t="str">
        <f t="shared" si="447"/>
        <v/>
      </c>
      <c r="QSQ33" t="str">
        <f t="shared" si="447"/>
        <v/>
      </c>
      <c r="QSR33" t="str">
        <f t="shared" si="447"/>
        <v/>
      </c>
      <c r="QSS33" t="str">
        <f t="shared" si="447"/>
        <v/>
      </c>
      <c r="QST33" t="str">
        <f t="shared" si="447"/>
        <v/>
      </c>
      <c r="QSU33" t="str">
        <f t="shared" si="447"/>
        <v/>
      </c>
      <c r="QSV33" t="str">
        <f t="shared" si="447"/>
        <v/>
      </c>
      <c r="QSW33" t="str">
        <f t="shared" si="447"/>
        <v/>
      </c>
      <c r="QSX33" t="str">
        <f t="shared" si="447"/>
        <v/>
      </c>
      <c r="QSY33" t="str">
        <f t="shared" si="447"/>
        <v/>
      </c>
      <c r="QSZ33" t="str">
        <f t="shared" si="447"/>
        <v/>
      </c>
      <c r="QTA33" t="str">
        <f t="shared" si="447"/>
        <v/>
      </c>
      <c r="QTB33" t="str">
        <f t="shared" si="447"/>
        <v/>
      </c>
      <c r="QTC33" t="str">
        <f t="shared" si="447"/>
        <v/>
      </c>
      <c r="QTD33" t="str">
        <f t="shared" si="447"/>
        <v/>
      </c>
      <c r="QTE33" t="str">
        <f t="shared" si="447"/>
        <v/>
      </c>
      <c r="QTF33" t="str">
        <f t="shared" si="447"/>
        <v/>
      </c>
      <c r="QTG33" t="str">
        <f t="shared" si="447"/>
        <v/>
      </c>
      <c r="QTH33" t="str">
        <f t="shared" si="447"/>
        <v/>
      </c>
      <c r="QTI33" t="str">
        <f t="shared" si="447"/>
        <v/>
      </c>
      <c r="QTJ33" t="str">
        <f t="shared" si="447"/>
        <v/>
      </c>
      <c r="QTK33" t="str">
        <f t="shared" si="447"/>
        <v/>
      </c>
      <c r="QTL33" t="str">
        <f t="shared" si="447"/>
        <v/>
      </c>
      <c r="QTM33" t="str">
        <f t="shared" si="447"/>
        <v/>
      </c>
      <c r="QTN33" t="str">
        <f t="shared" si="447"/>
        <v/>
      </c>
      <c r="QTO33" t="str">
        <f t="shared" si="447"/>
        <v/>
      </c>
      <c r="QTP33" t="str">
        <f t="shared" si="447"/>
        <v/>
      </c>
      <c r="QTQ33" t="str">
        <f t="shared" si="447"/>
        <v/>
      </c>
      <c r="QTR33" t="str">
        <f t="shared" si="447"/>
        <v/>
      </c>
      <c r="QTS33" t="str">
        <f t="shared" si="447"/>
        <v/>
      </c>
      <c r="QTT33" t="str">
        <f t="shared" si="447"/>
        <v/>
      </c>
      <c r="QTU33" t="str">
        <f t="shared" si="447"/>
        <v/>
      </c>
      <c r="QTV33" t="str">
        <f t="shared" si="447"/>
        <v/>
      </c>
      <c r="QTW33" t="str">
        <f t="shared" si="447"/>
        <v/>
      </c>
      <c r="QTX33" t="str">
        <f t="shared" si="447"/>
        <v/>
      </c>
      <c r="QTY33" t="str">
        <f t="shared" si="447"/>
        <v/>
      </c>
      <c r="QTZ33" t="str">
        <f t="shared" si="447"/>
        <v/>
      </c>
      <c r="QUA33" t="str">
        <f t="shared" si="447"/>
        <v/>
      </c>
      <c r="QUB33" t="str">
        <f t="shared" si="447"/>
        <v/>
      </c>
      <c r="QUC33" t="str">
        <f t="shared" si="447"/>
        <v/>
      </c>
      <c r="QUD33" t="str">
        <f t="shared" si="447"/>
        <v/>
      </c>
      <c r="QUE33" t="str">
        <f t="shared" si="447"/>
        <v/>
      </c>
      <c r="QUF33" t="str">
        <f t="shared" si="447"/>
        <v/>
      </c>
      <c r="QUG33" t="str">
        <f t="shared" ref="QUG33:QWR33" si="448">TRIM(QUX17)</f>
        <v/>
      </c>
      <c r="QUH33" t="str">
        <f t="shared" si="448"/>
        <v/>
      </c>
      <c r="QUI33" t="str">
        <f t="shared" si="448"/>
        <v/>
      </c>
      <c r="QUJ33" t="str">
        <f t="shared" si="448"/>
        <v/>
      </c>
      <c r="QUK33" t="str">
        <f t="shared" si="448"/>
        <v/>
      </c>
      <c r="QUL33" t="str">
        <f t="shared" si="448"/>
        <v/>
      </c>
      <c r="QUM33" t="str">
        <f t="shared" si="448"/>
        <v/>
      </c>
      <c r="QUN33" t="str">
        <f t="shared" si="448"/>
        <v/>
      </c>
      <c r="QUO33" t="str">
        <f t="shared" si="448"/>
        <v/>
      </c>
      <c r="QUP33" t="str">
        <f t="shared" si="448"/>
        <v/>
      </c>
      <c r="QUQ33" t="str">
        <f t="shared" si="448"/>
        <v/>
      </c>
      <c r="QUR33" t="str">
        <f t="shared" si="448"/>
        <v/>
      </c>
      <c r="QUS33" t="str">
        <f t="shared" si="448"/>
        <v/>
      </c>
      <c r="QUT33" t="str">
        <f t="shared" si="448"/>
        <v/>
      </c>
      <c r="QUU33" t="str">
        <f t="shared" si="448"/>
        <v/>
      </c>
      <c r="QUV33" t="str">
        <f t="shared" si="448"/>
        <v/>
      </c>
      <c r="QUW33" t="str">
        <f t="shared" si="448"/>
        <v/>
      </c>
      <c r="QUX33" t="str">
        <f t="shared" si="448"/>
        <v/>
      </c>
      <c r="QUY33" t="str">
        <f t="shared" si="448"/>
        <v/>
      </c>
      <c r="QUZ33" t="str">
        <f t="shared" si="448"/>
        <v/>
      </c>
      <c r="QVA33" t="str">
        <f t="shared" si="448"/>
        <v/>
      </c>
      <c r="QVB33" t="str">
        <f t="shared" si="448"/>
        <v/>
      </c>
      <c r="QVC33" t="str">
        <f t="shared" si="448"/>
        <v/>
      </c>
      <c r="QVD33" t="str">
        <f t="shared" si="448"/>
        <v/>
      </c>
      <c r="QVE33" t="str">
        <f t="shared" si="448"/>
        <v/>
      </c>
      <c r="QVF33" t="str">
        <f t="shared" si="448"/>
        <v/>
      </c>
      <c r="QVG33" t="str">
        <f t="shared" si="448"/>
        <v/>
      </c>
      <c r="QVH33" t="str">
        <f t="shared" si="448"/>
        <v/>
      </c>
      <c r="QVI33" t="str">
        <f t="shared" si="448"/>
        <v/>
      </c>
      <c r="QVJ33" t="str">
        <f t="shared" si="448"/>
        <v/>
      </c>
      <c r="QVK33" t="str">
        <f t="shared" si="448"/>
        <v/>
      </c>
      <c r="QVL33" t="str">
        <f t="shared" si="448"/>
        <v/>
      </c>
      <c r="QVM33" t="str">
        <f t="shared" si="448"/>
        <v/>
      </c>
      <c r="QVN33" t="str">
        <f t="shared" si="448"/>
        <v/>
      </c>
      <c r="QVO33" t="str">
        <f t="shared" si="448"/>
        <v/>
      </c>
      <c r="QVP33" t="str">
        <f t="shared" si="448"/>
        <v/>
      </c>
      <c r="QVQ33" t="str">
        <f t="shared" si="448"/>
        <v/>
      </c>
      <c r="QVR33" t="str">
        <f t="shared" si="448"/>
        <v/>
      </c>
      <c r="QVS33" t="str">
        <f t="shared" si="448"/>
        <v/>
      </c>
      <c r="QVT33" t="str">
        <f t="shared" si="448"/>
        <v/>
      </c>
      <c r="QVU33" t="str">
        <f t="shared" si="448"/>
        <v/>
      </c>
      <c r="QVV33" t="str">
        <f t="shared" si="448"/>
        <v/>
      </c>
      <c r="QVW33" t="str">
        <f t="shared" si="448"/>
        <v/>
      </c>
      <c r="QVX33" t="str">
        <f t="shared" si="448"/>
        <v/>
      </c>
      <c r="QVY33" t="str">
        <f t="shared" si="448"/>
        <v/>
      </c>
      <c r="QVZ33" t="str">
        <f t="shared" si="448"/>
        <v/>
      </c>
      <c r="QWA33" t="str">
        <f t="shared" si="448"/>
        <v/>
      </c>
      <c r="QWB33" t="str">
        <f t="shared" si="448"/>
        <v/>
      </c>
      <c r="QWC33" t="str">
        <f t="shared" si="448"/>
        <v/>
      </c>
      <c r="QWD33" t="str">
        <f t="shared" si="448"/>
        <v/>
      </c>
      <c r="QWE33" t="str">
        <f t="shared" si="448"/>
        <v/>
      </c>
      <c r="QWF33" t="str">
        <f t="shared" si="448"/>
        <v/>
      </c>
      <c r="QWG33" t="str">
        <f t="shared" si="448"/>
        <v/>
      </c>
      <c r="QWH33" t="str">
        <f t="shared" si="448"/>
        <v/>
      </c>
      <c r="QWI33" t="str">
        <f t="shared" si="448"/>
        <v/>
      </c>
      <c r="QWJ33" t="str">
        <f t="shared" si="448"/>
        <v/>
      </c>
      <c r="QWK33" t="str">
        <f t="shared" si="448"/>
        <v/>
      </c>
      <c r="QWL33" t="str">
        <f t="shared" si="448"/>
        <v/>
      </c>
      <c r="QWM33" t="str">
        <f t="shared" si="448"/>
        <v/>
      </c>
      <c r="QWN33" t="str">
        <f t="shared" si="448"/>
        <v/>
      </c>
      <c r="QWO33" t="str">
        <f t="shared" si="448"/>
        <v/>
      </c>
      <c r="QWP33" t="str">
        <f t="shared" si="448"/>
        <v/>
      </c>
      <c r="QWQ33" t="str">
        <f t="shared" si="448"/>
        <v/>
      </c>
      <c r="QWR33" t="str">
        <f t="shared" si="448"/>
        <v/>
      </c>
      <c r="QWS33" t="str">
        <f t="shared" ref="QWS33:QZD33" si="449">TRIM(QXJ17)</f>
        <v/>
      </c>
      <c r="QWT33" t="str">
        <f t="shared" si="449"/>
        <v/>
      </c>
      <c r="QWU33" t="str">
        <f t="shared" si="449"/>
        <v/>
      </c>
      <c r="QWV33" t="str">
        <f t="shared" si="449"/>
        <v/>
      </c>
      <c r="QWW33" t="str">
        <f t="shared" si="449"/>
        <v/>
      </c>
      <c r="QWX33" t="str">
        <f t="shared" si="449"/>
        <v/>
      </c>
      <c r="QWY33" t="str">
        <f t="shared" si="449"/>
        <v/>
      </c>
      <c r="QWZ33" t="str">
        <f t="shared" si="449"/>
        <v/>
      </c>
      <c r="QXA33" t="str">
        <f t="shared" si="449"/>
        <v/>
      </c>
      <c r="QXB33" t="str">
        <f t="shared" si="449"/>
        <v/>
      </c>
      <c r="QXC33" t="str">
        <f t="shared" si="449"/>
        <v/>
      </c>
      <c r="QXD33" t="str">
        <f t="shared" si="449"/>
        <v/>
      </c>
      <c r="QXE33" t="str">
        <f t="shared" si="449"/>
        <v/>
      </c>
      <c r="QXF33" t="str">
        <f t="shared" si="449"/>
        <v/>
      </c>
      <c r="QXG33" t="str">
        <f t="shared" si="449"/>
        <v/>
      </c>
      <c r="QXH33" t="str">
        <f t="shared" si="449"/>
        <v/>
      </c>
      <c r="QXI33" t="str">
        <f t="shared" si="449"/>
        <v/>
      </c>
      <c r="QXJ33" t="str">
        <f t="shared" si="449"/>
        <v/>
      </c>
      <c r="QXK33" t="str">
        <f t="shared" si="449"/>
        <v/>
      </c>
      <c r="QXL33" t="str">
        <f t="shared" si="449"/>
        <v/>
      </c>
      <c r="QXM33" t="str">
        <f t="shared" si="449"/>
        <v/>
      </c>
      <c r="QXN33" t="str">
        <f t="shared" si="449"/>
        <v/>
      </c>
      <c r="QXO33" t="str">
        <f t="shared" si="449"/>
        <v/>
      </c>
      <c r="QXP33" t="str">
        <f t="shared" si="449"/>
        <v/>
      </c>
      <c r="QXQ33" t="str">
        <f t="shared" si="449"/>
        <v/>
      </c>
      <c r="QXR33" t="str">
        <f t="shared" si="449"/>
        <v/>
      </c>
      <c r="QXS33" t="str">
        <f t="shared" si="449"/>
        <v/>
      </c>
      <c r="QXT33" t="str">
        <f t="shared" si="449"/>
        <v/>
      </c>
      <c r="QXU33" t="str">
        <f t="shared" si="449"/>
        <v/>
      </c>
      <c r="QXV33" t="str">
        <f t="shared" si="449"/>
        <v/>
      </c>
      <c r="QXW33" t="str">
        <f t="shared" si="449"/>
        <v/>
      </c>
      <c r="QXX33" t="str">
        <f t="shared" si="449"/>
        <v/>
      </c>
      <c r="QXY33" t="str">
        <f t="shared" si="449"/>
        <v/>
      </c>
      <c r="QXZ33" t="str">
        <f t="shared" si="449"/>
        <v/>
      </c>
      <c r="QYA33" t="str">
        <f t="shared" si="449"/>
        <v/>
      </c>
      <c r="QYB33" t="str">
        <f t="shared" si="449"/>
        <v/>
      </c>
      <c r="QYC33" t="str">
        <f t="shared" si="449"/>
        <v/>
      </c>
      <c r="QYD33" t="str">
        <f t="shared" si="449"/>
        <v/>
      </c>
      <c r="QYE33" t="str">
        <f t="shared" si="449"/>
        <v/>
      </c>
      <c r="QYF33" t="str">
        <f t="shared" si="449"/>
        <v/>
      </c>
      <c r="QYG33" t="str">
        <f t="shared" si="449"/>
        <v/>
      </c>
      <c r="QYH33" t="str">
        <f t="shared" si="449"/>
        <v/>
      </c>
      <c r="QYI33" t="str">
        <f t="shared" si="449"/>
        <v/>
      </c>
      <c r="QYJ33" t="str">
        <f t="shared" si="449"/>
        <v/>
      </c>
      <c r="QYK33" t="str">
        <f t="shared" si="449"/>
        <v/>
      </c>
      <c r="QYL33" t="str">
        <f t="shared" si="449"/>
        <v/>
      </c>
      <c r="QYM33" t="str">
        <f t="shared" si="449"/>
        <v/>
      </c>
      <c r="QYN33" t="str">
        <f t="shared" si="449"/>
        <v/>
      </c>
      <c r="QYO33" t="str">
        <f t="shared" si="449"/>
        <v/>
      </c>
      <c r="QYP33" t="str">
        <f t="shared" si="449"/>
        <v/>
      </c>
      <c r="QYQ33" t="str">
        <f t="shared" si="449"/>
        <v/>
      </c>
      <c r="QYR33" t="str">
        <f t="shared" si="449"/>
        <v/>
      </c>
      <c r="QYS33" t="str">
        <f t="shared" si="449"/>
        <v/>
      </c>
      <c r="QYT33" t="str">
        <f t="shared" si="449"/>
        <v/>
      </c>
      <c r="QYU33" t="str">
        <f t="shared" si="449"/>
        <v/>
      </c>
      <c r="QYV33" t="str">
        <f t="shared" si="449"/>
        <v/>
      </c>
      <c r="QYW33" t="str">
        <f t="shared" si="449"/>
        <v/>
      </c>
      <c r="QYX33" t="str">
        <f t="shared" si="449"/>
        <v/>
      </c>
      <c r="QYY33" t="str">
        <f t="shared" si="449"/>
        <v/>
      </c>
      <c r="QYZ33" t="str">
        <f t="shared" si="449"/>
        <v/>
      </c>
      <c r="QZA33" t="str">
        <f t="shared" si="449"/>
        <v/>
      </c>
      <c r="QZB33" t="str">
        <f t="shared" si="449"/>
        <v/>
      </c>
      <c r="QZC33" t="str">
        <f t="shared" si="449"/>
        <v/>
      </c>
      <c r="QZD33" t="str">
        <f t="shared" si="449"/>
        <v/>
      </c>
      <c r="QZE33" t="str">
        <f t="shared" ref="QZE33:RBP33" si="450">TRIM(QZV17)</f>
        <v/>
      </c>
      <c r="QZF33" t="str">
        <f t="shared" si="450"/>
        <v/>
      </c>
      <c r="QZG33" t="str">
        <f t="shared" si="450"/>
        <v/>
      </c>
      <c r="QZH33" t="str">
        <f t="shared" si="450"/>
        <v/>
      </c>
      <c r="QZI33" t="str">
        <f t="shared" si="450"/>
        <v/>
      </c>
      <c r="QZJ33" t="str">
        <f t="shared" si="450"/>
        <v/>
      </c>
      <c r="QZK33" t="str">
        <f t="shared" si="450"/>
        <v/>
      </c>
      <c r="QZL33" t="str">
        <f t="shared" si="450"/>
        <v/>
      </c>
      <c r="QZM33" t="str">
        <f t="shared" si="450"/>
        <v/>
      </c>
      <c r="QZN33" t="str">
        <f t="shared" si="450"/>
        <v/>
      </c>
      <c r="QZO33" t="str">
        <f t="shared" si="450"/>
        <v/>
      </c>
      <c r="QZP33" t="str">
        <f t="shared" si="450"/>
        <v/>
      </c>
      <c r="QZQ33" t="str">
        <f t="shared" si="450"/>
        <v/>
      </c>
      <c r="QZR33" t="str">
        <f t="shared" si="450"/>
        <v/>
      </c>
      <c r="QZS33" t="str">
        <f t="shared" si="450"/>
        <v/>
      </c>
      <c r="QZT33" t="str">
        <f t="shared" si="450"/>
        <v/>
      </c>
      <c r="QZU33" t="str">
        <f t="shared" si="450"/>
        <v/>
      </c>
      <c r="QZV33" t="str">
        <f t="shared" si="450"/>
        <v/>
      </c>
      <c r="QZW33" t="str">
        <f t="shared" si="450"/>
        <v/>
      </c>
      <c r="QZX33" t="str">
        <f t="shared" si="450"/>
        <v/>
      </c>
      <c r="QZY33" t="str">
        <f t="shared" si="450"/>
        <v/>
      </c>
      <c r="QZZ33" t="str">
        <f t="shared" si="450"/>
        <v/>
      </c>
      <c r="RAA33" t="str">
        <f t="shared" si="450"/>
        <v/>
      </c>
      <c r="RAB33" t="str">
        <f t="shared" si="450"/>
        <v/>
      </c>
      <c r="RAC33" t="str">
        <f t="shared" si="450"/>
        <v/>
      </c>
      <c r="RAD33" t="str">
        <f t="shared" si="450"/>
        <v/>
      </c>
      <c r="RAE33" t="str">
        <f t="shared" si="450"/>
        <v/>
      </c>
      <c r="RAF33" t="str">
        <f t="shared" si="450"/>
        <v/>
      </c>
      <c r="RAG33" t="str">
        <f t="shared" si="450"/>
        <v/>
      </c>
      <c r="RAH33" t="str">
        <f t="shared" si="450"/>
        <v/>
      </c>
      <c r="RAI33" t="str">
        <f t="shared" si="450"/>
        <v/>
      </c>
      <c r="RAJ33" t="str">
        <f t="shared" si="450"/>
        <v/>
      </c>
      <c r="RAK33" t="str">
        <f t="shared" si="450"/>
        <v/>
      </c>
      <c r="RAL33" t="str">
        <f t="shared" si="450"/>
        <v/>
      </c>
      <c r="RAM33" t="str">
        <f t="shared" si="450"/>
        <v/>
      </c>
      <c r="RAN33" t="str">
        <f t="shared" si="450"/>
        <v/>
      </c>
      <c r="RAO33" t="str">
        <f t="shared" si="450"/>
        <v/>
      </c>
      <c r="RAP33" t="str">
        <f t="shared" si="450"/>
        <v/>
      </c>
      <c r="RAQ33" t="str">
        <f t="shared" si="450"/>
        <v/>
      </c>
      <c r="RAR33" t="str">
        <f t="shared" si="450"/>
        <v/>
      </c>
      <c r="RAS33" t="str">
        <f t="shared" si="450"/>
        <v/>
      </c>
      <c r="RAT33" t="str">
        <f t="shared" si="450"/>
        <v/>
      </c>
      <c r="RAU33" t="str">
        <f t="shared" si="450"/>
        <v/>
      </c>
      <c r="RAV33" t="str">
        <f t="shared" si="450"/>
        <v/>
      </c>
      <c r="RAW33" t="str">
        <f t="shared" si="450"/>
        <v/>
      </c>
      <c r="RAX33" t="str">
        <f t="shared" si="450"/>
        <v/>
      </c>
      <c r="RAY33" t="str">
        <f t="shared" si="450"/>
        <v/>
      </c>
      <c r="RAZ33" t="str">
        <f t="shared" si="450"/>
        <v/>
      </c>
      <c r="RBA33" t="str">
        <f t="shared" si="450"/>
        <v/>
      </c>
      <c r="RBB33" t="str">
        <f t="shared" si="450"/>
        <v/>
      </c>
      <c r="RBC33" t="str">
        <f t="shared" si="450"/>
        <v/>
      </c>
      <c r="RBD33" t="str">
        <f t="shared" si="450"/>
        <v/>
      </c>
      <c r="RBE33" t="str">
        <f t="shared" si="450"/>
        <v/>
      </c>
      <c r="RBF33" t="str">
        <f t="shared" si="450"/>
        <v/>
      </c>
      <c r="RBG33" t="str">
        <f t="shared" si="450"/>
        <v/>
      </c>
      <c r="RBH33" t="str">
        <f t="shared" si="450"/>
        <v/>
      </c>
      <c r="RBI33" t="str">
        <f t="shared" si="450"/>
        <v/>
      </c>
      <c r="RBJ33" t="str">
        <f t="shared" si="450"/>
        <v/>
      </c>
      <c r="RBK33" t="str">
        <f t="shared" si="450"/>
        <v/>
      </c>
      <c r="RBL33" t="str">
        <f t="shared" si="450"/>
        <v/>
      </c>
      <c r="RBM33" t="str">
        <f t="shared" si="450"/>
        <v/>
      </c>
      <c r="RBN33" t="str">
        <f t="shared" si="450"/>
        <v/>
      </c>
      <c r="RBO33" t="str">
        <f t="shared" si="450"/>
        <v/>
      </c>
      <c r="RBP33" t="str">
        <f t="shared" si="450"/>
        <v/>
      </c>
      <c r="RBQ33" t="str">
        <f t="shared" ref="RBQ33:REB33" si="451">TRIM(RCH17)</f>
        <v/>
      </c>
      <c r="RBR33" t="str">
        <f t="shared" si="451"/>
        <v/>
      </c>
      <c r="RBS33" t="str">
        <f t="shared" si="451"/>
        <v/>
      </c>
      <c r="RBT33" t="str">
        <f t="shared" si="451"/>
        <v/>
      </c>
      <c r="RBU33" t="str">
        <f t="shared" si="451"/>
        <v/>
      </c>
      <c r="RBV33" t="str">
        <f t="shared" si="451"/>
        <v/>
      </c>
      <c r="RBW33" t="str">
        <f t="shared" si="451"/>
        <v/>
      </c>
      <c r="RBX33" t="str">
        <f t="shared" si="451"/>
        <v/>
      </c>
      <c r="RBY33" t="str">
        <f t="shared" si="451"/>
        <v/>
      </c>
      <c r="RBZ33" t="str">
        <f t="shared" si="451"/>
        <v/>
      </c>
      <c r="RCA33" t="str">
        <f t="shared" si="451"/>
        <v/>
      </c>
      <c r="RCB33" t="str">
        <f t="shared" si="451"/>
        <v/>
      </c>
      <c r="RCC33" t="str">
        <f t="shared" si="451"/>
        <v/>
      </c>
      <c r="RCD33" t="str">
        <f t="shared" si="451"/>
        <v/>
      </c>
      <c r="RCE33" t="str">
        <f t="shared" si="451"/>
        <v/>
      </c>
      <c r="RCF33" t="str">
        <f t="shared" si="451"/>
        <v/>
      </c>
      <c r="RCG33" t="str">
        <f t="shared" si="451"/>
        <v/>
      </c>
      <c r="RCH33" t="str">
        <f t="shared" si="451"/>
        <v/>
      </c>
      <c r="RCI33" t="str">
        <f t="shared" si="451"/>
        <v/>
      </c>
      <c r="RCJ33" t="str">
        <f t="shared" si="451"/>
        <v/>
      </c>
      <c r="RCK33" t="str">
        <f t="shared" si="451"/>
        <v/>
      </c>
      <c r="RCL33" t="str">
        <f t="shared" si="451"/>
        <v/>
      </c>
      <c r="RCM33" t="str">
        <f t="shared" si="451"/>
        <v/>
      </c>
      <c r="RCN33" t="str">
        <f t="shared" si="451"/>
        <v/>
      </c>
      <c r="RCO33" t="str">
        <f t="shared" si="451"/>
        <v/>
      </c>
      <c r="RCP33" t="str">
        <f t="shared" si="451"/>
        <v/>
      </c>
      <c r="RCQ33" t="str">
        <f t="shared" si="451"/>
        <v/>
      </c>
      <c r="RCR33" t="str">
        <f t="shared" si="451"/>
        <v/>
      </c>
      <c r="RCS33" t="str">
        <f t="shared" si="451"/>
        <v/>
      </c>
      <c r="RCT33" t="str">
        <f t="shared" si="451"/>
        <v/>
      </c>
      <c r="RCU33" t="str">
        <f t="shared" si="451"/>
        <v/>
      </c>
      <c r="RCV33" t="str">
        <f t="shared" si="451"/>
        <v/>
      </c>
      <c r="RCW33" t="str">
        <f t="shared" si="451"/>
        <v/>
      </c>
      <c r="RCX33" t="str">
        <f t="shared" si="451"/>
        <v/>
      </c>
      <c r="RCY33" t="str">
        <f t="shared" si="451"/>
        <v/>
      </c>
      <c r="RCZ33" t="str">
        <f t="shared" si="451"/>
        <v/>
      </c>
      <c r="RDA33" t="str">
        <f t="shared" si="451"/>
        <v/>
      </c>
      <c r="RDB33" t="str">
        <f t="shared" si="451"/>
        <v/>
      </c>
      <c r="RDC33" t="str">
        <f t="shared" si="451"/>
        <v/>
      </c>
      <c r="RDD33" t="str">
        <f t="shared" si="451"/>
        <v/>
      </c>
      <c r="RDE33" t="str">
        <f t="shared" si="451"/>
        <v/>
      </c>
      <c r="RDF33" t="str">
        <f t="shared" si="451"/>
        <v/>
      </c>
      <c r="RDG33" t="str">
        <f t="shared" si="451"/>
        <v/>
      </c>
      <c r="RDH33" t="str">
        <f t="shared" si="451"/>
        <v/>
      </c>
      <c r="RDI33" t="str">
        <f t="shared" si="451"/>
        <v/>
      </c>
      <c r="RDJ33" t="str">
        <f t="shared" si="451"/>
        <v/>
      </c>
      <c r="RDK33" t="str">
        <f t="shared" si="451"/>
        <v/>
      </c>
      <c r="RDL33" t="str">
        <f t="shared" si="451"/>
        <v/>
      </c>
      <c r="RDM33" t="str">
        <f t="shared" si="451"/>
        <v/>
      </c>
      <c r="RDN33" t="str">
        <f t="shared" si="451"/>
        <v/>
      </c>
      <c r="RDO33" t="str">
        <f t="shared" si="451"/>
        <v/>
      </c>
      <c r="RDP33" t="str">
        <f t="shared" si="451"/>
        <v/>
      </c>
      <c r="RDQ33" t="str">
        <f t="shared" si="451"/>
        <v/>
      </c>
      <c r="RDR33" t="str">
        <f t="shared" si="451"/>
        <v/>
      </c>
      <c r="RDS33" t="str">
        <f t="shared" si="451"/>
        <v/>
      </c>
      <c r="RDT33" t="str">
        <f t="shared" si="451"/>
        <v/>
      </c>
      <c r="RDU33" t="str">
        <f t="shared" si="451"/>
        <v/>
      </c>
      <c r="RDV33" t="str">
        <f t="shared" si="451"/>
        <v/>
      </c>
      <c r="RDW33" t="str">
        <f t="shared" si="451"/>
        <v/>
      </c>
      <c r="RDX33" t="str">
        <f t="shared" si="451"/>
        <v/>
      </c>
      <c r="RDY33" t="str">
        <f t="shared" si="451"/>
        <v/>
      </c>
      <c r="RDZ33" t="str">
        <f t="shared" si="451"/>
        <v/>
      </c>
      <c r="REA33" t="str">
        <f t="shared" si="451"/>
        <v/>
      </c>
      <c r="REB33" t="str">
        <f t="shared" si="451"/>
        <v/>
      </c>
      <c r="REC33" t="str">
        <f t="shared" ref="REC33:RGN33" si="452">TRIM(RET17)</f>
        <v/>
      </c>
      <c r="RED33" t="str">
        <f t="shared" si="452"/>
        <v/>
      </c>
      <c r="REE33" t="str">
        <f t="shared" si="452"/>
        <v/>
      </c>
      <c r="REF33" t="str">
        <f t="shared" si="452"/>
        <v/>
      </c>
      <c r="REG33" t="str">
        <f t="shared" si="452"/>
        <v/>
      </c>
      <c r="REH33" t="str">
        <f t="shared" si="452"/>
        <v/>
      </c>
      <c r="REI33" t="str">
        <f t="shared" si="452"/>
        <v/>
      </c>
      <c r="REJ33" t="str">
        <f t="shared" si="452"/>
        <v/>
      </c>
      <c r="REK33" t="str">
        <f t="shared" si="452"/>
        <v/>
      </c>
      <c r="REL33" t="str">
        <f t="shared" si="452"/>
        <v/>
      </c>
      <c r="REM33" t="str">
        <f t="shared" si="452"/>
        <v/>
      </c>
      <c r="REN33" t="str">
        <f t="shared" si="452"/>
        <v/>
      </c>
      <c r="REO33" t="str">
        <f t="shared" si="452"/>
        <v/>
      </c>
      <c r="REP33" t="str">
        <f t="shared" si="452"/>
        <v/>
      </c>
      <c r="REQ33" t="str">
        <f t="shared" si="452"/>
        <v/>
      </c>
      <c r="RER33" t="str">
        <f t="shared" si="452"/>
        <v/>
      </c>
      <c r="RES33" t="str">
        <f t="shared" si="452"/>
        <v/>
      </c>
      <c r="RET33" t="str">
        <f t="shared" si="452"/>
        <v/>
      </c>
      <c r="REU33" t="str">
        <f t="shared" si="452"/>
        <v/>
      </c>
      <c r="REV33" t="str">
        <f t="shared" si="452"/>
        <v/>
      </c>
      <c r="REW33" t="str">
        <f t="shared" si="452"/>
        <v/>
      </c>
      <c r="REX33" t="str">
        <f t="shared" si="452"/>
        <v/>
      </c>
      <c r="REY33" t="str">
        <f t="shared" si="452"/>
        <v/>
      </c>
      <c r="REZ33" t="str">
        <f t="shared" si="452"/>
        <v/>
      </c>
      <c r="RFA33" t="str">
        <f t="shared" si="452"/>
        <v/>
      </c>
      <c r="RFB33" t="str">
        <f t="shared" si="452"/>
        <v/>
      </c>
      <c r="RFC33" t="str">
        <f t="shared" si="452"/>
        <v/>
      </c>
      <c r="RFD33" t="str">
        <f t="shared" si="452"/>
        <v/>
      </c>
      <c r="RFE33" t="str">
        <f t="shared" si="452"/>
        <v/>
      </c>
      <c r="RFF33" t="str">
        <f t="shared" si="452"/>
        <v/>
      </c>
      <c r="RFG33" t="str">
        <f t="shared" si="452"/>
        <v/>
      </c>
      <c r="RFH33" t="str">
        <f t="shared" si="452"/>
        <v/>
      </c>
      <c r="RFI33" t="str">
        <f t="shared" si="452"/>
        <v/>
      </c>
      <c r="RFJ33" t="str">
        <f t="shared" si="452"/>
        <v/>
      </c>
      <c r="RFK33" t="str">
        <f t="shared" si="452"/>
        <v/>
      </c>
      <c r="RFL33" t="str">
        <f t="shared" si="452"/>
        <v/>
      </c>
      <c r="RFM33" t="str">
        <f t="shared" si="452"/>
        <v/>
      </c>
      <c r="RFN33" t="str">
        <f t="shared" si="452"/>
        <v/>
      </c>
      <c r="RFO33" t="str">
        <f t="shared" si="452"/>
        <v/>
      </c>
      <c r="RFP33" t="str">
        <f t="shared" si="452"/>
        <v/>
      </c>
      <c r="RFQ33" t="str">
        <f t="shared" si="452"/>
        <v/>
      </c>
      <c r="RFR33" t="str">
        <f t="shared" si="452"/>
        <v/>
      </c>
      <c r="RFS33" t="str">
        <f t="shared" si="452"/>
        <v/>
      </c>
      <c r="RFT33" t="str">
        <f t="shared" si="452"/>
        <v/>
      </c>
      <c r="RFU33" t="str">
        <f t="shared" si="452"/>
        <v/>
      </c>
      <c r="RFV33" t="str">
        <f t="shared" si="452"/>
        <v/>
      </c>
      <c r="RFW33" t="str">
        <f t="shared" si="452"/>
        <v/>
      </c>
      <c r="RFX33" t="str">
        <f t="shared" si="452"/>
        <v/>
      </c>
      <c r="RFY33" t="str">
        <f t="shared" si="452"/>
        <v/>
      </c>
      <c r="RFZ33" t="str">
        <f t="shared" si="452"/>
        <v/>
      </c>
      <c r="RGA33" t="str">
        <f t="shared" si="452"/>
        <v/>
      </c>
      <c r="RGB33" t="str">
        <f t="shared" si="452"/>
        <v/>
      </c>
      <c r="RGC33" t="str">
        <f t="shared" si="452"/>
        <v/>
      </c>
      <c r="RGD33" t="str">
        <f t="shared" si="452"/>
        <v/>
      </c>
      <c r="RGE33" t="str">
        <f t="shared" si="452"/>
        <v/>
      </c>
      <c r="RGF33" t="str">
        <f t="shared" si="452"/>
        <v/>
      </c>
      <c r="RGG33" t="str">
        <f t="shared" si="452"/>
        <v/>
      </c>
      <c r="RGH33" t="str">
        <f t="shared" si="452"/>
        <v/>
      </c>
      <c r="RGI33" t="str">
        <f t="shared" si="452"/>
        <v/>
      </c>
      <c r="RGJ33" t="str">
        <f t="shared" si="452"/>
        <v/>
      </c>
      <c r="RGK33" t="str">
        <f t="shared" si="452"/>
        <v/>
      </c>
      <c r="RGL33" t="str">
        <f t="shared" si="452"/>
        <v/>
      </c>
      <c r="RGM33" t="str">
        <f t="shared" si="452"/>
        <v/>
      </c>
      <c r="RGN33" t="str">
        <f t="shared" si="452"/>
        <v/>
      </c>
      <c r="RGO33" t="str">
        <f t="shared" ref="RGO33:RIZ33" si="453">TRIM(RHF17)</f>
        <v/>
      </c>
      <c r="RGP33" t="str">
        <f t="shared" si="453"/>
        <v/>
      </c>
      <c r="RGQ33" t="str">
        <f t="shared" si="453"/>
        <v/>
      </c>
      <c r="RGR33" t="str">
        <f t="shared" si="453"/>
        <v/>
      </c>
      <c r="RGS33" t="str">
        <f t="shared" si="453"/>
        <v/>
      </c>
      <c r="RGT33" t="str">
        <f t="shared" si="453"/>
        <v/>
      </c>
      <c r="RGU33" t="str">
        <f t="shared" si="453"/>
        <v/>
      </c>
      <c r="RGV33" t="str">
        <f t="shared" si="453"/>
        <v/>
      </c>
      <c r="RGW33" t="str">
        <f t="shared" si="453"/>
        <v/>
      </c>
      <c r="RGX33" t="str">
        <f t="shared" si="453"/>
        <v/>
      </c>
      <c r="RGY33" t="str">
        <f t="shared" si="453"/>
        <v/>
      </c>
      <c r="RGZ33" t="str">
        <f t="shared" si="453"/>
        <v/>
      </c>
      <c r="RHA33" t="str">
        <f t="shared" si="453"/>
        <v/>
      </c>
      <c r="RHB33" t="str">
        <f t="shared" si="453"/>
        <v/>
      </c>
      <c r="RHC33" t="str">
        <f t="shared" si="453"/>
        <v/>
      </c>
      <c r="RHD33" t="str">
        <f t="shared" si="453"/>
        <v/>
      </c>
      <c r="RHE33" t="str">
        <f t="shared" si="453"/>
        <v/>
      </c>
      <c r="RHF33" t="str">
        <f t="shared" si="453"/>
        <v/>
      </c>
      <c r="RHG33" t="str">
        <f t="shared" si="453"/>
        <v/>
      </c>
      <c r="RHH33" t="str">
        <f t="shared" si="453"/>
        <v/>
      </c>
      <c r="RHI33" t="str">
        <f t="shared" si="453"/>
        <v/>
      </c>
      <c r="RHJ33" t="str">
        <f t="shared" si="453"/>
        <v/>
      </c>
      <c r="RHK33" t="str">
        <f t="shared" si="453"/>
        <v/>
      </c>
      <c r="RHL33" t="str">
        <f t="shared" si="453"/>
        <v/>
      </c>
      <c r="RHM33" t="str">
        <f t="shared" si="453"/>
        <v/>
      </c>
      <c r="RHN33" t="str">
        <f t="shared" si="453"/>
        <v/>
      </c>
      <c r="RHO33" t="str">
        <f t="shared" si="453"/>
        <v/>
      </c>
      <c r="RHP33" t="str">
        <f t="shared" si="453"/>
        <v/>
      </c>
      <c r="RHQ33" t="str">
        <f t="shared" si="453"/>
        <v/>
      </c>
      <c r="RHR33" t="str">
        <f t="shared" si="453"/>
        <v/>
      </c>
      <c r="RHS33" t="str">
        <f t="shared" si="453"/>
        <v/>
      </c>
      <c r="RHT33" t="str">
        <f t="shared" si="453"/>
        <v/>
      </c>
      <c r="RHU33" t="str">
        <f t="shared" si="453"/>
        <v/>
      </c>
      <c r="RHV33" t="str">
        <f t="shared" si="453"/>
        <v/>
      </c>
      <c r="RHW33" t="str">
        <f t="shared" si="453"/>
        <v/>
      </c>
      <c r="RHX33" t="str">
        <f t="shared" si="453"/>
        <v/>
      </c>
      <c r="RHY33" t="str">
        <f t="shared" si="453"/>
        <v/>
      </c>
      <c r="RHZ33" t="str">
        <f t="shared" si="453"/>
        <v/>
      </c>
      <c r="RIA33" t="str">
        <f t="shared" si="453"/>
        <v/>
      </c>
      <c r="RIB33" t="str">
        <f t="shared" si="453"/>
        <v/>
      </c>
      <c r="RIC33" t="str">
        <f t="shared" si="453"/>
        <v/>
      </c>
      <c r="RID33" t="str">
        <f t="shared" si="453"/>
        <v/>
      </c>
      <c r="RIE33" t="str">
        <f t="shared" si="453"/>
        <v/>
      </c>
      <c r="RIF33" t="str">
        <f t="shared" si="453"/>
        <v/>
      </c>
      <c r="RIG33" t="str">
        <f t="shared" si="453"/>
        <v/>
      </c>
      <c r="RIH33" t="str">
        <f t="shared" si="453"/>
        <v/>
      </c>
      <c r="RII33" t="str">
        <f t="shared" si="453"/>
        <v/>
      </c>
      <c r="RIJ33" t="str">
        <f t="shared" si="453"/>
        <v/>
      </c>
      <c r="RIK33" t="str">
        <f t="shared" si="453"/>
        <v/>
      </c>
      <c r="RIL33" t="str">
        <f t="shared" si="453"/>
        <v/>
      </c>
      <c r="RIM33" t="str">
        <f t="shared" si="453"/>
        <v/>
      </c>
      <c r="RIN33" t="str">
        <f t="shared" si="453"/>
        <v/>
      </c>
      <c r="RIO33" t="str">
        <f t="shared" si="453"/>
        <v/>
      </c>
      <c r="RIP33" t="str">
        <f t="shared" si="453"/>
        <v/>
      </c>
      <c r="RIQ33" t="str">
        <f t="shared" si="453"/>
        <v/>
      </c>
      <c r="RIR33" t="str">
        <f t="shared" si="453"/>
        <v/>
      </c>
      <c r="RIS33" t="str">
        <f t="shared" si="453"/>
        <v/>
      </c>
      <c r="RIT33" t="str">
        <f t="shared" si="453"/>
        <v/>
      </c>
      <c r="RIU33" t="str">
        <f t="shared" si="453"/>
        <v/>
      </c>
      <c r="RIV33" t="str">
        <f t="shared" si="453"/>
        <v/>
      </c>
      <c r="RIW33" t="str">
        <f t="shared" si="453"/>
        <v/>
      </c>
      <c r="RIX33" t="str">
        <f t="shared" si="453"/>
        <v/>
      </c>
      <c r="RIY33" t="str">
        <f t="shared" si="453"/>
        <v/>
      </c>
      <c r="RIZ33" t="str">
        <f t="shared" si="453"/>
        <v/>
      </c>
      <c r="RJA33" t="str">
        <f t="shared" ref="RJA33:RLL33" si="454">TRIM(RJR17)</f>
        <v/>
      </c>
      <c r="RJB33" t="str">
        <f t="shared" si="454"/>
        <v/>
      </c>
      <c r="RJC33" t="str">
        <f t="shared" si="454"/>
        <v/>
      </c>
      <c r="RJD33" t="str">
        <f t="shared" si="454"/>
        <v/>
      </c>
      <c r="RJE33" t="str">
        <f t="shared" si="454"/>
        <v/>
      </c>
      <c r="RJF33" t="str">
        <f t="shared" si="454"/>
        <v/>
      </c>
      <c r="RJG33" t="str">
        <f t="shared" si="454"/>
        <v/>
      </c>
      <c r="RJH33" t="str">
        <f t="shared" si="454"/>
        <v/>
      </c>
      <c r="RJI33" t="str">
        <f t="shared" si="454"/>
        <v/>
      </c>
      <c r="RJJ33" t="str">
        <f t="shared" si="454"/>
        <v/>
      </c>
      <c r="RJK33" t="str">
        <f t="shared" si="454"/>
        <v/>
      </c>
      <c r="RJL33" t="str">
        <f t="shared" si="454"/>
        <v/>
      </c>
      <c r="RJM33" t="str">
        <f t="shared" si="454"/>
        <v/>
      </c>
      <c r="RJN33" t="str">
        <f t="shared" si="454"/>
        <v/>
      </c>
      <c r="RJO33" t="str">
        <f t="shared" si="454"/>
        <v/>
      </c>
      <c r="RJP33" t="str">
        <f t="shared" si="454"/>
        <v/>
      </c>
      <c r="RJQ33" t="str">
        <f t="shared" si="454"/>
        <v/>
      </c>
      <c r="RJR33" t="str">
        <f t="shared" si="454"/>
        <v/>
      </c>
      <c r="RJS33" t="str">
        <f t="shared" si="454"/>
        <v/>
      </c>
      <c r="RJT33" t="str">
        <f t="shared" si="454"/>
        <v/>
      </c>
      <c r="RJU33" t="str">
        <f t="shared" si="454"/>
        <v/>
      </c>
      <c r="RJV33" t="str">
        <f t="shared" si="454"/>
        <v/>
      </c>
      <c r="RJW33" t="str">
        <f t="shared" si="454"/>
        <v/>
      </c>
      <c r="RJX33" t="str">
        <f t="shared" si="454"/>
        <v/>
      </c>
      <c r="RJY33" t="str">
        <f t="shared" si="454"/>
        <v/>
      </c>
      <c r="RJZ33" t="str">
        <f t="shared" si="454"/>
        <v/>
      </c>
      <c r="RKA33" t="str">
        <f t="shared" si="454"/>
        <v/>
      </c>
      <c r="RKB33" t="str">
        <f t="shared" si="454"/>
        <v/>
      </c>
      <c r="RKC33" t="str">
        <f t="shared" si="454"/>
        <v/>
      </c>
      <c r="RKD33" t="str">
        <f t="shared" si="454"/>
        <v/>
      </c>
      <c r="RKE33" t="str">
        <f t="shared" si="454"/>
        <v/>
      </c>
      <c r="RKF33" t="str">
        <f t="shared" si="454"/>
        <v/>
      </c>
      <c r="RKG33" t="str">
        <f t="shared" si="454"/>
        <v/>
      </c>
      <c r="RKH33" t="str">
        <f t="shared" si="454"/>
        <v/>
      </c>
      <c r="RKI33" t="str">
        <f t="shared" si="454"/>
        <v/>
      </c>
      <c r="RKJ33" t="str">
        <f t="shared" si="454"/>
        <v/>
      </c>
      <c r="RKK33" t="str">
        <f t="shared" si="454"/>
        <v/>
      </c>
      <c r="RKL33" t="str">
        <f t="shared" si="454"/>
        <v/>
      </c>
      <c r="RKM33" t="str">
        <f t="shared" si="454"/>
        <v/>
      </c>
      <c r="RKN33" t="str">
        <f t="shared" si="454"/>
        <v/>
      </c>
      <c r="RKO33" t="str">
        <f t="shared" si="454"/>
        <v/>
      </c>
      <c r="RKP33" t="str">
        <f t="shared" si="454"/>
        <v/>
      </c>
      <c r="RKQ33" t="str">
        <f t="shared" si="454"/>
        <v/>
      </c>
      <c r="RKR33" t="str">
        <f t="shared" si="454"/>
        <v/>
      </c>
      <c r="RKS33" t="str">
        <f t="shared" si="454"/>
        <v/>
      </c>
      <c r="RKT33" t="str">
        <f t="shared" si="454"/>
        <v/>
      </c>
      <c r="RKU33" t="str">
        <f t="shared" si="454"/>
        <v/>
      </c>
      <c r="RKV33" t="str">
        <f t="shared" si="454"/>
        <v/>
      </c>
      <c r="RKW33" t="str">
        <f t="shared" si="454"/>
        <v/>
      </c>
      <c r="RKX33" t="str">
        <f t="shared" si="454"/>
        <v/>
      </c>
      <c r="RKY33" t="str">
        <f t="shared" si="454"/>
        <v/>
      </c>
      <c r="RKZ33" t="str">
        <f t="shared" si="454"/>
        <v/>
      </c>
      <c r="RLA33" t="str">
        <f t="shared" si="454"/>
        <v/>
      </c>
      <c r="RLB33" t="str">
        <f t="shared" si="454"/>
        <v/>
      </c>
      <c r="RLC33" t="str">
        <f t="shared" si="454"/>
        <v/>
      </c>
      <c r="RLD33" t="str">
        <f t="shared" si="454"/>
        <v/>
      </c>
      <c r="RLE33" t="str">
        <f t="shared" si="454"/>
        <v/>
      </c>
      <c r="RLF33" t="str">
        <f t="shared" si="454"/>
        <v/>
      </c>
      <c r="RLG33" t="str">
        <f t="shared" si="454"/>
        <v/>
      </c>
      <c r="RLH33" t="str">
        <f t="shared" si="454"/>
        <v/>
      </c>
      <c r="RLI33" t="str">
        <f t="shared" si="454"/>
        <v/>
      </c>
      <c r="RLJ33" t="str">
        <f t="shared" si="454"/>
        <v/>
      </c>
      <c r="RLK33" t="str">
        <f t="shared" si="454"/>
        <v/>
      </c>
      <c r="RLL33" t="str">
        <f t="shared" si="454"/>
        <v/>
      </c>
      <c r="RLM33" t="str">
        <f t="shared" ref="RLM33:RNX33" si="455">TRIM(RMD17)</f>
        <v/>
      </c>
      <c r="RLN33" t="str">
        <f t="shared" si="455"/>
        <v/>
      </c>
      <c r="RLO33" t="str">
        <f t="shared" si="455"/>
        <v/>
      </c>
      <c r="RLP33" t="str">
        <f t="shared" si="455"/>
        <v/>
      </c>
      <c r="RLQ33" t="str">
        <f t="shared" si="455"/>
        <v/>
      </c>
      <c r="RLR33" t="str">
        <f t="shared" si="455"/>
        <v/>
      </c>
      <c r="RLS33" t="str">
        <f t="shared" si="455"/>
        <v/>
      </c>
      <c r="RLT33" t="str">
        <f t="shared" si="455"/>
        <v/>
      </c>
      <c r="RLU33" t="str">
        <f t="shared" si="455"/>
        <v/>
      </c>
      <c r="RLV33" t="str">
        <f t="shared" si="455"/>
        <v/>
      </c>
      <c r="RLW33" t="str">
        <f t="shared" si="455"/>
        <v/>
      </c>
      <c r="RLX33" t="str">
        <f t="shared" si="455"/>
        <v/>
      </c>
      <c r="RLY33" t="str">
        <f t="shared" si="455"/>
        <v/>
      </c>
      <c r="RLZ33" t="str">
        <f t="shared" si="455"/>
        <v/>
      </c>
      <c r="RMA33" t="str">
        <f t="shared" si="455"/>
        <v/>
      </c>
      <c r="RMB33" t="str">
        <f t="shared" si="455"/>
        <v/>
      </c>
      <c r="RMC33" t="str">
        <f t="shared" si="455"/>
        <v/>
      </c>
      <c r="RMD33" t="str">
        <f t="shared" si="455"/>
        <v/>
      </c>
      <c r="RME33" t="str">
        <f t="shared" si="455"/>
        <v/>
      </c>
      <c r="RMF33" t="str">
        <f t="shared" si="455"/>
        <v/>
      </c>
      <c r="RMG33" t="str">
        <f t="shared" si="455"/>
        <v/>
      </c>
      <c r="RMH33" t="str">
        <f t="shared" si="455"/>
        <v/>
      </c>
      <c r="RMI33" t="str">
        <f t="shared" si="455"/>
        <v/>
      </c>
      <c r="RMJ33" t="str">
        <f t="shared" si="455"/>
        <v/>
      </c>
      <c r="RMK33" t="str">
        <f t="shared" si="455"/>
        <v/>
      </c>
      <c r="RML33" t="str">
        <f t="shared" si="455"/>
        <v/>
      </c>
      <c r="RMM33" t="str">
        <f t="shared" si="455"/>
        <v/>
      </c>
      <c r="RMN33" t="str">
        <f t="shared" si="455"/>
        <v/>
      </c>
      <c r="RMO33" t="str">
        <f t="shared" si="455"/>
        <v/>
      </c>
      <c r="RMP33" t="str">
        <f t="shared" si="455"/>
        <v/>
      </c>
      <c r="RMQ33" t="str">
        <f t="shared" si="455"/>
        <v/>
      </c>
      <c r="RMR33" t="str">
        <f t="shared" si="455"/>
        <v/>
      </c>
      <c r="RMS33" t="str">
        <f t="shared" si="455"/>
        <v/>
      </c>
      <c r="RMT33" t="str">
        <f t="shared" si="455"/>
        <v/>
      </c>
      <c r="RMU33" t="str">
        <f t="shared" si="455"/>
        <v/>
      </c>
      <c r="RMV33" t="str">
        <f t="shared" si="455"/>
        <v/>
      </c>
      <c r="RMW33" t="str">
        <f t="shared" si="455"/>
        <v/>
      </c>
      <c r="RMX33" t="str">
        <f t="shared" si="455"/>
        <v/>
      </c>
      <c r="RMY33" t="str">
        <f t="shared" si="455"/>
        <v/>
      </c>
      <c r="RMZ33" t="str">
        <f t="shared" si="455"/>
        <v/>
      </c>
      <c r="RNA33" t="str">
        <f t="shared" si="455"/>
        <v/>
      </c>
      <c r="RNB33" t="str">
        <f t="shared" si="455"/>
        <v/>
      </c>
      <c r="RNC33" t="str">
        <f t="shared" si="455"/>
        <v/>
      </c>
      <c r="RND33" t="str">
        <f t="shared" si="455"/>
        <v/>
      </c>
      <c r="RNE33" t="str">
        <f t="shared" si="455"/>
        <v/>
      </c>
      <c r="RNF33" t="str">
        <f t="shared" si="455"/>
        <v/>
      </c>
      <c r="RNG33" t="str">
        <f t="shared" si="455"/>
        <v/>
      </c>
      <c r="RNH33" t="str">
        <f t="shared" si="455"/>
        <v/>
      </c>
      <c r="RNI33" t="str">
        <f t="shared" si="455"/>
        <v/>
      </c>
      <c r="RNJ33" t="str">
        <f t="shared" si="455"/>
        <v/>
      </c>
      <c r="RNK33" t="str">
        <f t="shared" si="455"/>
        <v/>
      </c>
      <c r="RNL33" t="str">
        <f t="shared" si="455"/>
        <v/>
      </c>
      <c r="RNM33" t="str">
        <f t="shared" si="455"/>
        <v/>
      </c>
      <c r="RNN33" t="str">
        <f t="shared" si="455"/>
        <v/>
      </c>
      <c r="RNO33" t="str">
        <f t="shared" si="455"/>
        <v/>
      </c>
      <c r="RNP33" t="str">
        <f t="shared" si="455"/>
        <v/>
      </c>
      <c r="RNQ33" t="str">
        <f t="shared" si="455"/>
        <v/>
      </c>
      <c r="RNR33" t="str">
        <f t="shared" si="455"/>
        <v/>
      </c>
      <c r="RNS33" t="str">
        <f t="shared" si="455"/>
        <v/>
      </c>
      <c r="RNT33" t="str">
        <f t="shared" si="455"/>
        <v/>
      </c>
      <c r="RNU33" t="str">
        <f t="shared" si="455"/>
        <v/>
      </c>
      <c r="RNV33" t="str">
        <f t="shared" si="455"/>
        <v/>
      </c>
      <c r="RNW33" t="str">
        <f t="shared" si="455"/>
        <v/>
      </c>
      <c r="RNX33" t="str">
        <f t="shared" si="455"/>
        <v/>
      </c>
      <c r="RNY33" t="str">
        <f t="shared" ref="RNY33:RQJ33" si="456">TRIM(ROP17)</f>
        <v/>
      </c>
      <c r="RNZ33" t="str">
        <f t="shared" si="456"/>
        <v/>
      </c>
      <c r="ROA33" t="str">
        <f t="shared" si="456"/>
        <v/>
      </c>
      <c r="ROB33" t="str">
        <f t="shared" si="456"/>
        <v/>
      </c>
      <c r="ROC33" t="str">
        <f t="shared" si="456"/>
        <v/>
      </c>
      <c r="ROD33" t="str">
        <f t="shared" si="456"/>
        <v/>
      </c>
      <c r="ROE33" t="str">
        <f t="shared" si="456"/>
        <v/>
      </c>
      <c r="ROF33" t="str">
        <f t="shared" si="456"/>
        <v/>
      </c>
      <c r="ROG33" t="str">
        <f t="shared" si="456"/>
        <v/>
      </c>
      <c r="ROH33" t="str">
        <f t="shared" si="456"/>
        <v/>
      </c>
      <c r="ROI33" t="str">
        <f t="shared" si="456"/>
        <v/>
      </c>
      <c r="ROJ33" t="str">
        <f t="shared" si="456"/>
        <v/>
      </c>
      <c r="ROK33" t="str">
        <f t="shared" si="456"/>
        <v/>
      </c>
      <c r="ROL33" t="str">
        <f t="shared" si="456"/>
        <v/>
      </c>
      <c r="ROM33" t="str">
        <f t="shared" si="456"/>
        <v/>
      </c>
      <c r="RON33" t="str">
        <f t="shared" si="456"/>
        <v/>
      </c>
      <c r="ROO33" t="str">
        <f t="shared" si="456"/>
        <v/>
      </c>
      <c r="ROP33" t="str">
        <f t="shared" si="456"/>
        <v/>
      </c>
      <c r="ROQ33" t="str">
        <f t="shared" si="456"/>
        <v/>
      </c>
      <c r="ROR33" t="str">
        <f t="shared" si="456"/>
        <v/>
      </c>
      <c r="ROS33" t="str">
        <f t="shared" si="456"/>
        <v/>
      </c>
      <c r="ROT33" t="str">
        <f t="shared" si="456"/>
        <v/>
      </c>
      <c r="ROU33" t="str">
        <f t="shared" si="456"/>
        <v/>
      </c>
      <c r="ROV33" t="str">
        <f t="shared" si="456"/>
        <v/>
      </c>
      <c r="ROW33" t="str">
        <f t="shared" si="456"/>
        <v/>
      </c>
      <c r="ROX33" t="str">
        <f t="shared" si="456"/>
        <v/>
      </c>
      <c r="ROY33" t="str">
        <f t="shared" si="456"/>
        <v/>
      </c>
      <c r="ROZ33" t="str">
        <f t="shared" si="456"/>
        <v/>
      </c>
      <c r="RPA33" t="str">
        <f t="shared" si="456"/>
        <v/>
      </c>
      <c r="RPB33" t="str">
        <f t="shared" si="456"/>
        <v/>
      </c>
      <c r="RPC33" t="str">
        <f t="shared" si="456"/>
        <v/>
      </c>
      <c r="RPD33" t="str">
        <f t="shared" si="456"/>
        <v/>
      </c>
      <c r="RPE33" t="str">
        <f t="shared" si="456"/>
        <v/>
      </c>
      <c r="RPF33" t="str">
        <f t="shared" si="456"/>
        <v/>
      </c>
      <c r="RPG33" t="str">
        <f t="shared" si="456"/>
        <v/>
      </c>
      <c r="RPH33" t="str">
        <f t="shared" si="456"/>
        <v/>
      </c>
      <c r="RPI33" t="str">
        <f t="shared" si="456"/>
        <v/>
      </c>
      <c r="RPJ33" t="str">
        <f t="shared" si="456"/>
        <v/>
      </c>
      <c r="RPK33" t="str">
        <f t="shared" si="456"/>
        <v/>
      </c>
      <c r="RPL33" t="str">
        <f t="shared" si="456"/>
        <v/>
      </c>
      <c r="RPM33" t="str">
        <f t="shared" si="456"/>
        <v/>
      </c>
      <c r="RPN33" t="str">
        <f t="shared" si="456"/>
        <v/>
      </c>
      <c r="RPO33" t="str">
        <f t="shared" si="456"/>
        <v/>
      </c>
      <c r="RPP33" t="str">
        <f t="shared" si="456"/>
        <v/>
      </c>
      <c r="RPQ33" t="str">
        <f t="shared" si="456"/>
        <v/>
      </c>
      <c r="RPR33" t="str">
        <f t="shared" si="456"/>
        <v/>
      </c>
      <c r="RPS33" t="str">
        <f t="shared" si="456"/>
        <v/>
      </c>
      <c r="RPT33" t="str">
        <f t="shared" si="456"/>
        <v/>
      </c>
      <c r="RPU33" t="str">
        <f t="shared" si="456"/>
        <v/>
      </c>
      <c r="RPV33" t="str">
        <f t="shared" si="456"/>
        <v/>
      </c>
      <c r="RPW33" t="str">
        <f t="shared" si="456"/>
        <v/>
      </c>
      <c r="RPX33" t="str">
        <f t="shared" si="456"/>
        <v/>
      </c>
      <c r="RPY33" t="str">
        <f t="shared" si="456"/>
        <v/>
      </c>
      <c r="RPZ33" t="str">
        <f t="shared" si="456"/>
        <v/>
      </c>
      <c r="RQA33" t="str">
        <f t="shared" si="456"/>
        <v/>
      </c>
      <c r="RQB33" t="str">
        <f t="shared" si="456"/>
        <v/>
      </c>
      <c r="RQC33" t="str">
        <f t="shared" si="456"/>
        <v/>
      </c>
      <c r="RQD33" t="str">
        <f t="shared" si="456"/>
        <v/>
      </c>
      <c r="RQE33" t="str">
        <f t="shared" si="456"/>
        <v/>
      </c>
      <c r="RQF33" t="str">
        <f t="shared" si="456"/>
        <v/>
      </c>
      <c r="RQG33" t="str">
        <f t="shared" si="456"/>
        <v/>
      </c>
      <c r="RQH33" t="str">
        <f t="shared" si="456"/>
        <v/>
      </c>
      <c r="RQI33" t="str">
        <f t="shared" si="456"/>
        <v/>
      </c>
      <c r="RQJ33" t="str">
        <f t="shared" si="456"/>
        <v/>
      </c>
      <c r="RQK33" t="str">
        <f t="shared" ref="RQK33:RSV33" si="457">TRIM(RRB17)</f>
        <v/>
      </c>
      <c r="RQL33" t="str">
        <f t="shared" si="457"/>
        <v/>
      </c>
      <c r="RQM33" t="str">
        <f t="shared" si="457"/>
        <v/>
      </c>
      <c r="RQN33" t="str">
        <f t="shared" si="457"/>
        <v/>
      </c>
      <c r="RQO33" t="str">
        <f t="shared" si="457"/>
        <v/>
      </c>
      <c r="RQP33" t="str">
        <f t="shared" si="457"/>
        <v/>
      </c>
      <c r="RQQ33" t="str">
        <f t="shared" si="457"/>
        <v/>
      </c>
      <c r="RQR33" t="str">
        <f t="shared" si="457"/>
        <v/>
      </c>
      <c r="RQS33" t="str">
        <f t="shared" si="457"/>
        <v/>
      </c>
      <c r="RQT33" t="str">
        <f t="shared" si="457"/>
        <v/>
      </c>
      <c r="RQU33" t="str">
        <f t="shared" si="457"/>
        <v/>
      </c>
      <c r="RQV33" t="str">
        <f t="shared" si="457"/>
        <v/>
      </c>
      <c r="RQW33" t="str">
        <f t="shared" si="457"/>
        <v/>
      </c>
      <c r="RQX33" t="str">
        <f t="shared" si="457"/>
        <v/>
      </c>
      <c r="RQY33" t="str">
        <f t="shared" si="457"/>
        <v/>
      </c>
      <c r="RQZ33" t="str">
        <f t="shared" si="457"/>
        <v/>
      </c>
      <c r="RRA33" t="str">
        <f t="shared" si="457"/>
        <v/>
      </c>
      <c r="RRB33" t="str">
        <f t="shared" si="457"/>
        <v/>
      </c>
      <c r="RRC33" t="str">
        <f t="shared" si="457"/>
        <v/>
      </c>
      <c r="RRD33" t="str">
        <f t="shared" si="457"/>
        <v/>
      </c>
      <c r="RRE33" t="str">
        <f t="shared" si="457"/>
        <v/>
      </c>
      <c r="RRF33" t="str">
        <f t="shared" si="457"/>
        <v/>
      </c>
      <c r="RRG33" t="str">
        <f t="shared" si="457"/>
        <v/>
      </c>
      <c r="RRH33" t="str">
        <f t="shared" si="457"/>
        <v/>
      </c>
      <c r="RRI33" t="str">
        <f t="shared" si="457"/>
        <v/>
      </c>
      <c r="RRJ33" t="str">
        <f t="shared" si="457"/>
        <v/>
      </c>
      <c r="RRK33" t="str">
        <f t="shared" si="457"/>
        <v/>
      </c>
      <c r="RRL33" t="str">
        <f t="shared" si="457"/>
        <v/>
      </c>
      <c r="RRM33" t="str">
        <f t="shared" si="457"/>
        <v/>
      </c>
      <c r="RRN33" t="str">
        <f t="shared" si="457"/>
        <v/>
      </c>
      <c r="RRO33" t="str">
        <f t="shared" si="457"/>
        <v/>
      </c>
      <c r="RRP33" t="str">
        <f t="shared" si="457"/>
        <v/>
      </c>
      <c r="RRQ33" t="str">
        <f t="shared" si="457"/>
        <v/>
      </c>
      <c r="RRR33" t="str">
        <f t="shared" si="457"/>
        <v/>
      </c>
      <c r="RRS33" t="str">
        <f t="shared" si="457"/>
        <v/>
      </c>
      <c r="RRT33" t="str">
        <f t="shared" si="457"/>
        <v/>
      </c>
      <c r="RRU33" t="str">
        <f t="shared" si="457"/>
        <v/>
      </c>
      <c r="RRV33" t="str">
        <f t="shared" si="457"/>
        <v/>
      </c>
      <c r="RRW33" t="str">
        <f t="shared" si="457"/>
        <v/>
      </c>
      <c r="RRX33" t="str">
        <f t="shared" si="457"/>
        <v/>
      </c>
      <c r="RRY33" t="str">
        <f t="shared" si="457"/>
        <v/>
      </c>
      <c r="RRZ33" t="str">
        <f t="shared" si="457"/>
        <v/>
      </c>
      <c r="RSA33" t="str">
        <f t="shared" si="457"/>
        <v/>
      </c>
      <c r="RSB33" t="str">
        <f t="shared" si="457"/>
        <v/>
      </c>
      <c r="RSC33" t="str">
        <f t="shared" si="457"/>
        <v/>
      </c>
      <c r="RSD33" t="str">
        <f t="shared" si="457"/>
        <v/>
      </c>
      <c r="RSE33" t="str">
        <f t="shared" si="457"/>
        <v/>
      </c>
      <c r="RSF33" t="str">
        <f t="shared" si="457"/>
        <v/>
      </c>
      <c r="RSG33" t="str">
        <f t="shared" si="457"/>
        <v/>
      </c>
      <c r="RSH33" t="str">
        <f t="shared" si="457"/>
        <v/>
      </c>
      <c r="RSI33" t="str">
        <f t="shared" si="457"/>
        <v/>
      </c>
      <c r="RSJ33" t="str">
        <f t="shared" si="457"/>
        <v/>
      </c>
      <c r="RSK33" t="str">
        <f t="shared" si="457"/>
        <v/>
      </c>
      <c r="RSL33" t="str">
        <f t="shared" si="457"/>
        <v/>
      </c>
      <c r="RSM33" t="str">
        <f t="shared" si="457"/>
        <v/>
      </c>
      <c r="RSN33" t="str">
        <f t="shared" si="457"/>
        <v/>
      </c>
      <c r="RSO33" t="str">
        <f t="shared" si="457"/>
        <v/>
      </c>
      <c r="RSP33" t="str">
        <f t="shared" si="457"/>
        <v/>
      </c>
      <c r="RSQ33" t="str">
        <f t="shared" si="457"/>
        <v/>
      </c>
      <c r="RSR33" t="str">
        <f t="shared" si="457"/>
        <v/>
      </c>
      <c r="RSS33" t="str">
        <f t="shared" si="457"/>
        <v/>
      </c>
      <c r="RST33" t="str">
        <f t="shared" si="457"/>
        <v/>
      </c>
      <c r="RSU33" t="str">
        <f t="shared" si="457"/>
        <v/>
      </c>
      <c r="RSV33" t="str">
        <f t="shared" si="457"/>
        <v/>
      </c>
      <c r="RSW33" t="str">
        <f t="shared" ref="RSW33:RVH33" si="458">TRIM(RTN17)</f>
        <v/>
      </c>
      <c r="RSX33" t="str">
        <f t="shared" si="458"/>
        <v/>
      </c>
      <c r="RSY33" t="str">
        <f t="shared" si="458"/>
        <v/>
      </c>
      <c r="RSZ33" t="str">
        <f t="shared" si="458"/>
        <v/>
      </c>
      <c r="RTA33" t="str">
        <f t="shared" si="458"/>
        <v/>
      </c>
      <c r="RTB33" t="str">
        <f t="shared" si="458"/>
        <v/>
      </c>
      <c r="RTC33" t="str">
        <f t="shared" si="458"/>
        <v/>
      </c>
      <c r="RTD33" t="str">
        <f t="shared" si="458"/>
        <v/>
      </c>
      <c r="RTE33" t="str">
        <f t="shared" si="458"/>
        <v/>
      </c>
      <c r="RTF33" t="str">
        <f t="shared" si="458"/>
        <v/>
      </c>
      <c r="RTG33" t="str">
        <f t="shared" si="458"/>
        <v/>
      </c>
      <c r="RTH33" t="str">
        <f t="shared" si="458"/>
        <v/>
      </c>
      <c r="RTI33" t="str">
        <f t="shared" si="458"/>
        <v/>
      </c>
      <c r="RTJ33" t="str">
        <f t="shared" si="458"/>
        <v/>
      </c>
      <c r="RTK33" t="str">
        <f t="shared" si="458"/>
        <v/>
      </c>
      <c r="RTL33" t="str">
        <f t="shared" si="458"/>
        <v/>
      </c>
      <c r="RTM33" t="str">
        <f t="shared" si="458"/>
        <v/>
      </c>
      <c r="RTN33" t="str">
        <f t="shared" si="458"/>
        <v/>
      </c>
      <c r="RTO33" t="str">
        <f t="shared" si="458"/>
        <v/>
      </c>
      <c r="RTP33" t="str">
        <f t="shared" si="458"/>
        <v/>
      </c>
      <c r="RTQ33" t="str">
        <f t="shared" si="458"/>
        <v/>
      </c>
      <c r="RTR33" t="str">
        <f t="shared" si="458"/>
        <v/>
      </c>
      <c r="RTS33" t="str">
        <f t="shared" si="458"/>
        <v/>
      </c>
      <c r="RTT33" t="str">
        <f t="shared" si="458"/>
        <v/>
      </c>
      <c r="RTU33" t="str">
        <f t="shared" si="458"/>
        <v/>
      </c>
      <c r="RTV33" t="str">
        <f t="shared" si="458"/>
        <v/>
      </c>
      <c r="RTW33" t="str">
        <f t="shared" si="458"/>
        <v/>
      </c>
      <c r="RTX33" t="str">
        <f t="shared" si="458"/>
        <v/>
      </c>
      <c r="RTY33" t="str">
        <f t="shared" si="458"/>
        <v/>
      </c>
      <c r="RTZ33" t="str">
        <f t="shared" si="458"/>
        <v/>
      </c>
      <c r="RUA33" t="str">
        <f t="shared" si="458"/>
        <v/>
      </c>
      <c r="RUB33" t="str">
        <f t="shared" si="458"/>
        <v/>
      </c>
      <c r="RUC33" t="str">
        <f t="shared" si="458"/>
        <v/>
      </c>
      <c r="RUD33" t="str">
        <f t="shared" si="458"/>
        <v/>
      </c>
      <c r="RUE33" t="str">
        <f t="shared" si="458"/>
        <v/>
      </c>
      <c r="RUF33" t="str">
        <f t="shared" si="458"/>
        <v/>
      </c>
      <c r="RUG33" t="str">
        <f t="shared" si="458"/>
        <v/>
      </c>
      <c r="RUH33" t="str">
        <f t="shared" si="458"/>
        <v/>
      </c>
      <c r="RUI33" t="str">
        <f t="shared" si="458"/>
        <v/>
      </c>
      <c r="RUJ33" t="str">
        <f t="shared" si="458"/>
        <v/>
      </c>
      <c r="RUK33" t="str">
        <f t="shared" si="458"/>
        <v/>
      </c>
      <c r="RUL33" t="str">
        <f t="shared" si="458"/>
        <v/>
      </c>
      <c r="RUM33" t="str">
        <f t="shared" si="458"/>
        <v/>
      </c>
      <c r="RUN33" t="str">
        <f t="shared" si="458"/>
        <v/>
      </c>
      <c r="RUO33" t="str">
        <f t="shared" si="458"/>
        <v/>
      </c>
      <c r="RUP33" t="str">
        <f t="shared" si="458"/>
        <v/>
      </c>
      <c r="RUQ33" t="str">
        <f t="shared" si="458"/>
        <v/>
      </c>
      <c r="RUR33" t="str">
        <f t="shared" si="458"/>
        <v/>
      </c>
      <c r="RUS33" t="str">
        <f t="shared" si="458"/>
        <v/>
      </c>
      <c r="RUT33" t="str">
        <f t="shared" si="458"/>
        <v/>
      </c>
      <c r="RUU33" t="str">
        <f t="shared" si="458"/>
        <v/>
      </c>
      <c r="RUV33" t="str">
        <f t="shared" si="458"/>
        <v/>
      </c>
      <c r="RUW33" t="str">
        <f t="shared" si="458"/>
        <v/>
      </c>
      <c r="RUX33" t="str">
        <f t="shared" si="458"/>
        <v/>
      </c>
      <c r="RUY33" t="str">
        <f t="shared" si="458"/>
        <v/>
      </c>
      <c r="RUZ33" t="str">
        <f t="shared" si="458"/>
        <v/>
      </c>
      <c r="RVA33" t="str">
        <f t="shared" si="458"/>
        <v/>
      </c>
      <c r="RVB33" t="str">
        <f t="shared" si="458"/>
        <v/>
      </c>
      <c r="RVC33" t="str">
        <f t="shared" si="458"/>
        <v/>
      </c>
      <c r="RVD33" t="str">
        <f t="shared" si="458"/>
        <v/>
      </c>
      <c r="RVE33" t="str">
        <f t="shared" si="458"/>
        <v/>
      </c>
      <c r="RVF33" t="str">
        <f t="shared" si="458"/>
        <v/>
      </c>
      <c r="RVG33" t="str">
        <f t="shared" si="458"/>
        <v/>
      </c>
      <c r="RVH33" t="str">
        <f t="shared" si="458"/>
        <v/>
      </c>
      <c r="RVI33" t="str">
        <f t="shared" ref="RVI33:RXT33" si="459">TRIM(RVZ17)</f>
        <v/>
      </c>
      <c r="RVJ33" t="str">
        <f t="shared" si="459"/>
        <v/>
      </c>
      <c r="RVK33" t="str">
        <f t="shared" si="459"/>
        <v/>
      </c>
      <c r="RVL33" t="str">
        <f t="shared" si="459"/>
        <v/>
      </c>
      <c r="RVM33" t="str">
        <f t="shared" si="459"/>
        <v/>
      </c>
      <c r="RVN33" t="str">
        <f t="shared" si="459"/>
        <v/>
      </c>
      <c r="RVO33" t="str">
        <f t="shared" si="459"/>
        <v/>
      </c>
      <c r="RVP33" t="str">
        <f t="shared" si="459"/>
        <v/>
      </c>
      <c r="RVQ33" t="str">
        <f t="shared" si="459"/>
        <v/>
      </c>
      <c r="RVR33" t="str">
        <f t="shared" si="459"/>
        <v/>
      </c>
      <c r="RVS33" t="str">
        <f t="shared" si="459"/>
        <v/>
      </c>
      <c r="RVT33" t="str">
        <f t="shared" si="459"/>
        <v/>
      </c>
      <c r="RVU33" t="str">
        <f t="shared" si="459"/>
        <v/>
      </c>
      <c r="RVV33" t="str">
        <f t="shared" si="459"/>
        <v/>
      </c>
      <c r="RVW33" t="str">
        <f t="shared" si="459"/>
        <v/>
      </c>
      <c r="RVX33" t="str">
        <f t="shared" si="459"/>
        <v/>
      </c>
      <c r="RVY33" t="str">
        <f t="shared" si="459"/>
        <v/>
      </c>
      <c r="RVZ33" t="str">
        <f t="shared" si="459"/>
        <v/>
      </c>
      <c r="RWA33" t="str">
        <f t="shared" si="459"/>
        <v/>
      </c>
      <c r="RWB33" t="str">
        <f t="shared" si="459"/>
        <v/>
      </c>
      <c r="RWC33" t="str">
        <f t="shared" si="459"/>
        <v/>
      </c>
      <c r="RWD33" t="str">
        <f t="shared" si="459"/>
        <v/>
      </c>
      <c r="RWE33" t="str">
        <f t="shared" si="459"/>
        <v/>
      </c>
      <c r="RWF33" t="str">
        <f t="shared" si="459"/>
        <v/>
      </c>
      <c r="RWG33" t="str">
        <f t="shared" si="459"/>
        <v/>
      </c>
      <c r="RWH33" t="str">
        <f t="shared" si="459"/>
        <v/>
      </c>
      <c r="RWI33" t="str">
        <f t="shared" si="459"/>
        <v/>
      </c>
      <c r="RWJ33" t="str">
        <f t="shared" si="459"/>
        <v/>
      </c>
      <c r="RWK33" t="str">
        <f t="shared" si="459"/>
        <v/>
      </c>
      <c r="RWL33" t="str">
        <f t="shared" si="459"/>
        <v/>
      </c>
      <c r="RWM33" t="str">
        <f t="shared" si="459"/>
        <v/>
      </c>
      <c r="RWN33" t="str">
        <f t="shared" si="459"/>
        <v/>
      </c>
      <c r="RWO33" t="str">
        <f t="shared" si="459"/>
        <v/>
      </c>
      <c r="RWP33" t="str">
        <f t="shared" si="459"/>
        <v/>
      </c>
      <c r="RWQ33" t="str">
        <f t="shared" si="459"/>
        <v/>
      </c>
      <c r="RWR33" t="str">
        <f t="shared" si="459"/>
        <v/>
      </c>
      <c r="RWS33" t="str">
        <f t="shared" si="459"/>
        <v/>
      </c>
      <c r="RWT33" t="str">
        <f t="shared" si="459"/>
        <v/>
      </c>
      <c r="RWU33" t="str">
        <f t="shared" si="459"/>
        <v/>
      </c>
      <c r="RWV33" t="str">
        <f t="shared" si="459"/>
        <v/>
      </c>
      <c r="RWW33" t="str">
        <f t="shared" si="459"/>
        <v/>
      </c>
      <c r="RWX33" t="str">
        <f t="shared" si="459"/>
        <v/>
      </c>
      <c r="RWY33" t="str">
        <f t="shared" si="459"/>
        <v/>
      </c>
      <c r="RWZ33" t="str">
        <f t="shared" si="459"/>
        <v/>
      </c>
      <c r="RXA33" t="str">
        <f t="shared" si="459"/>
        <v/>
      </c>
      <c r="RXB33" t="str">
        <f t="shared" si="459"/>
        <v/>
      </c>
      <c r="RXC33" t="str">
        <f t="shared" si="459"/>
        <v/>
      </c>
      <c r="RXD33" t="str">
        <f t="shared" si="459"/>
        <v/>
      </c>
      <c r="RXE33" t="str">
        <f t="shared" si="459"/>
        <v/>
      </c>
      <c r="RXF33" t="str">
        <f t="shared" si="459"/>
        <v/>
      </c>
      <c r="RXG33" t="str">
        <f t="shared" si="459"/>
        <v/>
      </c>
      <c r="RXH33" t="str">
        <f t="shared" si="459"/>
        <v/>
      </c>
      <c r="RXI33" t="str">
        <f t="shared" si="459"/>
        <v/>
      </c>
      <c r="RXJ33" t="str">
        <f t="shared" si="459"/>
        <v/>
      </c>
      <c r="RXK33" t="str">
        <f t="shared" si="459"/>
        <v/>
      </c>
      <c r="RXL33" t="str">
        <f t="shared" si="459"/>
        <v/>
      </c>
      <c r="RXM33" t="str">
        <f t="shared" si="459"/>
        <v/>
      </c>
      <c r="RXN33" t="str">
        <f t="shared" si="459"/>
        <v/>
      </c>
      <c r="RXO33" t="str">
        <f t="shared" si="459"/>
        <v/>
      </c>
      <c r="RXP33" t="str">
        <f t="shared" si="459"/>
        <v/>
      </c>
      <c r="RXQ33" t="str">
        <f t="shared" si="459"/>
        <v/>
      </c>
      <c r="RXR33" t="str">
        <f t="shared" si="459"/>
        <v/>
      </c>
      <c r="RXS33" t="str">
        <f t="shared" si="459"/>
        <v/>
      </c>
      <c r="RXT33" t="str">
        <f t="shared" si="459"/>
        <v/>
      </c>
      <c r="RXU33" t="str">
        <f t="shared" ref="RXU33:SAF33" si="460">TRIM(RYL17)</f>
        <v/>
      </c>
      <c r="RXV33" t="str">
        <f t="shared" si="460"/>
        <v/>
      </c>
      <c r="RXW33" t="str">
        <f t="shared" si="460"/>
        <v/>
      </c>
      <c r="RXX33" t="str">
        <f t="shared" si="460"/>
        <v/>
      </c>
      <c r="RXY33" t="str">
        <f t="shared" si="460"/>
        <v/>
      </c>
      <c r="RXZ33" t="str">
        <f t="shared" si="460"/>
        <v/>
      </c>
      <c r="RYA33" t="str">
        <f t="shared" si="460"/>
        <v/>
      </c>
      <c r="RYB33" t="str">
        <f t="shared" si="460"/>
        <v/>
      </c>
      <c r="RYC33" t="str">
        <f t="shared" si="460"/>
        <v/>
      </c>
      <c r="RYD33" t="str">
        <f t="shared" si="460"/>
        <v/>
      </c>
      <c r="RYE33" t="str">
        <f t="shared" si="460"/>
        <v/>
      </c>
      <c r="RYF33" t="str">
        <f t="shared" si="460"/>
        <v/>
      </c>
      <c r="RYG33" t="str">
        <f t="shared" si="460"/>
        <v/>
      </c>
      <c r="RYH33" t="str">
        <f t="shared" si="460"/>
        <v/>
      </c>
      <c r="RYI33" t="str">
        <f t="shared" si="460"/>
        <v/>
      </c>
      <c r="RYJ33" t="str">
        <f t="shared" si="460"/>
        <v/>
      </c>
      <c r="RYK33" t="str">
        <f t="shared" si="460"/>
        <v/>
      </c>
      <c r="RYL33" t="str">
        <f t="shared" si="460"/>
        <v/>
      </c>
      <c r="RYM33" t="str">
        <f t="shared" si="460"/>
        <v/>
      </c>
      <c r="RYN33" t="str">
        <f t="shared" si="460"/>
        <v/>
      </c>
      <c r="RYO33" t="str">
        <f t="shared" si="460"/>
        <v/>
      </c>
      <c r="RYP33" t="str">
        <f t="shared" si="460"/>
        <v/>
      </c>
      <c r="RYQ33" t="str">
        <f t="shared" si="460"/>
        <v/>
      </c>
      <c r="RYR33" t="str">
        <f t="shared" si="460"/>
        <v/>
      </c>
      <c r="RYS33" t="str">
        <f t="shared" si="460"/>
        <v/>
      </c>
      <c r="RYT33" t="str">
        <f t="shared" si="460"/>
        <v/>
      </c>
      <c r="RYU33" t="str">
        <f t="shared" si="460"/>
        <v/>
      </c>
      <c r="RYV33" t="str">
        <f t="shared" si="460"/>
        <v/>
      </c>
      <c r="RYW33" t="str">
        <f t="shared" si="460"/>
        <v/>
      </c>
      <c r="RYX33" t="str">
        <f t="shared" si="460"/>
        <v/>
      </c>
      <c r="RYY33" t="str">
        <f t="shared" si="460"/>
        <v/>
      </c>
      <c r="RYZ33" t="str">
        <f t="shared" si="460"/>
        <v/>
      </c>
      <c r="RZA33" t="str">
        <f t="shared" si="460"/>
        <v/>
      </c>
      <c r="RZB33" t="str">
        <f t="shared" si="460"/>
        <v/>
      </c>
      <c r="RZC33" t="str">
        <f t="shared" si="460"/>
        <v/>
      </c>
      <c r="RZD33" t="str">
        <f t="shared" si="460"/>
        <v/>
      </c>
      <c r="RZE33" t="str">
        <f t="shared" si="460"/>
        <v/>
      </c>
      <c r="RZF33" t="str">
        <f t="shared" si="460"/>
        <v/>
      </c>
      <c r="RZG33" t="str">
        <f t="shared" si="460"/>
        <v/>
      </c>
      <c r="RZH33" t="str">
        <f t="shared" si="460"/>
        <v/>
      </c>
      <c r="RZI33" t="str">
        <f t="shared" si="460"/>
        <v/>
      </c>
      <c r="RZJ33" t="str">
        <f t="shared" si="460"/>
        <v/>
      </c>
      <c r="RZK33" t="str">
        <f t="shared" si="460"/>
        <v/>
      </c>
      <c r="RZL33" t="str">
        <f t="shared" si="460"/>
        <v/>
      </c>
      <c r="RZM33" t="str">
        <f t="shared" si="460"/>
        <v/>
      </c>
      <c r="RZN33" t="str">
        <f t="shared" si="460"/>
        <v/>
      </c>
      <c r="RZO33" t="str">
        <f t="shared" si="460"/>
        <v/>
      </c>
      <c r="RZP33" t="str">
        <f t="shared" si="460"/>
        <v/>
      </c>
      <c r="RZQ33" t="str">
        <f t="shared" si="460"/>
        <v/>
      </c>
      <c r="RZR33" t="str">
        <f t="shared" si="460"/>
        <v/>
      </c>
      <c r="RZS33" t="str">
        <f t="shared" si="460"/>
        <v/>
      </c>
      <c r="RZT33" t="str">
        <f t="shared" si="460"/>
        <v/>
      </c>
      <c r="RZU33" t="str">
        <f t="shared" si="460"/>
        <v/>
      </c>
      <c r="RZV33" t="str">
        <f t="shared" si="460"/>
        <v/>
      </c>
      <c r="RZW33" t="str">
        <f t="shared" si="460"/>
        <v/>
      </c>
      <c r="RZX33" t="str">
        <f t="shared" si="460"/>
        <v/>
      </c>
      <c r="RZY33" t="str">
        <f t="shared" si="460"/>
        <v/>
      </c>
      <c r="RZZ33" t="str">
        <f t="shared" si="460"/>
        <v/>
      </c>
      <c r="SAA33" t="str">
        <f t="shared" si="460"/>
        <v/>
      </c>
      <c r="SAB33" t="str">
        <f t="shared" si="460"/>
        <v/>
      </c>
      <c r="SAC33" t="str">
        <f t="shared" si="460"/>
        <v/>
      </c>
      <c r="SAD33" t="str">
        <f t="shared" si="460"/>
        <v/>
      </c>
      <c r="SAE33" t="str">
        <f t="shared" si="460"/>
        <v/>
      </c>
      <c r="SAF33" t="str">
        <f t="shared" si="460"/>
        <v/>
      </c>
      <c r="SAG33" t="str">
        <f t="shared" ref="SAG33:SCR33" si="461">TRIM(SAX17)</f>
        <v/>
      </c>
      <c r="SAH33" t="str">
        <f t="shared" si="461"/>
        <v/>
      </c>
      <c r="SAI33" t="str">
        <f t="shared" si="461"/>
        <v/>
      </c>
      <c r="SAJ33" t="str">
        <f t="shared" si="461"/>
        <v/>
      </c>
      <c r="SAK33" t="str">
        <f t="shared" si="461"/>
        <v/>
      </c>
      <c r="SAL33" t="str">
        <f t="shared" si="461"/>
        <v/>
      </c>
      <c r="SAM33" t="str">
        <f t="shared" si="461"/>
        <v/>
      </c>
      <c r="SAN33" t="str">
        <f t="shared" si="461"/>
        <v/>
      </c>
      <c r="SAO33" t="str">
        <f t="shared" si="461"/>
        <v/>
      </c>
      <c r="SAP33" t="str">
        <f t="shared" si="461"/>
        <v/>
      </c>
      <c r="SAQ33" t="str">
        <f t="shared" si="461"/>
        <v/>
      </c>
      <c r="SAR33" t="str">
        <f t="shared" si="461"/>
        <v/>
      </c>
      <c r="SAS33" t="str">
        <f t="shared" si="461"/>
        <v/>
      </c>
      <c r="SAT33" t="str">
        <f t="shared" si="461"/>
        <v/>
      </c>
      <c r="SAU33" t="str">
        <f t="shared" si="461"/>
        <v/>
      </c>
      <c r="SAV33" t="str">
        <f t="shared" si="461"/>
        <v/>
      </c>
      <c r="SAW33" t="str">
        <f t="shared" si="461"/>
        <v/>
      </c>
      <c r="SAX33" t="str">
        <f t="shared" si="461"/>
        <v/>
      </c>
      <c r="SAY33" t="str">
        <f t="shared" si="461"/>
        <v/>
      </c>
      <c r="SAZ33" t="str">
        <f t="shared" si="461"/>
        <v/>
      </c>
      <c r="SBA33" t="str">
        <f t="shared" si="461"/>
        <v/>
      </c>
      <c r="SBB33" t="str">
        <f t="shared" si="461"/>
        <v/>
      </c>
      <c r="SBC33" t="str">
        <f t="shared" si="461"/>
        <v/>
      </c>
      <c r="SBD33" t="str">
        <f t="shared" si="461"/>
        <v/>
      </c>
      <c r="SBE33" t="str">
        <f t="shared" si="461"/>
        <v/>
      </c>
      <c r="SBF33" t="str">
        <f t="shared" si="461"/>
        <v/>
      </c>
      <c r="SBG33" t="str">
        <f t="shared" si="461"/>
        <v/>
      </c>
      <c r="SBH33" t="str">
        <f t="shared" si="461"/>
        <v/>
      </c>
      <c r="SBI33" t="str">
        <f t="shared" si="461"/>
        <v/>
      </c>
      <c r="SBJ33" t="str">
        <f t="shared" si="461"/>
        <v/>
      </c>
      <c r="SBK33" t="str">
        <f t="shared" si="461"/>
        <v/>
      </c>
      <c r="SBL33" t="str">
        <f t="shared" si="461"/>
        <v/>
      </c>
      <c r="SBM33" t="str">
        <f t="shared" si="461"/>
        <v/>
      </c>
      <c r="SBN33" t="str">
        <f t="shared" si="461"/>
        <v/>
      </c>
      <c r="SBO33" t="str">
        <f t="shared" si="461"/>
        <v/>
      </c>
      <c r="SBP33" t="str">
        <f t="shared" si="461"/>
        <v/>
      </c>
      <c r="SBQ33" t="str">
        <f t="shared" si="461"/>
        <v/>
      </c>
      <c r="SBR33" t="str">
        <f t="shared" si="461"/>
        <v/>
      </c>
      <c r="SBS33" t="str">
        <f t="shared" si="461"/>
        <v/>
      </c>
      <c r="SBT33" t="str">
        <f t="shared" si="461"/>
        <v/>
      </c>
      <c r="SBU33" t="str">
        <f t="shared" si="461"/>
        <v/>
      </c>
      <c r="SBV33" t="str">
        <f t="shared" si="461"/>
        <v/>
      </c>
      <c r="SBW33" t="str">
        <f t="shared" si="461"/>
        <v/>
      </c>
      <c r="SBX33" t="str">
        <f t="shared" si="461"/>
        <v/>
      </c>
      <c r="SBY33" t="str">
        <f t="shared" si="461"/>
        <v/>
      </c>
      <c r="SBZ33" t="str">
        <f t="shared" si="461"/>
        <v/>
      </c>
      <c r="SCA33" t="str">
        <f t="shared" si="461"/>
        <v/>
      </c>
      <c r="SCB33" t="str">
        <f t="shared" si="461"/>
        <v/>
      </c>
      <c r="SCC33" t="str">
        <f t="shared" si="461"/>
        <v/>
      </c>
      <c r="SCD33" t="str">
        <f t="shared" si="461"/>
        <v/>
      </c>
      <c r="SCE33" t="str">
        <f t="shared" si="461"/>
        <v/>
      </c>
      <c r="SCF33" t="str">
        <f t="shared" si="461"/>
        <v/>
      </c>
      <c r="SCG33" t="str">
        <f t="shared" si="461"/>
        <v/>
      </c>
      <c r="SCH33" t="str">
        <f t="shared" si="461"/>
        <v/>
      </c>
      <c r="SCI33" t="str">
        <f t="shared" si="461"/>
        <v/>
      </c>
      <c r="SCJ33" t="str">
        <f t="shared" si="461"/>
        <v/>
      </c>
      <c r="SCK33" t="str">
        <f t="shared" si="461"/>
        <v/>
      </c>
      <c r="SCL33" t="str">
        <f t="shared" si="461"/>
        <v/>
      </c>
      <c r="SCM33" t="str">
        <f t="shared" si="461"/>
        <v/>
      </c>
      <c r="SCN33" t="str">
        <f t="shared" si="461"/>
        <v/>
      </c>
      <c r="SCO33" t="str">
        <f t="shared" si="461"/>
        <v/>
      </c>
      <c r="SCP33" t="str">
        <f t="shared" si="461"/>
        <v/>
      </c>
      <c r="SCQ33" t="str">
        <f t="shared" si="461"/>
        <v/>
      </c>
      <c r="SCR33" t="str">
        <f t="shared" si="461"/>
        <v/>
      </c>
      <c r="SCS33" t="str">
        <f t="shared" ref="SCS33:SFD33" si="462">TRIM(SDJ17)</f>
        <v/>
      </c>
      <c r="SCT33" t="str">
        <f t="shared" si="462"/>
        <v/>
      </c>
      <c r="SCU33" t="str">
        <f t="shared" si="462"/>
        <v/>
      </c>
      <c r="SCV33" t="str">
        <f t="shared" si="462"/>
        <v/>
      </c>
      <c r="SCW33" t="str">
        <f t="shared" si="462"/>
        <v/>
      </c>
      <c r="SCX33" t="str">
        <f t="shared" si="462"/>
        <v/>
      </c>
      <c r="SCY33" t="str">
        <f t="shared" si="462"/>
        <v/>
      </c>
      <c r="SCZ33" t="str">
        <f t="shared" si="462"/>
        <v/>
      </c>
      <c r="SDA33" t="str">
        <f t="shared" si="462"/>
        <v/>
      </c>
      <c r="SDB33" t="str">
        <f t="shared" si="462"/>
        <v/>
      </c>
      <c r="SDC33" t="str">
        <f t="shared" si="462"/>
        <v/>
      </c>
      <c r="SDD33" t="str">
        <f t="shared" si="462"/>
        <v/>
      </c>
      <c r="SDE33" t="str">
        <f t="shared" si="462"/>
        <v/>
      </c>
      <c r="SDF33" t="str">
        <f t="shared" si="462"/>
        <v/>
      </c>
      <c r="SDG33" t="str">
        <f t="shared" si="462"/>
        <v/>
      </c>
      <c r="SDH33" t="str">
        <f t="shared" si="462"/>
        <v/>
      </c>
      <c r="SDI33" t="str">
        <f t="shared" si="462"/>
        <v/>
      </c>
      <c r="SDJ33" t="str">
        <f t="shared" si="462"/>
        <v/>
      </c>
      <c r="SDK33" t="str">
        <f t="shared" si="462"/>
        <v/>
      </c>
      <c r="SDL33" t="str">
        <f t="shared" si="462"/>
        <v/>
      </c>
      <c r="SDM33" t="str">
        <f t="shared" si="462"/>
        <v/>
      </c>
      <c r="SDN33" t="str">
        <f t="shared" si="462"/>
        <v/>
      </c>
      <c r="SDO33" t="str">
        <f t="shared" si="462"/>
        <v/>
      </c>
      <c r="SDP33" t="str">
        <f t="shared" si="462"/>
        <v/>
      </c>
      <c r="SDQ33" t="str">
        <f t="shared" si="462"/>
        <v/>
      </c>
      <c r="SDR33" t="str">
        <f t="shared" si="462"/>
        <v/>
      </c>
      <c r="SDS33" t="str">
        <f t="shared" si="462"/>
        <v/>
      </c>
      <c r="SDT33" t="str">
        <f t="shared" si="462"/>
        <v/>
      </c>
      <c r="SDU33" t="str">
        <f t="shared" si="462"/>
        <v/>
      </c>
      <c r="SDV33" t="str">
        <f t="shared" si="462"/>
        <v/>
      </c>
      <c r="SDW33" t="str">
        <f t="shared" si="462"/>
        <v/>
      </c>
      <c r="SDX33" t="str">
        <f t="shared" si="462"/>
        <v/>
      </c>
      <c r="SDY33" t="str">
        <f t="shared" si="462"/>
        <v/>
      </c>
      <c r="SDZ33" t="str">
        <f t="shared" si="462"/>
        <v/>
      </c>
      <c r="SEA33" t="str">
        <f t="shared" si="462"/>
        <v/>
      </c>
      <c r="SEB33" t="str">
        <f t="shared" si="462"/>
        <v/>
      </c>
      <c r="SEC33" t="str">
        <f t="shared" si="462"/>
        <v/>
      </c>
      <c r="SED33" t="str">
        <f t="shared" si="462"/>
        <v/>
      </c>
      <c r="SEE33" t="str">
        <f t="shared" si="462"/>
        <v/>
      </c>
      <c r="SEF33" t="str">
        <f t="shared" si="462"/>
        <v/>
      </c>
      <c r="SEG33" t="str">
        <f t="shared" si="462"/>
        <v/>
      </c>
      <c r="SEH33" t="str">
        <f t="shared" si="462"/>
        <v/>
      </c>
      <c r="SEI33" t="str">
        <f t="shared" si="462"/>
        <v/>
      </c>
      <c r="SEJ33" t="str">
        <f t="shared" si="462"/>
        <v/>
      </c>
      <c r="SEK33" t="str">
        <f t="shared" si="462"/>
        <v/>
      </c>
      <c r="SEL33" t="str">
        <f t="shared" si="462"/>
        <v/>
      </c>
      <c r="SEM33" t="str">
        <f t="shared" si="462"/>
        <v/>
      </c>
      <c r="SEN33" t="str">
        <f t="shared" si="462"/>
        <v/>
      </c>
      <c r="SEO33" t="str">
        <f t="shared" si="462"/>
        <v/>
      </c>
      <c r="SEP33" t="str">
        <f t="shared" si="462"/>
        <v/>
      </c>
      <c r="SEQ33" t="str">
        <f t="shared" si="462"/>
        <v/>
      </c>
      <c r="SER33" t="str">
        <f t="shared" si="462"/>
        <v/>
      </c>
      <c r="SES33" t="str">
        <f t="shared" si="462"/>
        <v/>
      </c>
      <c r="SET33" t="str">
        <f t="shared" si="462"/>
        <v/>
      </c>
      <c r="SEU33" t="str">
        <f t="shared" si="462"/>
        <v/>
      </c>
      <c r="SEV33" t="str">
        <f t="shared" si="462"/>
        <v/>
      </c>
      <c r="SEW33" t="str">
        <f t="shared" si="462"/>
        <v/>
      </c>
      <c r="SEX33" t="str">
        <f t="shared" si="462"/>
        <v/>
      </c>
      <c r="SEY33" t="str">
        <f t="shared" si="462"/>
        <v/>
      </c>
      <c r="SEZ33" t="str">
        <f t="shared" si="462"/>
        <v/>
      </c>
      <c r="SFA33" t="str">
        <f t="shared" si="462"/>
        <v/>
      </c>
      <c r="SFB33" t="str">
        <f t="shared" si="462"/>
        <v/>
      </c>
      <c r="SFC33" t="str">
        <f t="shared" si="462"/>
        <v/>
      </c>
      <c r="SFD33" t="str">
        <f t="shared" si="462"/>
        <v/>
      </c>
      <c r="SFE33" t="str">
        <f t="shared" ref="SFE33:SHP33" si="463">TRIM(SFV17)</f>
        <v/>
      </c>
      <c r="SFF33" t="str">
        <f t="shared" si="463"/>
        <v/>
      </c>
      <c r="SFG33" t="str">
        <f t="shared" si="463"/>
        <v/>
      </c>
      <c r="SFH33" t="str">
        <f t="shared" si="463"/>
        <v/>
      </c>
      <c r="SFI33" t="str">
        <f t="shared" si="463"/>
        <v/>
      </c>
      <c r="SFJ33" t="str">
        <f t="shared" si="463"/>
        <v/>
      </c>
      <c r="SFK33" t="str">
        <f t="shared" si="463"/>
        <v/>
      </c>
      <c r="SFL33" t="str">
        <f t="shared" si="463"/>
        <v/>
      </c>
      <c r="SFM33" t="str">
        <f t="shared" si="463"/>
        <v/>
      </c>
      <c r="SFN33" t="str">
        <f t="shared" si="463"/>
        <v/>
      </c>
      <c r="SFO33" t="str">
        <f t="shared" si="463"/>
        <v/>
      </c>
      <c r="SFP33" t="str">
        <f t="shared" si="463"/>
        <v/>
      </c>
      <c r="SFQ33" t="str">
        <f t="shared" si="463"/>
        <v/>
      </c>
      <c r="SFR33" t="str">
        <f t="shared" si="463"/>
        <v/>
      </c>
      <c r="SFS33" t="str">
        <f t="shared" si="463"/>
        <v/>
      </c>
      <c r="SFT33" t="str">
        <f t="shared" si="463"/>
        <v/>
      </c>
      <c r="SFU33" t="str">
        <f t="shared" si="463"/>
        <v/>
      </c>
      <c r="SFV33" t="str">
        <f t="shared" si="463"/>
        <v/>
      </c>
      <c r="SFW33" t="str">
        <f t="shared" si="463"/>
        <v/>
      </c>
      <c r="SFX33" t="str">
        <f t="shared" si="463"/>
        <v/>
      </c>
      <c r="SFY33" t="str">
        <f t="shared" si="463"/>
        <v/>
      </c>
      <c r="SFZ33" t="str">
        <f t="shared" si="463"/>
        <v/>
      </c>
      <c r="SGA33" t="str">
        <f t="shared" si="463"/>
        <v/>
      </c>
      <c r="SGB33" t="str">
        <f t="shared" si="463"/>
        <v/>
      </c>
      <c r="SGC33" t="str">
        <f t="shared" si="463"/>
        <v/>
      </c>
      <c r="SGD33" t="str">
        <f t="shared" si="463"/>
        <v/>
      </c>
      <c r="SGE33" t="str">
        <f t="shared" si="463"/>
        <v/>
      </c>
      <c r="SGF33" t="str">
        <f t="shared" si="463"/>
        <v/>
      </c>
      <c r="SGG33" t="str">
        <f t="shared" si="463"/>
        <v/>
      </c>
      <c r="SGH33" t="str">
        <f t="shared" si="463"/>
        <v/>
      </c>
      <c r="SGI33" t="str">
        <f t="shared" si="463"/>
        <v/>
      </c>
      <c r="SGJ33" t="str">
        <f t="shared" si="463"/>
        <v/>
      </c>
      <c r="SGK33" t="str">
        <f t="shared" si="463"/>
        <v/>
      </c>
      <c r="SGL33" t="str">
        <f t="shared" si="463"/>
        <v/>
      </c>
      <c r="SGM33" t="str">
        <f t="shared" si="463"/>
        <v/>
      </c>
      <c r="SGN33" t="str">
        <f t="shared" si="463"/>
        <v/>
      </c>
      <c r="SGO33" t="str">
        <f t="shared" si="463"/>
        <v/>
      </c>
      <c r="SGP33" t="str">
        <f t="shared" si="463"/>
        <v/>
      </c>
      <c r="SGQ33" t="str">
        <f t="shared" si="463"/>
        <v/>
      </c>
      <c r="SGR33" t="str">
        <f t="shared" si="463"/>
        <v/>
      </c>
      <c r="SGS33" t="str">
        <f t="shared" si="463"/>
        <v/>
      </c>
      <c r="SGT33" t="str">
        <f t="shared" si="463"/>
        <v/>
      </c>
      <c r="SGU33" t="str">
        <f t="shared" si="463"/>
        <v/>
      </c>
      <c r="SGV33" t="str">
        <f t="shared" si="463"/>
        <v/>
      </c>
      <c r="SGW33" t="str">
        <f t="shared" si="463"/>
        <v/>
      </c>
      <c r="SGX33" t="str">
        <f t="shared" si="463"/>
        <v/>
      </c>
      <c r="SGY33" t="str">
        <f t="shared" si="463"/>
        <v/>
      </c>
      <c r="SGZ33" t="str">
        <f t="shared" si="463"/>
        <v/>
      </c>
      <c r="SHA33" t="str">
        <f t="shared" si="463"/>
        <v/>
      </c>
      <c r="SHB33" t="str">
        <f t="shared" si="463"/>
        <v/>
      </c>
      <c r="SHC33" t="str">
        <f t="shared" si="463"/>
        <v/>
      </c>
      <c r="SHD33" t="str">
        <f t="shared" si="463"/>
        <v/>
      </c>
      <c r="SHE33" t="str">
        <f t="shared" si="463"/>
        <v/>
      </c>
      <c r="SHF33" t="str">
        <f t="shared" si="463"/>
        <v/>
      </c>
      <c r="SHG33" t="str">
        <f t="shared" si="463"/>
        <v/>
      </c>
      <c r="SHH33" t="str">
        <f t="shared" si="463"/>
        <v/>
      </c>
      <c r="SHI33" t="str">
        <f t="shared" si="463"/>
        <v/>
      </c>
      <c r="SHJ33" t="str">
        <f t="shared" si="463"/>
        <v/>
      </c>
      <c r="SHK33" t="str">
        <f t="shared" si="463"/>
        <v/>
      </c>
      <c r="SHL33" t="str">
        <f t="shared" si="463"/>
        <v/>
      </c>
      <c r="SHM33" t="str">
        <f t="shared" si="463"/>
        <v/>
      </c>
      <c r="SHN33" t="str">
        <f t="shared" si="463"/>
        <v/>
      </c>
      <c r="SHO33" t="str">
        <f t="shared" si="463"/>
        <v/>
      </c>
      <c r="SHP33" t="str">
        <f t="shared" si="463"/>
        <v/>
      </c>
      <c r="SHQ33" t="str">
        <f t="shared" ref="SHQ33:SKB33" si="464">TRIM(SIH17)</f>
        <v/>
      </c>
      <c r="SHR33" t="str">
        <f t="shared" si="464"/>
        <v/>
      </c>
      <c r="SHS33" t="str">
        <f t="shared" si="464"/>
        <v/>
      </c>
      <c r="SHT33" t="str">
        <f t="shared" si="464"/>
        <v/>
      </c>
      <c r="SHU33" t="str">
        <f t="shared" si="464"/>
        <v/>
      </c>
      <c r="SHV33" t="str">
        <f t="shared" si="464"/>
        <v/>
      </c>
      <c r="SHW33" t="str">
        <f t="shared" si="464"/>
        <v/>
      </c>
      <c r="SHX33" t="str">
        <f t="shared" si="464"/>
        <v/>
      </c>
      <c r="SHY33" t="str">
        <f t="shared" si="464"/>
        <v/>
      </c>
      <c r="SHZ33" t="str">
        <f t="shared" si="464"/>
        <v/>
      </c>
      <c r="SIA33" t="str">
        <f t="shared" si="464"/>
        <v/>
      </c>
      <c r="SIB33" t="str">
        <f t="shared" si="464"/>
        <v/>
      </c>
      <c r="SIC33" t="str">
        <f t="shared" si="464"/>
        <v/>
      </c>
      <c r="SID33" t="str">
        <f t="shared" si="464"/>
        <v/>
      </c>
      <c r="SIE33" t="str">
        <f t="shared" si="464"/>
        <v/>
      </c>
      <c r="SIF33" t="str">
        <f t="shared" si="464"/>
        <v/>
      </c>
      <c r="SIG33" t="str">
        <f t="shared" si="464"/>
        <v/>
      </c>
      <c r="SIH33" t="str">
        <f t="shared" si="464"/>
        <v/>
      </c>
      <c r="SII33" t="str">
        <f t="shared" si="464"/>
        <v/>
      </c>
      <c r="SIJ33" t="str">
        <f t="shared" si="464"/>
        <v/>
      </c>
      <c r="SIK33" t="str">
        <f t="shared" si="464"/>
        <v/>
      </c>
      <c r="SIL33" t="str">
        <f t="shared" si="464"/>
        <v/>
      </c>
      <c r="SIM33" t="str">
        <f t="shared" si="464"/>
        <v/>
      </c>
      <c r="SIN33" t="str">
        <f t="shared" si="464"/>
        <v/>
      </c>
      <c r="SIO33" t="str">
        <f t="shared" si="464"/>
        <v/>
      </c>
      <c r="SIP33" t="str">
        <f t="shared" si="464"/>
        <v/>
      </c>
      <c r="SIQ33" t="str">
        <f t="shared" si="464"/>
        <v/>
      </c>
      <c r="SIR33" t="str">
        <f t="shared" si="464"/>
        <v/>
      </c>
      <c r="SIS33" t="str">
        <f t="shared" si="464"/>
        <v/>
      </c>
      <c r="SIT33" t="str">
        <f t="shared" si="464"/>
        <v/>
      </c>
      <c r="SIU33" t="str">
        <f t="shared" si="464"/>
        <v/>
      </c>
      <c r="SIV33" t="str">
        <f t="shared" si="464"/>
        <v/>
      </c>
      <c r="SIW33" t="str">
        <f t="shared" si="464"/>
        <v/>
      </c>
      <c r="SIX33" t="str">
        <f t="shared" si="464"/>
        <v/>
      </c>
      <c r="SIY33" t="str">
        <f t="shared" si="464"/>
        <v/>
      </c>
      <c r="SIZ33" t="str">
        <f t="shared" si="464"/>
        <v/>
      </c>
      <c r="SJA33" t="str">
        <f t="shared" si="464"/>
        <v/>
      </c>
      <c r="SJB33" t="str">
        <f t="shared" si="464"/>
        <v/>
      </c>
      <c r="SJC33" t="str">
        <f t="shared" si="464"/>
        <v/>
      </c>
      <c r="SJD33" t="str">
        <f t="shared" si="464"/>
        <v/>
      </c>
      <c r="SJE33" t="str">
        <f t="shared" si="464"/>
        <v/>
      </c>
      <c r="SJF33" t="str">
        <f t="shared" si="464"/>
        <v/>
      </c>
      <c r="SJG33" t="str">
        <f t="shared" si="464"/>
        <v/>
      </c>
      <c r="SJH33" t="str">
        <f t="shared" si="464"/>
        <v/>
      </c>
      <c r="SJI33" t="str">
        <f t="shared" si="464"/>
        <v/>
      </c>
      <c r="SJJ33" t="str">
        <f t="shared" si="464"/>
        <v/>
      </c>
      <c r="SJK33" t="str">
        <f t="shared" si="464"/>
        <v/>
      </c>
      <c r="SJL33" t="str">
        <f t="shared" si="464"/>
        <v/>
      </c>
      <c r="SJM33" t="str">
        <f t="shared" si="464"/>
        <v/>
      </c>
      <c r="SJN33" t="str">
        <f t="shared" si="464"/>
        <v/>
      </c>
      <c r="SJO33" t="str">
        <f t="shared" si="464"/>
        <v/>
      </c>
      <c r="SJP33" t="str">
        <f t="shared" si="464"/>
        <v/>
      </c>
      <c r="SJQ33" t="str">
        <f t="shared" si="464"/>
        <v/>
      </c>
      <c r="SJR33" t="str">
        <f t="shared" si="464"/>
        <v/>
      </c>
      <c r="SJS33" t="str">
        <f t="shared" si="464"/>
        <v/>
      </c>
      <c r="SJT33" t="str">
        <f t="shared" si="464"/>
        <v/>
      </c>
      <c r="SJU33" t="str">
        <f t="shared" si="464"/>
        <v/>
      </c>
      <c r="SJV33" t="str">
        <f t="shared" si="464"/>
        <v/>
      </c>
      <c r="SJW33" t="str">
        <f t="shared" si="464"/>
        <v/>
      </c>
      <c r="SJX33" t="str">
        <f t="shared" si="464"/>
        <v/>
      </c>
      <c r="SJY33" t="str">
        <f t="shared" si="464"/>
        <v/>
      </c>
      <c r="SJZ33" t="str">
        <f t="shared" si="464"/>
        <v/>
      </c>
      <c r="SKA33" t="str">
        <f t="shared" si="464"/>
        <v/>
      </c>
      <c r="SKB33" t="str">
        <f t="shared" si="464"/>
        <v/>
      </c>
      <c r="SKC33" t="str">
        <f t="shared" ref="SKC33:SMN33" si="465">TRIM(SKT17)</f>
        <v/>
      </c>
      <c r="SKD33" t="str">
        <f t="shared" si="465"/>
        <v/>
      </c>
      <c r="SKE33" t="str">
        <f t="shared" si="465"/>
        <v/>
      </c>
      <c r="SKF33" t="str">
        <f t="shared" si="465"/>
        <v/>
      </c>
      <c r="SKG33" t="str">
        <f t="shared" si="465"/>
        <v/>
      </c>
      <c r="SKH33" t="str">
        <f t="shared" si="465"/>
        <v/>
      </c>
      <c r="SKI33" t="str">
        <f t="shared" si="465"/>
        <v/>
      </c>
      <c r="SKJ33" t="str">
        <f t="shared" si="465"/>
        <v/>
      </c>
      <c r="SKK33" t="str">
        <f t="shared" si="465"/>
        <v/>
      </c>
      <c r="SKL33" t="str">
        <f t="shared" si="465"/>
        <v/>
      </c>
      <c r="SKM33" t="str">
        <f t="shared" si="465"/>
        <v/>
      </c>
      <c r="SKN33" t="str">
        <f t="shared" si="465"/>
        <v/>
      </c>
      <c r="SKO33" t="str">
        <f t="shared" si="465"/>
        <v/>
      </c>
      <c r="SKP33" t="str">
        <f t="shared" si="465"/>
        <v/>
      </c>
      <c r="SKQ33" t="str">
        <f t="shared" si="465"/>
        <v/>
      </c>
      <c r="SKR33" t="str">
        <f t="shared" si="465"/>
        <v/>
      </c>
      <c r="SKS33" t="str">
        <f t="shared" si="465"/>
        <v/>
      </c>
      <c r="SKT33" t="str">
        <f t="shared" si="465"/>
        <v/>
      </c>
      <c r="SKU33" t="str">
        <f t="shared" si="465"/>
        <v/>
      </c>
      <c r="SKV33" t="str">
        <f t="shared" si="465"/>
        <v/>
      </c>
      <c r="SKW33" t="str">
        <f t="shared" si="465"/>
        <v/>
      </c>
      <c r="SKX33" t="str">
        <f t="shared" si="465"/>
        <v/>
      </c>
      <c r="SKY33" t="str">
        <f t="shared" si="465"/>
        <v/>
      </c>
      <c r="SKZ33" t="str">
        <f t="shared" si="465"/>
        <v/>
      </c>
      <c r="SLA33" t="str">
        <f t="shared" si="465"/>
        <v/>
      </c>
      <c r="SLB33" t="str">
        <f t="shared" si="465"/>
        <v/>
      </c>
      <c r="SLC33" t="str">
        <f t="shared" si="465"/>
        <v/>
      </c>
      <c r="SLD33" t="str">
        <f t="shared" si="465"/>
        <v/>
      </c>
      <c r="SLE33" t="str">
        <f t="shared" si="465"/>
        <v/>
      </c>
      <c r="SLF33" t="str">
        <f t="shared" si="465"/>
        <v/>
      </c>
      <c r="SLG33" t="str">
        <f t="shared" si="465"/>
        <v/>
      </c>
      <c r="SLH33" t="str">
        <f t="shared" si="465"/>
        <v/>
      </c>
      <c r="SLI33" t="str">
        <f t="shared" si="465"/>
        <v/>
      </c>
      <c r="SLJ33" t="str">
        <f t="shared" si="465"/>
        <v/>
      </c>
      <c r="SLK33" t="str">
        <f t="shared" si="465"/>
        <v/>
      </c>
      <c r="SLL33" t="str">
        <f t="shared" si="465"/>
        <v/>
      </c>
      <c r="SLM33" t="str">
        <f t="shared" si="465"/>
        <v/>
      </c>
      <c r="SLN33" t="str">
        <f t="shared" si="465"/>
        <v/>
      </c>
      <c r="SLO33" t="str">
        <f t="shared" si="465"/>
        <v/>
      </c>
      <c r="SLP33" t="str">
        <f t="shared" si="465"/>
        <v/>
      </c>
      <c r="SLQ33" t="str">
        <f t="shared" si="465"/>
        <v/>
      </c>
      <c r="SLR33" t="str">
        <f t="shared" si="465"/>
        <v/>
      </c>
      <c r="SLS33" t="str">
        <f t="shared" si="465"/>
        <v/>
      </c>
      <c r="SLT33" t="str">
        <f t="shared" si="465"/>
        <v/>
      </c>
      <c r="SLU33" t="str">
        <f t="shared" si="465"/>
        <v/>
      </c>
      <c r="SLV33" t="str">
        <f t="shared" si="465"/>
        <v/>
      </c>
      <c r="SLW33" t="str">
        <f t="shared" si="465"/>
        <v/>
      </c>
      <c r="SLX33" t="str">
        <f t="shared" si="465"/>
        <v/>
      </c>
      <c r="SLY33" t="str">
        <f t="shared" si="465"/>
        <v/>
      </c>
      <c r="SLZ33" t="str">
        <f t="shared" si="465"/>
        <v/>
      </c>
      <c r="SMA33" t="str">
        <f t="shared" si="465"/>
        <v/>
      </c>
      <c r="SMB33" t="str">
        <f t="shared" si="465"/>
        <v/>
      </c>
      <c r="SMC33" t="str">
        <f t="shared" si="465"/>
        <v/>
      </c>
      <c r="SMD33" t="str">
        <f t="shared" si="465"/>
        <v/>
      </c>
      <c r="SME33" t="str">
        <f t="shared" si="465"/>
        <v/>
      </c>
      <c r="SMF33" t="str">
        <f t="shared" si="465"/>
        <v/>
      </c>
      <c r="SMG33" t="str">
        <f t="shared" si="465"/>
        <v/>
      </c>
      <c r="SMH33" t="str">
        <f t="shared" si="465"/>
        <v/>
      </c>
      <c r="SMI33" t="str">
        <f t="shared" si="465"/>
        <v/>
      </c>
      <c r="SMJ33" t="str">
        <f t="shared" si="465"/>
        <v/>
      </c>
      <c r="SMK33" t="str">
        <f t="shared" si="465"/>
        <v/>
      </c>
      <c r="SML33" t="str">
        <f t="shared" si="465"/>
        <v/>
      </c>
      <c r="SMM33" t="str">
        <f t="shared" si="465"/>
        <v/>
      </c>
      <c r="SMN33" t="str">
        <f t="shared" si="465"/>
        <v/>
      </c>
      <c r="SMO33" t="str">
        <f t="shared" ref="SMO33:SOZ33" si="466">TRIM(SNF17)</f>
        <v/>
      </c>
      <c r="SMP33" t="str">
        <f t="shared" si="466"/>
        <v/>
      </c>
      <c r="SMQ33" t="str">
        <f t="shared" si="466"/>
        <v/>
      </c>
      <c r="SMR33" t="str">
        <f t="shared" si="466"/>
        <v/>
      </c>
      <c r="SMS33" t="str">
        <f t="shared" si="466"/>
        <v/>
      </c>
      <c r="SMT33" t="str">
        <f t="shared" si="466"/>
        <v/>
      </c>
      <c r="SMU33" t="str">
        <f t="shared" si="466"/>
        <v/>
      </c>
      <c r="SMV33" t="str">
        <f t="shared" si="466"/>
        <v/>
      </c>
      <c r="SMW33" t="str">
        <f t="shared" si="466"/>
        <v/>
      </c>
      <c r="SMX33" t="str">
        <f t="shared" si="466"/>
        <v/>
      </c>
      <c r="SMY33" t="str">
        <f t="shared" si="466"/>
        <v/>
      </c>
      <c r="SMZ33" t="str">
        <f t="shared" si="466"/>
        <v/>
      </c>
      <c r="SNA33" t="str">
        <f t="shared" si="466"/>
        <v/>
      </c>
      <c r="SNB33" t="str">
        <f t="shared" si="466"/>
        <v/>
      </c>
      <c r="SNC33" t="str">
        <f t="shared" si="466"/>
        <v/>
      </c>
      <c r="SND33" t="str">
        <f t="shared" si="466"/>
        <v/>
      </c>
      <c r="SNE33" t="str">
        <f t="shared" si="466"/>
        <v/>
      </c>
      <c r="SNF33" t="str">
        <f t="shared" si="466"/>
        <v/>
      </c>
      <c r="SNG33" t="str">
        <f t="shared" si="466"/>
        <v/>
      </c>
      <c r="SNH33" t="str">
        <f t="shared" si="466"/>
        <v/>
      </c>
      <c r="SNI33" t="str">
        <f t="shared" si="466"/>
        <v/>
      </c>
      <c r="SNJ33" t="str">
        <f t="shared" si="466"/>
        <v/>
      </c>
      <c r="SNK33" t="str">
        <f t="shared" si="466"/>
        <v/>
      </c>
      <c r="SNL33" t="str">
        <f t="shared" si="466"/>
        <v/>
      </c>
      <c r="SNM33" t="str">
        <f t="shared" si="466"/>
        <v/>
      </c>
      <c r="SNN33" t="str">
        <f t="shared" si="466"/>
        <v/>
      </c>
      <c r="SNO33" t="str">
        <f t="shared" si="466"/>
        <v/>
      </c>
      <c r="SNP33" t="str">
        <f t="shared" si="466"/>
        <v/>
      </c>
      <c r="SNQ33" t="str">
        <f t="shared" si="466"/>
        <v/>
      </c>
      <c r="SNR33" t="str">
        <f t="shared" si="466"/>
        <v/>
      </c>
      <c r="SNS33" t="str">
        <f t="shared" si="466"/>
        <v/>
      </c>
      <c r="SNT33" t="str">
        <f t="shared" si="466"/>
        <v/>
      </c>
      <c r="SNU33" t="str">
        <f t="shared" si="466"/>
        <v/>
      </c>
      <c r="SNV33" t="str">
        <f t="shared" si="466"/>
        <v/>
      </c>
      <c r="SNW33" t="str">
        <f t="shared" si="466"/>
        <v/>
      </c>
      <c r="SNX33" t="str">
        <f t="shared" si="466"/>
        <v/>
      </c>
      <c r="SNY33" t="str">
        <f t="shared" si="466"/>
        <v/>
      </c>
      <c r="SNZ33" t="str">
        <f t="shared" si="466"/>
        <v/>
      </c>
      <c r="SOA33" t="str">
        <f t="shared" si="466"/>
        <v/>
      </c>
      <c r="SOB33" t="str">
        <f t="shared" si="466"/>
        <v/>
      </c>
      <c r="SOC33" t="str">
        <f t="shared" si="466"/>
        <v/>
      </c>
      <c r="SOD33" t="str">
        <f t="shared" si="466"/>
        <v/>
      </c>
      <c r="SOE33" t="str">
        <f t="shared" si="466"/>
        <v/>
      </c>
      <c r="SOF33" t="str">
        <f t="shared" si="466"/>
        <v/>
      </c>
      <c r="SOG33" t="str">
        <f t="shared" si="466"/>
        <v/>
      </c>
      <c r="SOH33" t="str">
        <f t="shared" si="466"/>
        <v/>
      </c>
      <c r="SOI33" t="str">
        <f t="shared" si="466"/>
        <v/>
      </c>
      <c r="SOJ33" t="str">
        <f t="shared" si="466"/>
        <v/>
      </c>
      <c r="SOK33" t="str">
        <f t="shared" si="466"/>
        <v/>
      </c>
      <c r="SOL33" t="str">
        <f t="shared" si="466"/>
        <v/>
      </c>
      <c r="SOM33" t="str">
        <f t="shared" si="466"/>
        <v/>
      </c>
      <c r="SON33" t="str">
        <f t="shared" si="466"/>
        <v/>
      </c>
      <c r="SOO33" t="str">
        <f t="shared" si="466"/>
        <v/>
      </c>
      <c r="SOP33" t="str">
        <f t="shared" si="466"/>
        <v/>
      </c>
      <c r="SOQ33" t="str">
        <f t="shared" si="466"/>
        <v/>
      </c>
      <c r="SOR33" t="str">
        <f t="shared" si="466"/>
        <v/>
      </c>
      <c r="SOS33" t="str">
        <f t="shared" si="466"/>
        <v/>
      </c>
      <c r="SOT33" t="str">
        <f t="shared" si="466"/>
        <v/>
      </c>
      <c r="SOU33" t="str">
        <f t="shared" si="466"/>
        <v/>
      </c>
      <c r="SOV33" t="str">
        <f t="shared" si="466"/>
        <v/>
      </c>
      <c r="SOW33" t="str">
        <f t="shared" si="466"/>
        <v/>
      </c>
      <c r="SOX33" t="str">
        <f t="shared" si="466"/>
        <v/>
      </c>
      <c r="SOY33" t="str">
        <f t="shared" si="466"/>
        <v/>
      </c>
      <c r="SOZ33" t="str">
        <f t="shared" si="466"/>
        <v/>
      </c>
      <c r="SPA33" t="str">
        <f t="shared" ref="SPA33:SRL33" si="467">TRIM(SPR17)</f>
        <v/>
      </c>
      <c r="SPB33" t="str">
        <f t="shared" si="467"/>
        <v/>
      </c>
      <c r="SPC33" t="str">
        <f t="shared" si="467"/>
        <v/>
      </c>
      <c r="SPD33" t="str">
        <f t="shared" si="467"/>
        <v/>
      </c>
      <c r="SPE33" t="str">
        <f t="shared" si="467"/>
        <v/>
      </c>
      <c r="SPF33" t="str">
        <f t="shared" si="467"/>
        <v/>
      </c>
      <c r="SPG33" t="str">
        <f t="shared" si="467"/>
        <v/>
      </c>
      <c r="SPH33" t="str">
        <f t="shared" si="467"/>
        <v/>
      </c>
      <c r="SPI33" t="str">
        <f t="shared" si="467"/>
        <v/>
      </c>
      <c r="SPJ33" t="str">
        <f t="shared" si="467"/>
        <v/>
      </c>
      <c r="SPK33" t="str">
        <f t="shared" si="467"/>
        <v/>
      </c>
      <c r="SPL33" t="str">
        <f t="shared" si="467"/>
        <v/>
      </c>
      <c r="SPM33" t="str">
        <f t="shared" si="467"/>
        <v/>
      </c>
      <c r="SPN33" t="str">
        <f t="shared" si="467"/>
        <v/>
      </c>
      <c r="SPO33" t="str">
        <f t="shared" si="467"/>
        <v/>
      </c>
      <c r="SPP33" t="str">
        <f t="shared" si="467"/>
        <v/>
      </c>
      <c r="SPQ33" t="str">
        <f t="shared" si="467"/>
        <v/>
      </c>
      <c r="SPR33" t="str">
        <f t="shared" si="467"/>
        <v/>
      </c>
      <c r="SPS33" t="str">
        <f t="shared" si="467"/>
        <v/>
      </c>
      <c r="SPT33" t="str">
        <f t="shared" si="467"/>
        <v/>
      </c>
      <c r="SPU33" t="str">
        <f t="shared" si="467"/>
        <v/>
      </c>
      <c r="SPV33" t="str">
        <f t="shared" si="467"/>
        <v/>
      </c>
      <c r="SPW33" t="str">
        <f t="shared" si="467"/>
        <v/>
      </c>
      <c r="SPX33" t="str">
        <f t="shared" si="467"/>
        <v/>
      </c>
      <c r="SPY33" t="str">
        <f t="shared" si="467"/>
        <v/>
      </c>
      <c r="SPZ33" t="str">
        <f t="shared" si="467"/>
        <v/>
      </c>
      <c r="SQA33" t="str">
        <f t="shared" si="467"/>
        <v/>
      </c>
      <c r="SQB33" t="str">
        <f t="shared" si="467"/>
        <v/>
      </c>
      <c r="SQC33" t="str">
        <f t="shared" si="467"/>
        <v/>
      </c>
      <c r="SQD33" t="str">
        <f t="shared" si="467"/>
        <v/>
      </c>
      <c r="SQE33" t="str">
        <f t="shared" si="467"/>
        <v/>
      </c>
      <c r="SQF33" t="str">
        <f t="shared" si="467"/>
        <v/>
      </c>
      <c r="SQG33" t="str">
        <f t="shared" si="467"/>
        <v/>
      </c>
      <c r="SQH33" t="str">
        <f t="shared" si="467"/>
        <v/>
      </c>
      <c r="SQI33" t="str">
        <f t="shared" si="467"/>
        <v/>
      </c>
      <c r="SQJ33" t="str">
        <f t="shared" si="467"/>
        <v/>
      </c>
      <c r="SQK33" t="str">
        <f t="shared" si="467"/>
        <v/>
      </c>
      <c r="SQL33" t="str">
        <f t="shared" si="467"/>
        <v/>
      </c>
      <c r="SQM33" t="str">
        <f t="shared" si="467"/>
        <v/>
      </c>
      <c r="SQN33" t="str">
        <f t="shared" si="467"/>
        <v/>
      </c>
      <c r="SQO33" t="str">
        <f t="shared" si="467"/>
        <v/>
      </c>
      <c r="SQP33" t="str">
        <f t="shared" si="467"/>
        <v/>
      </c>
      <c r="SQQ33" t="str">
        <f t="shared" si="467"/>
        <v/>
      </c>
      <c r="SQR33" t="str">
        <f t="shared" si="467"/>
        <v/>
      </c>
      <c r="SQS33" t="str">
        <f t="shared" si="467"/>
        <v/>
      </c>
      <c r="SQT33" t="str">
        <f t="shared" si="467"/>
        <v/>
      </c>
      <c r="SQU33" t="str">
        <f t="shared" si="467"/>
        <v/>
      </c>
      <c r="SQV33" t="str">
        <f t="shared" si="467"/>
        <v/>
      </c>
      <c r="SQW33" t="str">
        <f t="shared" si="467"/>
        <v/>
      </c>
      <c r="SQX33" t="str">
        <f t="shared" si="467"/>
        <v/>
      </c>
      <c r="SQY33" t="str">
        <f t="shared" si="467"/>
        <v/>
      </c>
      <c r="SQZ33" t="str">
        <f t="shared" si="467"/>
        <v/>
      </c>
      <c r="SRA33" t="str">
        <f t="shared" si="467"/>
        <v/>
      </c>
      <c r="SRB33" t="str">
        <f t="shared" si="467"/>
        <v/>
      </c>
      <c r="SRC33" t="str">
        <f t="shared" si="467"/>
        <v/>
      </c>
      <c r="SRD33" t="str">
        <f t="shared" si="467"/>
        <v/>
      </c>
      <c r="SRE33" t="str">
        <f t="shared" si="467"/>
        <v/>
      </c>
      <c r="SRF33" t="str">
        <f t="shared" si="467"/>
        <v/>
      </c>
      <c r="SRG33" t="str">
        <f t="shared" si="467"/>
        <v/>
      </c>
      <c r="SRH33" t="str">
        <f t="shared" si="467"/>
        <v/>
      </c>
      <c r="SRI33" t="str">
        <f t="shared" si="467"/>
        <v/>
      </c>
      <c r="SRJ33" t="str">
        <f t="shared" si="467"/>
        <v/>
      </c>
      <c r="SRK33" t="str">
        <f t="shared" si="467"/>
        <v/>
      </c>
      <c r="SRL33" t="str">
        <f t="shared" si="467"/>
        <v/>
      </c>
      <c r="SRM33" t="str">
        <f t="shared" ref="SRM33:STX33" si="468">TRIM(SSD17)</f>
        <v/>
      </c>
      <c r="SRN33" t="str">
        <f t="shared" si="468"/>
        <v/>
      </c>
      <c r="SRO33" t="str">
        <f t="shared" si="468"/>
        <v/>
      </c>
      <c r="SRP33" t="str">
        <f t="shared" si="468"/>
        <v/>
      </c>
      <c r="SRQ33" t="str">
        <f t="shared" si="468"/>
        <v/>
      </c>
      <c r="SRR33" t="str">
        <f t="shared" si="468"/>
        <v/>
      </c>
      <c r="SRS33" t="str">
        <f t="shared" si="468"/>
        <v/>
      </c>
      <c r="SRT33" t="str">
        <f t="shared" si="468"/>
        <v/>
      </c>
      <c r="SRU33" t="str">
        <f t="shared" si="468"/>
        <v/>
      </c>
      <c r="SRV33" t="str">
        <f t="shared" si="468"/>
        <v/>
      </c>
      <c r="SRW33" t="str">
        <f t="shared" si="468"/>
        <v/>
      </c>
      <c r="SRX33" t="str">
        <f t="shared" si="468"/>
        <v/>
      </c>
      <c r="SRY33" t="str">
        <f t="shared" si="468"/>
        <v/>
      </c>
      <c r="SRZ33" t="str">
        <f t="shared" si="468"/>
        <v/>
      </c>
      <c r="SSA33" t="str">
        <f t="shared" si="468"/>
        <v/>
      </c>
      <c r="SSB33" t="str">
        <f t="shared" si="468"/>
        <v/>
      </c>
      <c r="SSC33" t="str">
        <f t="shared" si="468"/>
        <v/>
      </c>
      <c r="SSD33" t="str">
        <f t="shared" si="468"/>
        <v/>
      </c>
      <c r="SSE33" t="str">
        <f t="shared" si="468"/>
        <v/>
      </c>
      <c r="SSF33" t="str">
        <f t="shared" si="468"/>
        <v/>
      </c>
      <c r="SSG33" t="str">
        <f t="shared" si="468"/>
        <v/>
      </c>
      <c r="SSH33" t="str">
        <f t="shared" si="468"/>
        <v/>
      </c>
      <c r="SSI33" t="str">
        <f t="shared" si="468"/>
        <v/>
      </c>
      <c r="SSJ33" t="str">
        <f t="shared" si="468"/>
        <v/>
      </c>
      <c r="SSK33" t="str">
        <f t="shared" si="468"/>
        <v/>
      </c>
      <c r="SSL33" t="str">
        <f t="shared" si="468"/>
        <v/>
      </c>
      <c r="SSM33" t="str">
        <f t="shared" si="468"/>
        <v/>
      </c>
      <c r="SSN33" t="str">
        <f t="shared" si="468"/>
        <v/>
      </c>
      <c r="SSO33" t="str">
        <f t="shared" si="468"/>
        <v/>
      </c>
      <c r="SSP33" t="str">
        <f t="shared" si="468"/>
        <v/>
      </c>
      <c r="SSQ33" t="str">
        <f t="shared" si="468"/>
        <v/>
      </c>
      <c r="SSR33" t="str">
        <f t="shared" si="468"/>
        <v/>
      </c>
      <c r="SSS33" t="str">
        <f t="shared" si="468"/>
        <v/>
      </c>
      <c r="SST33" t="str">
        <f t="shared" si="468"/>
        <v/>
      </c>
      <c r="SSU33" t="str">
        <f t="shared" si="468"/>
        <v/>
      </c>
      <c r="SSV33" t="str">
        <f t="shared" si="468"/>
        <v/>
      </c>
      <c r="SSW33" t="str">
        <f t="shared" si="468"/>
        <v/>
      </c>
      <c r="SSX33" t="str">
        <f t="shared" si="468"/>
        <v/>
      </c>
      <c r="SSY33" t="str">
        <f t="shared" si="468"/>
        <v/>
      </c>
      <c r="SSZ33" t="str">
        <f t="shared" si="468"/>
        <v/>
      </c>
      <c r="STA33" t="str">
        <f t="shared" si="468"/>
        <v/>
      </c>
      <c r="STB33" t="str">
        <f t="shared" si="468"/>
        <v/>
      </c>
      <c r="STC33" t="str">
        <f t="shared" si="468"/>
        <v/>
      </c>
      <c r="STD33" t="str">
        <f t="shared" si="468"/>
        <v/>
      </c>
      <c r="STE33" t="str">
        <f t="shared" si="468"/>
        <v/>
      </c>
      <c r="STF33" t="str">
        <f t="shared" si="468"/>
        <v/>
      </c>
      <c r="STG33" t="str">
        <f t="shared" si="468"/>
        <v/>
      </c>
      <c r="STH33" t="str">
        <f t="shared" si="468"/>
        <v/>
      </c>
      <c r="STI33" t="str">
        <f t="shared" si="468"/>
        <v/>
      </c>
      <c r="STJ33" t="str">
        <f t="shared" si="468"/>
        <v/>
      </c>
      <c r="STK33" t="str">
        <f t="shared" si="468"/>
        <v/>
      </c>
      <c r="STL33" t="str">
        <f t="shared" si="468"/>
        <v/>
      </c>
      <c r="STM33" t="str">
        <f t="shared" si="468"/>
        <v/>
      </c>
      <c r="STN33" t="str">
        <f t="shared" si="468"/>
        <v/>
      </c>
      <c r="STO33" t="str">
        <f t="shared" si="468"/>
        <v/>
      </c>
      <c r="STP33" t="str">
        <f t="shared" si="468"/>
        <v/>
      </c>
      <c r="STQ33" t="str">
        <f t="shared" si="468"/>
        <v/>
      </c>
      <c r="STR33" t="str">
        <f t="shared" si="468"/>
        <v/>
      </c>
      <c r="STS33" t="str">
        <f t="shared" si="468"/>
        <v/>
      </c>
      <c r="STT33" t="str">
        <f t="shared" si="468"/>
        <v/>
      </c>
      <c r="STU33" t="str">
        <f t="shared" si="468"/>
        <v/>
      </c>
      <c r="STV33" t="str">
        <f t="shared" si="468"/>
        <v/>
      </c>
      <c r="STW33" t="str">
        <f t="shared" si="468"/>
        <v/>
      </c>
      <c r="STX33" t="str">
        <f t="shared" si="468"/>
        <v/>
      </c>
      <c r="STY33" t="str">
        <f t="shared" ref="STY33:SWJ33" si="469">TRIM(SUP17)</f>
        <v/>
      </c>
      <c r="STZ33" t="str">
        <f t="shared" si="469"/>
        <v/>
      </c>
      <c r="SUA33" t="str">
        <f t="shared" si="469"/>
        <v/>
      </c>
      <c r="SUB33" t="str">
        <f t="shared" si="469"/>
        <v/>
      </c>
      <c r="SUC33" t="str">
        <f t="shared" si="469"/>
        <v/>
      </c>
      <c r="SUD33" t="str">
        <f t="shared" si="469"/>
        <v/>
      </c>
      <c r="SUE33" t="str">
        <f t="shared" si="469"/>
        <v/>
      </c>
      <c r="SUF33" t="str">
        <f t="shared" si="469"/>
        <v/>
      </c>
      <c r="SUG33" t="str">
        <f t="shared" si="469"/>
        <v/>
      </c>
      <c r="SUH33" t="str">
        <f t="shared" si="469"/>
        <v/>
      </c>
      <c r="SUI33" t="str">
        <f t="shared" si="469"/>
        <v/>
      </c>
      <c r="SUJ33" t="str">
        <f t="shared" si="469"/>
        <v/>
      </c>
      <c r="SUK33" t="str">
        <f t="shared" si="469"/>
        <v/>
      </c>
      <c r="SUL33" t="str">
        <f t="shared" si="469"/>
        <v/>
      </c>
      <c r="SUM33" t="str">
        <f t="shared" si="469"/>
        <v/>
      </c>
      <c r="SUN33" t="str">
        <f t="shared" si="469"/>
        <v/>
      </c>
      <c r="SUO33" t="str">
        <f t="shared" si="469"/>
        <v/>
      </c>
      <c r="SUP33" t="str">
        <f t="shared" si="469"/>
        <v/>
      </c>
      <c r="SUQ33" t="str">
        <f t="shared" si="469"/>
        <v/>
      </c>
      <c r="SUR33" t="str">
        <f t="shared" si="469"/>
        <v/>
      </c>
      <c r="SUS33" t="str">
        <f t="shared" si="469"/>
        <v/>
      </c>
      <c r="SUT33" t="str">
        <f t="shared" si="469"/>
        <v/>
      </c>
      <c r="SUU33" t="str">
        <f t="shared" si="469"/>
        <v/>
      </c>
      <c r="SUV33" t="str">
        <f t="shared" si="469"/>
        <v/>
      </c>
      <c r="SUW33" t="str">
        <f t="shared" si="469"/>
        <v/>
      </c>
      <c r="SUX33" t="str">
        <f t="shared" si="469"/>
        <v/>
      </c>
      <c r="SUY33" t="str">
        <f t="shared" si="469"/>
        <v/>
      </c>
      <c r="SUZ33" t="str">
        <f t="shared" si="469"/>
        <v/>
      </c>
      <c r="SVA33" t="str">
        <f t="shared" si="469"/>
        <v/>
      </c>
      <c r="SVB33" t="str">
        <f t="shared" si="469"/>
        <v/>
      </c>
      <c r="SVC33" t="str">
        <f t="shared" si="469"/>
        <v/>
      </c>
      <c r="SVD33" t="str">
        <f t="shared" si="469"/>
        <v/>
      </c>
      <c r="SVE33" t="str">
        <f t="shared" si="469"/>
        <v/>
      </c>
      <c r="SVF33" t="str">
        <f t="shared" si="469"/>
        <v/>
      </c>
      <c r="SVG33" t="str">
        <f t="shared" si="469"/>
        <v/>
      </c>
      <c r="SVH33" t="str">
        <f t="shared" si="469"/>
        <v/>
      </c>
      <c r="SVI33" t="str">
        <f t="shared" si="469"/>
        <v/>
      </c>
      <c r="SVJ33" t="str">
        <f t="shared" si="469"/>
        <v/>
      </c>
      <c r="SVK33" t="str">
        <f t="shared" si="469"/>
        <v/>
      </c>
      <c r="SVL33" t="str">
        <f t="shared" si="469"/>
        <v/>
      </c>
      <c r="SVM33" t="str">
        <f t="shared" si="469"/>
        <v/>
      </c>
      <c r="SVN33" t="str">
        <f t="shared" si="469"/>
        <v/>
      </c>
      <c r="SVO33" t="str">
        <f t="shared" si="469"/>
        <v/>
      </c>
      <c r="SVP33" t="str">
        <f t="shared" si="469"/>
        <v/>
      </c>
      <c r="SVQ33" t="str">
        <f t="shared" si="469"/>
        <v/>
      </c>
      <c r="SVR33" t="str">
        <f t="shared" si="469"/>
        <v/>
      </c>
      <c r="SVS33" t="str">
        <f t="shared" si="469"/>
        <v/>
      </c>
      <c r="SVT33" t="str">
        <f t="shared" si="469"/>
        <v/>
      </c>
      <c r="SVU33" t="str">
        <f t="shared" si="469"/>
        <v/>
      </c>
      <c r="SVV33" t="str">
        <f t="shared" si="469"/>
        <v/>
      </c>
      <c r="SVW33" t="str">
        <f t="shared" si="469"/>
        <v/>
      </c>
      <c r="SVX33" t="str">
        <f t="shared" si="469"/>
        <v/>
      </c>
      <c r="SVY33" t="str">
        <f t="shared" si="469"/>
        <v/>
      </c>
      <c r="SVZ33" t="str">
        <f t="shared" si="469"/>
        <v/>
      </c>
      <c r="SWA33" t="str">
        <f t="shared" si="469"/>
        <v/>
      </c>
      <c r="SWB33" t="str">
        <f t="shared" si="469"/>
        <v/>
      </c>
      <c r="SWC33" t="str">
        <f t="shared" si="469"/>
        <v/>
      </c>
      <c r="SWD33" t="str">
        <f t="shared" si="469"/>
        <v/>
      </c>
      <c r="SWE33" t="str">
        <f t="shared" si="469"/>
        <v/>
      </c>
      <c r="SWF33" t="str">
        <f t="shared" si="469"/>
        <v/>
      </c>
      <c r="SWG33" t="str">
        <f t="shared" si="469"/>
        <v/>
      </c>
      <c r="SWH33" t="str">
        <f t="shared" si="469"/>
        <v/>
      </c>
      <c r="SWI33" t="str">
        <f t="shared" si="469"/>
        <v/>
      </c>
      <c r="SWJ33" t="str">
        <f t="shared" si="469"/>
        <v/>
      </c>
      <c r="SWK33" t="str">
        <f t="shared" ref="SWK33:SYV33" si="470">TRIM(SXB17)</f>
        <v/>
      </c>
      <c r="SWL33" t="str">
        <f t="shared" si="470"/>
        <v/>
      </c>
      <c r="SWM33" t="str">
        <f t="shared" si="470"/>
        <v/>
      </c>
      <c r="SWN33" t="str">
        <f t="shared" si="470"/>
        <v/>
      </c>
      <c r="SWO33" t="str">
        <f t="shared" si="470"/>
        <v/>
      </c>
      <c r="SWP33" t="str">
        <f t="shared" si="470"/>
        <v/>
      </c>
      <c r="SWQ33" t="str">
        <f t="shared" si="470"/>
        <v/>
      </c>
      <c r="SWR33" t="str">
        <f t="shared" si="470"/>
        <v/>
      </c>
      <c r="SWS33" t="str">
        <f t="shared" si="470"/>
        <v/>
      </c>
      <c r="SWT33" t="str">
        <f t="shared" si="470"/>
        <v/>
      </c>
      <c r="SWU33" t="str">
        <f t="shared" si="470"/>
        <v/>
      </c>
      <c r="SWV33" t="str">
        <f t="shared" si="470"/>
        <v/>
      </c>
      <c r="SWW33" t="str">
        <f t="shared" si="470"/>
        <v/>
      </c>
      <c r="SWX33" t="str">
        <f t="shared" si="470"/>
        <v/>
      </c>
      <c r="SWY33" t="str">
        <f t="shared" si="470"/>
        <v/>
      </c>
      <c r="SWZ33" t="str">
        <f t="shared" si="470"/>
        <v/>
      </c>
      <c r="SXA33" t="str">
        <f t="shared" si="470"/>
        <v/>
      </c>
      <c r="SXB33" t="str">
        <f t="shared" si="470"/>
        <v/>
      </c>
      <c r="SXC33" t="str">
        <f t="shared" si="470"/>
        <v/>
      </c>
      <c r="SXD33" t="str">
        <f t="shared" si="470"/>
        <v/>
      </c>
      <c r="SXE33" t="str">
        <f t="shared" si="470"/>
        <v/>
      </c>
      <c r="SXF33" t="str">
        <f t="shared" si="470"/>
        <v/>
      </c>
      <c r="SXG33" t="str">
        <f t="shared" si="470"/>
        <v/>
      </c>
      <c r="SXH33" t="str">
        <f t="shared" si="470"/>
        <v/>
      </c>
      <c r="SXI33" t="str">
        <f t="shared" si="470"/>
        <v/>
      </c>
      <c r="SXJ33" t="str">
        <f t="shared" si="470"/>
        <v/>
      </c>
      <c r="SXK33" t="str">
        <f t="shared" si="470"/>
        <v/>
      </c>
      <c r="SXL33" t="str">
        <f t="shared" si="470"/>
        <v/>
      </c>
      <c r="SXM33" t="str">
        <f t="shared" si="470"/>
        <v/>
      </c>
      <c r="SXN33" t="str">
        <f t="shared" si="470"/>
        <v/>
      </c>
      <c r="SXO33" t="str">
        <f t="shared" si="470"/>
        <v/>
      </c>
      <c r="SXP33" t="str">
        <f t="shared" si="470"/>
        <v/>
      </c>
      <c r="SXQ33" t="str">
        <f t="shared" si="470"/>
        <v/>
      </c>
      <c r="SXR33" t="str">
        <f t="shared" si="470"/>
        <v/>
      </c>
      <c r="SXS33" t="str">
        <f t="shared" si="470"/>
        <v/>
      </c>
      <c r="SXT33" t="str">
        <f t="shared" si="470"/>
        <v/>
      </c>
      <c r="SXU33" t="str">
        <f t="shared" si="470"/>
        <v/>
      </c>
      <c r="SXV33" t="str">
        <f t="shared" si="470"/>
        <v/>
      </c>
      <c r="SXW33" t="str">
        <f t="shared" si="470"/>
        <v/>
      </c>
      <c r="SXX33" t="str">
        <f t="shared" si="470"/>
        <v/>
      </c>
      <c r="SXY33" t="str">
        <f t="shared" si="470"/>
        <v/>
      </c>
      <c r="SXZ33" t="str">
        <f t="shared" si="470"/>
        <v/>
      </c>
      <c r="SYA33" t="str">
        <f t="shared" si="470"/>
        <v/>
      </c>
      <c r="SYB33" t="str">
        <f t="shared" si="470"/>
        <v/>
      </c>
      <c r="SYC33" t="str">
        <f t="shared" si="470"/>
        <v/>
      </c>
      <c r="SYD33" t="str">
        <f t="shared" si="470"/>
        <v/>
      </c>
      <c r="SYE33" t="str">
        <f t="shared" si="470"/>
        <v/>
      </c>
      <c r="SYF33" t="str">
        <f t="shared" si="470"/>
        <v/>
      </c>
      <c r="SYG33" t="str">
        <f t="shared" si="470"/>
        <v/>
      </c>
      <c r="SYH33" t="str">
        <f t="shared" si="470"/>
        <v/>
      </c>
      <c r="SYI33" t="str">
        <f t="shared" si="470"/>
        <v/>
      </c>
      <c r="SYJ33" t="str">
        <f t="shared" si="470"/>
        <v/>
      </c>
      <c r="SYK33" t="str">
        <f t="shared" si="470"/>
        <v/>
      </c>
      <c r="SYL33" t="str">
        <f t="shared" si="470"/>
        <v/>
      </c>
      <c r="SYM33" t="str">
        <f t="shared" si="470"/>
        <v/>
      </c>
      <c r="SYN33" t="str">
        <f t="shared" si="470"/>
        <v/>
      </c>
      <c r="SYO33" t="str">
        <f t="shared" si="470"/>
        <v/>
      </c>
      <c r="SYP33" t="str">
        <f t="shared" si="470"/>
        <v/>
      </c>
      <c r="SYQ33" t="str">
        <f t="shared" si="470"/>
        <v/>
      </c>
      <c r="SYR33" t="str">
        <f t="shared" si="470"/>
        <v/>
      </c>
      <c r="SYS33" t="str">
        <f t="shared" si="470"/>
        <v/>
      </c>
      <c r="SYT33" t="str">
        <f t="shared" si="470"/>
        <v/>
      </c>
      <c r="SYU33" t="str">
        <f t="shared" si="470"/>
        <v/>
      </c>
      <c r="SYV33" t="str">
        <f t="shared" si="470"/>
        <v/>
      </c>
      <c r="SYW33" t="str">
        <f t="shared" ref="SYW33:TBH33" si="471">TRIM(SZN17)</f>
        <v/>
      </c>
      <c r="SYX33" t="str">
        <f t="shared" si="471"/>
        <v/>
      </c>
      <c r="SYY33" t="str">
        <f t="shared" si="471"/>
        <v/>
      </c>
      <c r="SYZ33" t="str">
        <f t="shared" si="471"/>
        <v/>
      </c>
      <c r="SZA33" t="str">
        <f t="shared" si="471"/>
        <v/>
      </c>
      <c r="SZB33" t="str">
        <f t="shared" si="471"/>
        <v/>
      </c>
      <c r="SZC33" t="str">
        <f t="shared" si="471"/>
        <v/>
      </c>
      <c r="SZD33" t="str">
        <f t="shared" si="471"/>
        <v/>
      </c>
      <c r="SZE33" t="str">
        <f t="shared" si="471"/>
        <v/>
      </c>
      <c r="SZF33" t="str">
        <f t="shared" si="471"/>
        <v/>
      </c>
      <c r="SZG33" t="str">
        <f t="shared" si="471"/>
        <v/>
      </c>
      <c r="SZH33" t="str">
        <f t="shared" si="471"/>
        <v/>
      </c>
      <c r="SZI33" t="str">
        <f t="shared" si="471"/>
        <v/>
      </c>
      <c r="SZJ33" t="str">
        <f t="shared" si="471"/>
        <v/>
      </c>
      <c r="SZK33" t="str">
        <f t="shared" si="471"/>
        <v/>
      </c>
      <c r="SZL33" t="str">
        <f t="shared" si="471"/>
        <v/>
      </c>
      <c r="SZM33" t="str">
        <f t="shared" si="471"/>
        <v/>
      </c>
      <c r="SZN33" t="str">
        <f t="shared" si="471"/>
        <v/>
      </c>
      <c r="SZO33" t="str">
        <f t="shared" si="471"/>
        <v/>
      </c>
      <c r="SZP33" t="str">
        <f t="shared" si="471"/>
        <v/>
      </c>
      <c r="SZQ33" t="str">
        <f t="shared" si="471"/>
        <v/>
      </c>
      <c r="SZR33" t="str">
        <f t="shared" si="471"/>
        <v/>
      </c>
      <c r="SZS33" t="str">
        <f t="shared" si="471"/>
        <v/>
      </c>
      <c r="SZT33" t="str">
        <f t="shared" si="471"/>
        <v/>
      </c>
      <c r="SZU33" t="str">
        <f t="shared" si="471"/>
        <v/>
      </c>
      <c r="SZV33" t="str">
        <f t="shared" si="471"/>
        <v/>
      </c>
      <c r="SZW33" t="str">
        <f t="shared" si="471"/>
        <v/>
      </c>
      <c r="SZX33" t="str">
        <f t="shared" si="471"/>
        <v/>
      </c>
      <c r="SZY33" t="str">
        <f t="shared" si="471"/>
        <v/>
      </c>
      <c r="SZZ33" t="str">
        <f t="shared" si="471"/>
        <v/>
      </c>
      <c r="TAA33" t="str">
        <f t="shared" si="471"/>
        <v/>
      </c>
      <c r="TAB33" t="str">
        <f t="shared" si="471"/>
        <v/>
      </c>
      <c r="TAC33" t="str">
        <f t="shared" si="471"/>
        <v/>
      </c>
      <c r="TAD33" t="str">
        <f t="shared" si="471"/>
        <v/>
      </c>
      <c r="TAE33" t="str">
        <f t="shared" si="471"/>
        <v/>
      </c>
      <c r="TAF33" t="str">
        <f t="shared" si="471"/>
        <v/>
      </c>
      <c r="TAG33" t="str">
        <f t="shared" si="471"/>
        <v/>
      </c>
      <c r="TAH33" t="str">
        <f t="shared" si="471"/>
        <v/>
      </c>
      <c r="TAI33" t="str">
        <f t="shared" si="471"/>
        <v/>
      </c>
      <c r="TAJ33" t="str">
        <f t="shared" si="471"/>
        <v/>
      </c>
      <c r="TAK33" t="str">
        <f t="shared" si="471"/>
        <v/>
      </c>
      <c r="TAL33" t="str">
        <f t="shared" si="471"/>
        <v/>
      </c>
      <c r="TAM33" t="str">
        <f t="shared" si="471"/>
        <v/>
      </c>
      <c r="TAN33" t="str">
        <f t="shared" si="471"/>
        <v/>
      </c>
      <c r="TAO33" t="str">
        <f t="shared" si="471"/>
        <v/>
      </c>
      <c r="TAP33" t="str">
        <f t="shared" si="471"/>
        <v/>
      </c>
      <c r="TAQ33" t="str">
        <f t="shared" si="471"/>
        <v/>
      </c>
      <c r="TAR33" t="str">
        <f t="shared" si="471"/>
        <v/>
      </c>
      <c r="TAS33" t="str">
        <f t="shared" si="471"/>
        <v/>
      </c>
      <c r="TAT33" t="str">
        <f t="shared" si="471"/>
        <v/>
      </c>
      <c r="TAU33" t="str">
        <f t="shared" si="471"/>
        <v/>
      </c>
      <c r="TAV33" t="str">
        <f t="shared" si="471"/>
        <v/>
      </c>
      <c r="TAW33" t="str">
        <f t="shared" si="471"/>
        <v/>
      </c>
      <c r="TAX33" t="str">
        <f t="shared" si="471"/>
        <v/>
      </c>
      <c r="TAY33" t="str">
        <f t="shared" si="471"/>
        <v/>
      </c>
      <c r="TAZ33" t="str">
        <f t="shared" si="471"/>
        <v/>
      </c>
      <c r="TBA33" t="str">
        <f t="shared" si="471"/>
        <v/>
      </c>
      <c r="TBB33" t="str">
        <f t="shared" si="471"/>
        <v/>
      </c>
      <c r="TBC33" t="str">
        <f t="shared" si="471"/>
        <v/>
      </c>
      <c r="TBD33" t="str">
        <f t="shared" si="471"/>
        <v/>
      </c>
      <c r="TBE33" t="str">
        <f t="shared" si="471"/>
        <v/>
      </c>
      <c r="TBF33" t="str">
        <f t="shared" si="471"/>
        <v/>
      </c>
      <c r="TBG33" t="str">
        <f t="shared" si="471"/>
        <v/>
      </c>
      <c r="TBH33" t="str">
        <f t="shared" si="471"/>
        <v/>
      </c>
      <c r="TBI33" t="str">
        <f t="shared" ref="TBI33:TDT33" si="472">TRIM(TBZ17)</f>
        <v/>
      </c>
      <c r="TBJ33" t="str">
        <f t="shared" si="472"/>
        <v/>
      </c>
      <c r="TBK33" t="str">
        <f t="shared" si="472"/>
        <v/>
      </c>
      <c r="TBL33" t="str">
        <f t="shared" si="472"/>
        <v/>
      </c>
      <c r="TBM33" t="str">
        <f t="shared" si="472"/>
        <v/>
      </c>
      <c r="TBN33" t="str">
        <f t="shared" si="472"/>
        <v/>
      </c>
      <c r="TBO33" t="str">
        <f t="shared" si="472"/>
        <v/>
      </c>
      <c r="TBP33" t="str">
        <f t="shared" si="472"/>
        <v/>
      </c>
      <c r="TBQ33" t="str">
        <f t="shared" si="472"/>
        <v/>
      </c>
      <c r="TBR33" t="str">
        <f t="shared" si="472"/>
        <v/>
      </c>
      <c r="TBS33" t="str">
        <f t="shared" si="472"/>
        <v/>
      </c>
      <c r="TBT33" t="str">
        <f t="shared" si="472"/>
        <v/>
      </c>
      <c r="TBU33" t="str">
        <f t="shared" si="472"/>
        <v/>
      </c>
      <c r="TBV33" t="str">
        <f t="shared" si="472"/>
        <v/>
      </c>
      <c r="TBW33" t="str">
        <f t="shared" si="472"/>
        <v/>
      </c>
      <c r="TBX33" t="str">
        <f t="shared" si="472"/>
        <v/>
      </c>
      <c r="TBY33" t="str">
        <f t="shared" si="472"/>
        <v/>
      </c>
      <c r="TBZ33" t="str">
        <f t="shared" si="472"/>
        <v/>
      </c>
      <c r="TCA33" t="str">
        <f t="shared" si="472"/>
        <v/>
      </c>
      <c r="TCB33" t="str">
        <f t="shared" si="472"/>
        <v/>
      </c>
      <c r="TCC33" t="str">
        <f t="shared" si="472"/>
        <v/>
      </c>
      <c r="TCD33" t="str">
        <f t="shared" si="472"/>
        <v/>
      </c>
      <c r="TCE33" t="str">
        <f t="shared" si="472"/>
        <v/>
      </c>
      <c r="TCF33" t="str">
        <f t="shared" si="472"/>
        <v/>
      </c>
      <c r="TCG33" t="str">
        <f t="shared" si="472"/>
        <v/>
      </c>
      <c r="TCH33" t="str">
        <f t="shared" si="472"/>
        <v/>
      </c>
      <c r="TCI33" t="str">
        <f t="shared" si="472"/>
        <v/>
      </c>
      <c r="TCJ33" t="str">
        <f t="shared" si="472"/>
        <v/>
      </c>
      <c r="TCK33" t="str">
        <f t="shared" si="472"/>
        <v/>
      </c>
      <c r="TCL33" t="str">
        <f t="shared" si="472"/>
        <v/>
      </c>
      <c r="TCM33" t="str">
        <f t="shared" si="472"/>
        <v/>
      </c>
      <c r="TCN33" t="str">
        <f t="shared" si="472"/>
        <v/>
      </c>
      <c r="TCO33" t="str">
        <f t="shared" si="472"/>
        <v/>
      </c>
      <c r="TCP33" t="str">
        <f t="shared" si="472"/>
        <v/>
      </c>
      <c r="TCQ33" t="str">
        <f t="shared" si="472"/>
        <v/>
      </c>
      <c r="TCR33" t="str">
        <f t="shared" si="472"/>
        <v/>
      </c>
      <c r="TCS33" t="str">
        <f t="shared" si="472"/>
        <v/>
      </c>
      <c r="TCT33" t="str">
        <f t="shared" si="472"/>
        <v/>
      </c>
      <c r="TCU33" t="str">
        <f t="shared" si="472"/>
        <v/>
      </c>
      <c r="TCV33" t="str">
        <f t="shared" si="472"/>
        <v/>
      </c>
      <c r="TCW33" t="str">
        <f t="shared" si="472"/>
        <v/>
      </c>
      <c r="TCX33" t="str">
        <f t="shared" si="472"/>
        <v/>
      </c>
      <c r="TCY33" t="str">
        <f t="shared" si="472"/>
        <v/>
      </c>
      <c r="TCZ33" t="str">
        <f t="shared" si="472"/>
        <v/>
      </c>
      <c r="TDA33" t="str">
        <f t="shared" si="472"/>
        <v/>
      </c>
      <c r="TDB33" t="str">
        <f t="shared" si="472"/>
        <v/>
      </c>
      <c r="TDC33" t="str">
        <f t="shared" si="472"/>
        <v/>
      </c>
      <c r="TDD33" t="str">
        <f t="shared" si="472"/>
        <v/>
      </c>
      <c r="TDE33" t="str">
        <f t="shared" si="472"/>
        <v/>
      </c>
      <c r="TDF33" t="str">
        <f t="shared" si="472"/>
        <v/>
      </c>
      <c r="TDG33" t="str">
        <f t="shared" si="472"/>
        <v/>
      </c>
      <c r="TDH33" t="str">
        <f t="shared" si="472"/>
        <v/>
      </c>
      <c r="TDI33" t="str">
        <f t="shared" si="472"/>
        <v/>
      </c>
      <c r="TDJ33" t="str">
        <f t="shared" si="472"/>
        <v/>
      </c>
      <c r="TDK33" t="str">
        <f t="shared" si="472"/>
        <v/>
      </c>
      <c r="TDL33" t="str">
        <f t="shared" si="472"/>
        <v/>
      </c>
      <c r="TDM33" t="str">
        <f t="shared" si="472"/>
        <v/>
      </c>
      <c r="TDN33" t="str">
        <f t="shared" si="472"/>
        <v/>
      </c>
      <c r="TDO33" t="str">
        <f t="shared" si="472"/>
        <v/>
      </c>
      <c r="TDP33" t="str">
        <f t="shared" si="472"/>
        <v/>
      </c>
      <c r="TDQ33" t="str">
        <f t="shared" si="472"/>
        <v/>
      </c>
      <c r="TDR33" t="str">
        <f t="shared" si="472"/>
        <v/>
      </c>
      <c r="TDS33" t="str">
        <f t="shared" si="472"/>
        <v/>
      </c>
      <c r="TDT33" t="str">
        <f t="shared" si="472"/>
        <v/>
      </c>
      <c r="TDU33" t="str">
        <f t="shared" ref="TDU33:TGF33" si="473">TRIM(TEL17)</f>
        <v/>
      </c>
      <c r="TDV33" t="str">
        <f t="shared" si="473"/>
        <v/>
      </c>
      <c r="TDW33" t="str">
        <f t="shared" si="473"/>
        <v/>
      </c>
      <c r="TDX33" t="str">
        <f t="shared" si="473"/>
        <v/>
      </c>
      <c r="TDY33" t="str">
        <f t="shared" si="473"/>
        <v/>
      </c>
      <c r="TDZ33" t="str">
        <f t="shared" si="473"/>
        <v/>
      </c>
      <c r="TEA33" t="str">
        <f t="shared" si="473"/>
        <v/>
      </c>
      <c r="TEB33" t="str">
        <f t="shared" si="473"/>
        <v/>
      </c>
      <c r="TEC33" t="str">
        <f t="shared" si="473"/>
        <v/>
      </c>
      <c r="TED33" t="str">
        <f t="shared" si="473"/>
        <v/>
      </c>
      <c r="TEE33" t="str">
        <f t="shared" si="473"/>
        <v/>
      </c>
      <c r="TEF33" t="str">
        <f t="shared" si="473"/>
        <v/>
      </c>
      <c r="TEG33" t="str">
        <f t="shared" si="473"/>
        <v/>
      </c>
      <c r="TEH33" t="str">
        <f t="shared" si="473"/>
        <v/>
      </c>
      <c r="TEI33" t="str">
        <f t="shared" si="473"/>
        <v/>
      </c>
      <c r="TEJ33" t="str">
        <f t="shared" si="473"/>
        <v/>
      </c>
      <c r="TEK33" t="str">
        <f t="shared" si="473"/>
        <v/>
      </c>
      <c r="TEL33" t="str">
        <f t="shared" si="473"/>
        <v/>
      </c>
      <c r="TEM33" t="str">
        <f t="shared" si="473"/>
        <v/>
      </c>
      <c r="TEN33" t="str">
        <f t="shared" si="473"/>
        <v/>
      </c>
      <c r="TEO33" t="str">
        <f t="shared" si="473"/>
        <v/>
      </c>
      <c r="TEP33" t="str">
        <f t="shared" si="473"/>
        <v/>
      </c>
      <c r="TEQ33" t="str">
        <f t="shared" si="473"/>
        <v/>
      </c>
      <c r="TER33" t="str">
        <f t="shared" si="473"/>
        <v/>
      </c>
      <c r="TES33" t="str">
        <f t="shared" si="473"/>
        <v/>
      </c>
      <c r="TET33" t="str">
        <f t="shared" si="473"/>
        <v/>
      </c>
      <c r="TEU33" t="str">
        <f t="shared" si="473"/>
        <v/>
      </c>
      <c r="TEV33" t="str">
        <f t="shared" si="473"/>
        <v/>
      </c>
      <c r="TEW33" t="str">
        <f t="shared" si="473"/>
        <v/>
      </c>
      <c r="TEX33" t="str">
        <f t="shared" si="473"/>
        <v/>
      </c>
      <c r="TEY33" t="str">
        <f t="shared" si="473"/>
        <v/>
      </c>
      <c r="TEZ33" t="str">
        <f t="shared" si="473"/>
        <v/>
      </c>
      <c r="TFA33" t="str">
        <f t="shared" si="473"/>
        <v/>
      </c>
      <c r="TFB33" t="str">
        <f t="shared" si="473"/>
        <v/>
      </c>
      <c r="TFC33" t="str">
        <f t="shared" si="473"/>
        <v/>
      </c>
      <c r="TFD33" t="str">
        <f t="shared" si="473"/>
        <v/>
      </c>
      <c r="TFE33" t="str">
        <f t="shared" si="473"/>
        <v/>
      </c>
      <c r="TFF33" t="str">
        <f t="shared" si="473"/>
        <v/>
      </c>
      <c r="TFG33" t="str">
        <f t="shared" si="473"/>
        <v/>
      </c>
      <c r="TFH33" t="str">
        <f t="shared" si="473"/>
        <v/>
      </c>
      <c r="TFI33" t="str">
        <f t="shared" si="473"/>
        <v/>
      </c>
      <c r="TFJ33" t="str">
        <f t="shared" si="473"/>
        <v/>
      </c>
      <c r="TFK33" t="str">
        <f t="shared" si="473"/>
        <v/>
      </c>
      <c r="TFL33" t="str">
        <f t="shared" si="473"/>
        <v/>
      </c>
      <c r="TFM33" t="str">
        <f t="shared" si="473"/>
        <v/>
      </c>
      <c r="TFN33" t="str">
        <f t="shared" si="473"/>
        <v/>
      </c>
      <c r="TFO33" t="str">
        <f t="shared" si="473"/>
        <v/>
      </c>
      <c r="TFP33" t="str">
        <f t="shared" si="473"/>
        <v/>
      </c>
      <c r="TFQ33" t="str">
        <f t="shared" si="473"/>
        <v/>
      </c>
      <c r="TFR33" t="str">
        <f t="shared" si="473"/>
        <v/>
      </c>
      <c r="TFS33" t="str">
        <f t="shared" si="473"/>
        <v/>
      </c>
      <c r="TFT33" t="str">
        <f t="shared" si="473"/>
        <v/>
      </c>
      <c r="TFU33" t="str">
        <f t="shared" si="473"/>
        <v/>
      </c>
      <c r="TFV33" t="str">
        <f t="shared" si="473"/>
        <v/>
      </c>
      <c r="TFW33" t="str">
        <f t="shared" si="473"/>
        <v/>
      </c>
      <c r="TFX33" t="str">
        <f t="shared" si="473"/>
        <v/>
      </c>
      <c r="TFY33" t="str">
        <f t="shared" si="473"/>
        <v/>
      </c>
      <c r="TFZ33" t="str">
        <f t="shared" si="473"/>
        <v/>
      </c>
      <c r="TGA33" t="str">
        <f t="shared" si="473"/>
        <v/>
      </c>
      <c r="TGB33" t="str">
        <f t="shared" si="473"/>
        <v/>
      </c>
      <c r="TGC33" t="str">
        <f t="shared" si="473"/>
        <v/>
      </c>
      <c r="TGD33" t="str">
        <f t="shared" si="473"/>
        <v/>
      </c>
      <c r="TGE33" t="str">
        <f t="shared" si="473"/>
        <v/>
      </c>
      <c r="TGF33" t="str">
        <f t="shared" si="473"/>
        <v/>
      </c>
      <c r="TGG33" t="str">
        <f t="shared" ref="TGG33:TIR33" si="474">TRIM(TGX17)</f>
        <v/>
      </c>
      <c r="TGH33" t="str">
        <f t="shared" si="474"/>
        <v/>
      </c>
      <c r="TGI33" t="str">
        <f t="shared" si="474"/>
        <v/>
      </c>
      <c r="TGJ33" t="str">
        <f t="shared" si="474"/>
        <v/>
      </c>
      <c r="TGK33" t="str">
        <f t="shared" si="474"/>
        <v/>
      </c>
      <c r="TGL33" t="str">
        <f t="shared" si="474"/>
        <v/>
      </c>
      <c r="TGM33" t="str">
        <f t="shared" si="474"/>
        <v/>
      </c>
      <c r="TGN33" t="str">
        <f t="shared" si="474"/>
        <v/>
      </c>
      <c r="TGO33" t="str">
        <f t="shared" si="474"/>
        <v/>
      </c>
      <c r="TGP33" t="str">
        <f t="shared" si="474"/>
        <v/>
      </c>
      <c r="TGQ33" t="str">
        <f t="shared" si="474"/>
        <v/>
      </c>
      <c r="TGR33" t="str">
        <f t="shared" si="474"/>
        <v/>
      </c>
      <c r="TGS33" t="str">
        <f t="shared" si="474"/>
        <v/>
      </c>
      <c r="TGT33" t="str">
        <f t="shared" si="474"/>
        <v/>
      </c>
      <c r="TGU33" t="str">
        <f t="shared" si="474"/>
        <v/>
      </c>
      <c r="TGV33" t="str">
        <f t="shared" si="474"/>
        <v/>
      </c>
      <c r="TGW33" t="str">
        <f t="shared" si="474"/>
        <v/>
      </c>
      <c r="TGX33" t="str">
        <f t="shared" si="474"/>
        <v/>
      </c>
      <c r="TGY33" t="str">
        <f t="shared" si="474"/>
        <v/>
      </c>
      <c r="TGZ33" t="str">
        <f t="shared" si="474"/>
        <v/>
      </c>
      <c r="THA33" t="str">
        <f t="shared" si="474"/>
        <v/>
      </c>
      <c r="THB33" t="str">
        <f t="shared" si="474"/>
        <v/>
      </c>
      <c r="THC33" t="str">
        <f t="shared" si="474"/>
        <v/>
      </c>
      <c r="THD33" t="str">
        <f t="shared" si="474"/>
        <v/>
      </c>
      <c r="THE33" t="str">
        <f t="shared" si="474"/>
        <v/>
      </c>
      <c r="THF33" t="str">
        <f t="shared" si="474"/>
        <v/>
      </c>
      <c r="THG33" t="str">
        <f t="shared" si="474"/>
        <v/>
      </c>
      <c r="THH33" t="str">
        <f t="shared" si="474"/>
        <v/>
      </c>
      <c r="THI33" t="str">
        <f t="shared" si="474"/>
        <v/>
      </c>
      <c r="THJ33" t="str">
        <f t="shared" si="474"/>
        <v/>
      </c>
      <c r="THK33" t="str">
        <f t="shared" si="474"/>
        <v/>
      </c>
      <c r="THL33" t="str">
        <f t="shared" si="474"/>
        <v/>
      </c>
      <c r="THM33" t="str">
        <f t="shared" si="474"/>
        <v/>
      </c>
      <c r="THN33" t="str">
        <f t="shared" si="474"/>
        <v/>
      </c>
      <c r="THO33" t="str">
        <f t="shared" si="474"/>
        <v/>
      </c>
      <c r="THP33" t="str">
        <f t="shared" si="474"/>
        <v/>
      </c>
      <c r="THQ33" t="str">
        <f t="shared" si="474"/>
        <v/>
      </c>
      <c r="THR33" t="str">
        <f t="shared" si="474"/>
        <v/>
      </c>
      <c r="THS33" t="str">
        <f t="shared" si="474"/>
        <v/>
      </c>
      <c r="THT33" t="str">
        <f t="shared" si="474"/>
        <v/>
      </c>
      <c r="THU33" t="str">
        <f t="shared" si="474"/>
        <v/>
      </c>
      <c r="THV33" t="str">
        <f t="shared" si="474"/>
        <v/>
      </c>
      <c r="THW33" t="str">
        <f t="shared" si="474"/>
        <v/>
      </c>
      <c r="THX33" t="str">
        <f t="shared" si="474"/>
        <v/>
      </c>
      <c r="THY33" t="str">
        <f t="shared" si="474"/>
        <v/>
      </c>
      <c r="THZ33" t="str">
        <f t="shared" si="474"/>
        <v/>
      </c>
      <c r="TIA33" t="str">
        <f t="shared" si="474"/>
        <v/>
      </c>
      <c r="TIB33" t="str">
        <f t="shared" si="474"/>
        <v/>
      </c>
      <c r="TIC33" t="str">
        <f t="shared" si="474"/>
        <v/>
      </c>
      <c r="TID33" t="str">
        <f t="shared" si="474"/>
        <v/>
      </c>
      <c r="TIE33" t="str">
        <f t="shared" si="474"/>
        <v/>
      </c>
      <c r="TIF33" t="str">
        <f t="shared" si="474"/>
        <v/>
      </c>
      <c r="TIG33" t="str">
        <f t="shared" si="474"/>
        <v/>
      </c>
      <c r="TIH33" t="str">
        <f t="shared" si="474"/>
        <v/>
      </c>
      <c r="TII33" t="str">
        <f t="shared" si="474"/>
        <v/>
      </c>
      <c r="TIJ33" t="str">
        <f t="shared" si="474"/>
        <v/>
      </c>
      <c r="TIK33" t="str">
        <f t="shared" si="474"/>
        <v/>
      </c>
      <c r="TIL33" t="str">
        <f t="shared" si="474"/>
        <v/>
      </c>
      <c r="TIM33" t="str">
        <f t="shared" si="474"/>
        <v/>
      </c>
      <c r="TIN33" t="str">
        <f t="shared" si="474"/>
        <v/>
      </c>
      <c r="TIO33" t="str">
        <f t="shared" si="474"/>
        <v/>
      </c>
      <c r="TIP33" t="str">
        <f t="shared" si="474"/>
        <v/>
      </c>
      <c r="TIQ33" t="str">
        <f t="shared" si="474"/>
        <v/>
      </c>
      <c r="TIR33" t="str">
        <f t="shared" si="474"/>
        <v/>
      </c>
      <c r="TIS33" t="str">
        <f t="shared" ref="TIS33:TLD33" si="475">TRIM(TJJ17)</f>
        <v/>
      </c>
      <c r="TIT33" t="str">
        <f t="shared" si="475"/>
        <v/>
      </c>
      <c r="TIU33" t="str">
        <f t="shared" si="475"/>
        <v/>
      </c>
      <c r="TIV33" t="str">
        <f t="shared" si="475"/>
        <v/>
      </c>
      <c r="TIW33" t="str">
        <f t="shared" si="475"/>
        <v/>
      </c>
      <c r="TIX33" t="str">
        <f t="shared" si="475"/>
        <v/>
      </c>
      <c r="TIY33" t="str">
        <f t="shared" si="475"/>
        <v/>
      </c>
      <c r="TIZ33" t="str">
        <f t="shared" si="475"/>
        <v/>
      </c>
      <c r="TJA33" t="str">
        <f t="shared" si="475"/>
        <v/>
      </c>
      <c r="TJB33" t="str">
        <f t="shared" si="475"/>
        <v/>
      </c>
      <c r="TJC33" t="str">
        <f t="shared" si="475"/>
        <v/>
      </c>
      <c r="TJD33" t="str">
        <f t="shared" si="475"/>
        <v/>
      </c>
      <c r="TJE33" t="str">
        <f t="shared" si="475"/>
        <v/>
      </c>
      <c r="TJF33" t="str">
        <f t="shared" si="475"/>
        <v/>
      </c>
      <c r="TJG33" t="str">
        <f t="shared" si="475"/>
        <v/>
      </c>
      <c r="TJH33" t="str">
        <f t="shared" si="475"/>
        <v/>
      </c>
      <c r="TJI33" t="str">
        <f t="shared" si="475"/>
        <v/>
      </c>
      <c r="TJJ33" t="str">
        <f t="shared" si="475"/>
        <v/>
      </c>
      <c r="TJK33" t="str">
        <f t="shared" si="475"/>
        <v/>
      </c>
      <c r="TJL33" t="str">
        <f t="shared" si="475"/>
        <v/>
      </c>
      <c r="TJM33" t="str">
        <f t="shared" si="475"/>
        <v/>
      </c>
      <c r="TJN33" t="str">
        <f t="shared" si="475"/>
        <v/>
      </c>
      <c r="TJO33" t="str">
        <f t="shared" si="475"/>
        <v/>
      </c>
      <c r="TJP33" t="str">
        <f t="shared" si="475"/>
        <v/>
      </c>
      <c r="TJQ33" t="str">
        <f t="shared" si="475"/>
        <v/>
      </c>
      <c r="TJR33" t="str">
        <f t="shared" si="475"/>
        <v/>
      </c>
      <c r="TJS33" t="str">
        <f t="shared" si="475"/>
        <v/>
      </c>
      <c r="TJT33" t="str">
        <f t="shared" si="475"/>
        <v/>
      </c>
      <c r="TJU33" t="str">
        <f t="shared" si="475"/>
        <v/>
      </c>
      <c r="TJV33" t="str">
        <f t="shared" si="475"/>
        <v/>
      </c>
      <c r="TJW33" t="str">
        <f t="shared" si="475"/>
        <v/>
      </c>
      <c r="TJX33" t="str">
        <f t="shared" si="475"/>
        <v/>
      </c>
      <c r="TJY33" t="str">
        <f t="shared" si="475"/>
        <v/>
      </c>
      <c r="TJZ33" t="str">
        <f t="shared" si="475"/>
        <v/>
      </c>
      <c r="TKA33" t="str">
        <f t="shared" si="475"/>
        <v/>
      </c>
      <c r="TKB33" t="str">
        <f t="shared" si="475"/>
        <v/>
      </c>
      <c r="TKC33" t="str">
        <f t="shared" si="475"/>
        <v/>
      </c>
      <c r="TKD33" t="str">
        <f t="shared" si="475"/>
        <v/>
      </c>
      <c r="TKE33" t="str">
        <f t="shared" si="475"/>
        <v/>
      </c>
      <c r="TKF33" t="str">
        <f t="shared" si="475"/>
        <v/>
      </c>
      <c r="TKG33" t="str">
        <f t="shared" si="475"/>
        <v/>
      </c>
      <c r="TKH33" t="str">
        <f t="shared" si="475"/>
        <v/>
      </c>
      <c r="TKI33" t="str">
        <f t="shared" si="475"/>
        <v/>
      </c>
      <c r="TKJ33" t="str">
        <f t="shared" si="475"/>
        <v/>
      </c>
      <c r="TKK33" t="str">
        <f t="shared" si="475"/>
        <v/>
      </c>
      <c r="TKL33" t="str">
        <f t="shared" si="475"/>
        <v/>
      </c>
      <c r="TKM33" t="str">
        <f t="shared" si="475"/>
        <v/>
      </c>
      <c r="TKN33" t="str">
        <f t="shared" si="475"/>
        <v/>
      </c>
      <c r="TKO33" t="str">
        <f t="shared" si="475"/>
        <v/>
      </c>
      <c r="TKP33" t="str">
        <f t="shared" si="475"/>
        <v/>
      </c>
      <c r="TKQ33" t="str">
        <f t="shared" si="475"/>
        <v/>
      </c>
      <c r="TKR33" t="str">
        <f t="shared" si="475"/>
        <v/>
      </c>
      <c r="TKS33" t="str">
        <f t="shared" si="475"/>
        <v/>
      </c>
      <c r="TKT33" t="str">
        <f t="shared" si="475"/>
        <v/>
      </c>
      <c r="TKU33" t="str">
        <f t="shared" si="475"/>
        <v/>
      </c>
      <c r="TKV33" t="str">
        <f t="shared" si="475"/>
        <v/>
      </c>
      <c r="TKW33" t="str">
        <f t="shared" si="475"/>
        <v/>
      </c>
      <c r="TKX33" t="str">
        <f t="shared" si="475"/>
        <v/>
      </c>
      <c r="TKY33" t="str">
        <f t="shared" si="475"/>
        <v/>
      </c>
      <c r="TKZ33" t="str">
        <f t="shared" si="475"/>
        <v/>
      </c>
      <c r="TLA33" t="str">
        <f t="shared" si="475"/>
        <v/>
      </c>
      <c r="TLB33" t="str">
        <f t="shared" si="475"/>
        <v/>
      </c>
      <c r="TLC33" t="str">
        <f t="shared" si="475"/>
        <v/>
      </c>
      <c r="TLD33" t="str">
        <f t="shared" si="475"/>
        <v/>
      </c>
      <c r="TLE33" t="str">
        <f t="shared" ref="TLE33:TNP33" si="476">TRIM(TLV17)</f>
        <v/>
      </c>
      <c r="TLF33" t="str">
        <f t="shared" si="476"/>
        <v/>
      </c>
      <c r="TLG33" t="str">
        <f t="shared" si="476"/>
        <v/>
      </c>
      <c r="TLH33" t="str">
        <f t="shared" si="476"/>
        <v/>
      </c>
      <c r="TLI33" t="str">
        <f t="shared" si="476"/>
        <v/>
      </c>
      <c r="TLJ33" t="str">
        <f t="shared" si="476"/>
        <v/>
      </c>
      <c r="TLK33" t="str">
        <f t="shared" si="476"/>
        <v/>
      </c>
      <c r="TLL33" t="str">
        <f t="shared" si="476"/>
        <v/>
      </c>
      <c r="TLM33" t="str">
        <f t="shared" si="476"/>
        <v/>
      </c>
      <c r="TLN33" t="str">
        <f t="shared" si="476"/>
        <v/>
      </c>
      <c r="TLO33" t="str">
        <f t="shared" si="476"/>
        <v/>
      </c>
      <c r="TLP33" t="str">
        <f t="shared" si="476"/>
        <v/>
      </c>
      <c r="TLQ33" t="str">
        <f t="shared" si="476"/>
        <v/>
      </c>
      <c r="TLR33" t="str">
        <f t="shared" si="476"/>
        <v/>
      </c>
      <c r="TLS33" t="str">
        <f t="shared" si="476"/>
        <v/>
      </c>
      <c r="TLT33" t="str">
        <f t="shared" si="476"/>
        <v/>
      </c>
      <c r="TLU33" t="str">
        <f t="shared" si="476"/>
        <v/>
      </c>
      <c r="TLV33" t="str">
        <f t="shared" si="476"/>
        <v/>
      </c>
      <c r="TLW33" t="str">
        <f t="shared" si="476"/>
        <v/>
      </c>
      <c r="TLX33" t="str">
        <f t="shared" si="476"/>
        <v/>
      </c>
      <c r="TLY33" t="str">
        <f t="shared" si="476"/>
        <v/>
      </c>
      <c r="TLZ33" t="str">
        <f t="shared" si="476"/>
        <v/>
      </c>
      <c r="TMA33" t="str">
        <f t="shared" si="476"/>
        <v/>
      </c>
      <c r="TMB33" t="str">
        <f t="shared" si="476"/>
        <v/>
      </c>
      <c r="TMC33" t="str">
        <f t="shared" si="476"/>
        <v/>
      </c>
      <c r="TMD33" t="str">
        <f t="shared" si="476"/>
        <v/>
      </c>
      <c r="TME33" t="str">
        <f t="shared" si="476"/>
        <v/>
      </c>
      <c r="TMF33" t="str">
        <f t="shared" si="476"/>
        <v/>
      </c>
      <c r="TMG33" t="str">
        <f t="shared" si="476"/>
        <v/>
      </c>
      <c r="TMH33" t="str">
        <f t="shared" si="476"/>
        <v/>
      </c>
      <c r="TMI33" t="str">
        <f t="shared" si="476"/>
        <v/>
      </c>
      <c r="TMJ33" t="str">
        <f t="shared" si="476"/>
        <v/>
      </c>
      <c r="TMK33" t="str">
        <f t="shared" si="476"/>
        <v/>
      </c>
      <c r="TML33" t="str">
        <f t="shared" si="476"/>
        <v/>
      </c>
      <c r="TMM33" t="str">
        <f t="shared" si="476"/>
        <v/>
      </c>
      <c r="TMN33" t="str">
        <f t="shared" si="476"/>
        <v/>
      </c>
      <c r="TMO33" t="str">
        <f t="shared" si="476"/>
        <v/>
      </c>
      <c r="TMP33" t="str">
        <f t="shared" si="476"/>
        <v/>
      </c>
      <c r="TMQ33" t="str">
        <f t="shared" si="476"/>
        <v/>
      </c>
      <c r="TMR33" t="str">
        <f t="shared" si="476"/>
        <v/>
      </c>
      <c r="TMS33" t="str">
        <f t="shared" si="476"/>
        <v/>
      </c>
      <c r="TMT33" t="str">
        <f t="shared" si="476"/>
        <v/>
      </c>
      <c r="TMU33" t="str">
        <f t="shared" si="476"/>
        <v/>
      </c>
      <c r="TMV33" t="str">
        <f t="shared" si="476"/>
        <v/>
      </c>
      <c r="TMW33" t="str">
        <f t="shared" si="476"/>
        <v/>
      </c>
      <c r="TMX33" t="str">
        <f t="shared" si="476"/>
        <v/>
      </c>
      <c r="TMY33" t="str">
        <f t="shared" si="476"/>
        <v/>
      </c>
      <c r="TMZ33" t="str">
        <f t="shared" si="476"/>
        <v/>
      </c>
      <c r="TNA33" t="str">
        <f t="shared" si="476"/>
        <v/>
      </c>
      <c r="TNB33" t="str">
        <f t="shared" si="476"/>
        <v/>
      </c>
      <c r="TNC33" t="str">
        <f t="shared" si="476"/>
        <v/>
      </c>
      <c r="TND33" t="str">
        <f t="shared" si="476"/>
        <v/>
      </c>
      <c r="TNE33" t="str">
        <f t="shared" si="476"/>
        <v/>
      </c>
      <c r="TNF33" t="str">
        <f t="shared" si="476"/>
        <v/>
      </c>
      <c r="TNG33" t="str">
        <f t="shared" si="476"/>
        <v/>
      </c>
      <c r="TNH33" t="str">
        <f t="shared" si="476"/>
        <v/>
      </c>
      <c r="TNI33" t="str">
        <f t="shared" si="476"/>
        <v/>
      </c>
      <c r="TNJ33" t="str">
        <f t="shared" si="476"/>
        <v/>
      </c>
      <c r="TNK33" t="str">
        <f t="shared" si="476"/>
        <v/>
      </c>
      <c r="TNL33" t="str">
        <f t="shared" si="476"/>
        <v/>
      </c>
      <c r="TNM33" t="str">
        <f t="shared" si="476"/>
        <v/>
      </c>
      <c r="TNN33" t="str">
        <f t="shared" si="476"/>
        <v/>
      </c>
      <c r="TNO33" t="str">
        <f t="shared" si="476"/>
        <v/>
      </c>
      <c r="TNP33" t="str">
        <f t="shared" si="476"/>
        <v/>
      </c>
      <c r="TNQ33" t="str">
        <f t="shared" ref="TNQ33:TQB33" si="477">TRIM(TOH17)</f>
        <v/>
      </c>
      <c r="TNR33" t="str">
        <f t="shared" si="477"/>
        <v/>
      </c>
      <c r="TNS33" t="str">
        <f t="shared" si="477"/>
        <v/>
      </c>
      <c r="TNT33" t="str">
        <f t="shared" si="477"/>
        <v/>
      </c>
      <c r="TNU33" t="str">
        <f t="shared" si="477"/>
        <v/>
      </c>
      <c r="TNV33" t="str">
        <f t="shared" si="477"/>
        <v/>
      </c>
      <c r="TNW33" t="str">
        <f t="shared" si="477"/>
        <v/>
      </c>
      <c r="TNX33" t="str">
        <f t="shared" si="477"/>
        <v/>
      </c>
      <c r="TNY33" t="str">
        <f t="shared" si="477"/>
        <v/>
      </c>
      <c r="TNZ33" t="str">
        <f t="shared" si="477"/>
        <v/>
      </c>
      <c r="TOA33" t="str">
        <f t="shared" si="477"/>
        <v/>
      </c>
      <c r="TOB33" t="str">
        <f t="shared" si="477"/>
        <v/>
      </c>
      <c r="TOC33" t="str">
        <f t="shared" si="477"/>
        <v/>
      </c>
      <c r="TOD33" t="str">
        <f t="shared" si="477"/>
        <v/>
      </c>
      <c r="TOE33" t="str">
        <f t="shared" si="477"/>
        <v/>
      </c>
      <c r="TOF33" t="str">
        <f t="shared" si="477"/>
        <v/>
      </c>
      <c r="TOG33" t="str">
        <f t="shared" si="477"/>
        <v/>
      </c>
      <c r="TOH33" t="str">
        <f t="shared" si="477"/>
        <v/>
      </c>
      <c r="TOI33" t="str">
        <f t="shared" si="477"/>
        <v/>
      </c>
      <c r="TOJ33" t="str">
        <f t="shared" si="477"/>
        <v/>
      </c>
      <c r="TOK33" t="str">
        <f t="shared" si="477"/>
        <v/>
      </c>
      <c r="TOL33" t="str">
        <f t="shared" si="477"/>
        <v/>
      </c>
      <c r="TOM33" t="str">
        <f t="shared" si="477"/>
        <v/>
      </c>
      <c r="TON33" t="str">
        <f t="shared" si="477"/>
        <v/>
      </c>
      <c r="TOO33" t="str">
        <f t="shared" si="477"/>
        <v/>
      </c>
      <c r="TOP33" t="str">
        <f t="shared" si="477"/>
        <v/>
      </c>
      <c r="TOQ33" t="str">
        <f t="shared" si="477"/>
        <v/>
      </c>
      <c r="TOR33" t="str">
        <f t="shared" si="477"/>
        <v/>
      </c>
      <c r="TOS33" t="str">
        <f t="shared" si="477"/>
        <v/>
      </c>
      <c r="TOT33" t="str">
        <f t="shared" si="477"/>
        <v/>
      </c>
      <c r="TOU33" t="str">
        <f t="shared" si="477"/>
        <v/>
      </c>
      <c r="TOV33" t="str">
        <f t="shared" si="477"/>
        <v/>
      </c>
      <c r="TOW33" t="str">
        <f t="shared" si="477"/>
        <v/>
      </c>
      <c r="TOX33" t="str">
        <f t="shared" si="477"/>
        <v/>
      </c>
      <c r="TOY33" t="str">
        <f t="shared" si="477"/>
        <v/>
      </c>
      <c r="TOZ33" t="str">
        <f t="shared" si="477"/>
        <v/>
      </c>
      <c r="TPA33" t="str">
        <f t="shared" si="477"/>
        <v/>
      </c>
      <c r="TPB33" t="str">
        <f t="shared" si="477"/>
        <v/>
      </c>
      <c r="TPC33" t="str">
        <f t="shared" si="477"/>
        <v/>
      </c>
      <c r="TPD33" t="str">
        <f t="shared" si="477"/>
        <v/>
      </c>
      <c r="TPE33" t="str">
        <f t="shared" si="477"/>
        <v/>
      </c>
      <c r="TPF33" t="str">
        <f t="shared" si="477"/>
        <v/>
      </c>
      <c r="TPG33" t="str">
        <f t="shared" si="477"/>
        <v/>
      </c>
      <c r="TPH33" t="str">
        <f t="shared" si="477"/>
        <v/>
      </c>
      <c r="TPI33" t="str">
        <f t="shared" si="477"/>
        <v/>
      </c>
      <c r="TPJ33" t="str">
        <f t="shared" si="477"/>
        <v/>
      </c>
      <c r="TPK33" t="str">
        <f t="shared" si="477"/>
        <v/>
      </c>
      <c r="TPL33" t="str">
        <f t="shared" si="477"/>
        <v/>
      </c>
      <c r="TPM33" t="str">
        <f t="shared" si="477"/>
        <v/>
      </c>
      <c r="TPN33" t="str">
        <f t="shared" si="477"/>
        <v/>
      </c>
      <c r="TPO33" t="str">
        <f t="shared" si="477"/>
        <v/>
      </c>
      <c r="TPP33" t="str">
        <f t="shared" si="477"/>
        <v/>
      </c>
      <c r="TPQ33" t="str">
        <f t="shared" si="477"/>
        <v/>
      </c>
      <c r="TPR33" t="str">
        <f t="shared" si="477"/>
        <v/>
      </c>
      <c r="TPS33" t="str">
        <f t="shared" si="477"/>
        <v/>
      </c>
      <c r="TPT33" t="str">
        <f t="shared" si="477"/>
        <v/>
      </c>
      <c r="TPU33" t="str">
        <f t="shared" si="477"/>
        <v/>
      </c>
      <c r="TPV33" t="str">
        <f t="shared" si="477"/>
        <v/>
      </c>
      <c r="TPW33" t="str">
        <f t="shared" si="477"/>
        <v/>
      </c>
      <c r="TPX33" t="str">
        <f t="shared" si="477"/>
        <v/>
      </c>
      <c r="TPY33" t="str">
        <f t="shared" si="477"/>
        <v/>
      </c>
      <c r="TPZ33" t="str">
        <f t="shared" si="477"/>
        <v/>
      </c>
      <c r="TQA33" t="str">
        <f t="shared" si="477"/>
        <v/>
      </c>
      <c r="TQB33" t="str">
        <f t="shared" si="477"/>
        <v/>
      </c>
      <c r="TQC33" t="str">
        <f t="shared" ref="TQC33:TSN33" si="478">TRIM(TQT17)</f>
        <v/>
      </c>
      <c r="TQD33" t="str">
        <f t="shared" si="478"/>
        <v/>
      </c>
      <c r="TQE33" t="str">
        <f t="shared" si="478"/>
        <v/>
      </c>
      <c r="TQF33" t="str">
        <f t="shared" si="478"/>
        <v/>
      </c>
      <c r="TQG33" t="str">
        <f t="shared" si="478"/>
        <v/>
      </c>
      <c r="TQH33" t="str">
        <f t="shared" si="478"/>
        <v/>
      </c>
      <c r="TQI33" t="str">
        <f t="shared" si="478"/>
        <v/>
      </c>
      <c r="TQJ33" t="str">
        <f t="shared" si="478"/>
        <v/>
      </c>
      <c r="TQK33" t="str">
        <f t="shared" si="478"/>
        <v/>
      </c>
      <c r="TQL33" t="str">
        <f t="shared" si="478"/>
        <v/>
      </c>
      <c r="TQM33" t="str">
        <f t="shared" si="478"/>
        <v/>
      </c>
      <c r="TQN33" t="str">
        <f t="shared" si="478"/>
        <v/>
      </c>
      <c r="TQO33" t="str">
        <f t="shared" si="478"/>
        <v/>
      </c>
      <c r="TQP33" t="str">
        <f t="shared" si="478"/>
        <v/>
      </c>
      <c r="TQQ33" t="str">
        <f t="shared" si="478"/>
        <v/>
      </c>
      <c r="TQR33" t="str">
        <f t="shared" si="478"/>
        <v/>
      </c>
      <c r="TQS33" t="str">
        <f t="shared" si="478"/>
        <v/>
      </c>
      <c r="TQT33" t="str">
        <f t="shared" si="478"/>
        <v/>
      </c>
      <c r="TQU33" t="str">
        <f t="shared" si="478"/>
        <v/>
      </c>
      <c r="TQV33" t="str">
        <f t="shared" si="478"/>
        <v/>
      </c>
      <c r="TQW33" t="str">
        <f t="shared" si="478"/>
        <v/>
      </c>
      <c r="TQX33" t="str">
        <f t="shared" si="478"/>
        <v/>
      </c>
      <c r="TQY33" t="str">
        <f t="shared" si="478"/>
        <v/>
      </c>
      <c r="TQZ33" t="str">
        <f t="shared" si="478"/>
        <v/>
      </c>
      <c r="TRA33" t="str">
        <f t="shared" si="478"/>
        <v/>
      </c>
      <c r="TRB33" t="str">
        <f t="shared" si="478"/>
        <v/>
      </c>
      <c r="TRC33" t="str">
        <f t="shared" si="478"/>
        <v/>
      </c>
      <c r="TRD33" t="str">
        <f t="shared" si="478"/>
        <v/>
      </c>
      <c r="TRE33" t="str">
        <f t="shared" si="478"/>
        <v/>
      </c>
      <c r="TRF33" t="str">
        <f t="shared" si="478"/>
        <v/>
      </c>
      <c r="TRG33" t="str">
        <f t="shared" si="478"/>
        <v/>
      </c>
      <c r="TRH33" t="str">
        <f t="shared" si="478"/>
        <v/>
      </c>
      <c r="TRI33" t="str">
        <f t="shared" si="478"/>
        <v/>
      </c>
      <c r="TRJ33" t="str">
        <f t="shared" si="478"/>
        <v/>
      </c>
      <c r="TRK33" t="str">
        <f t="shared" si="478"/>
        <v/>
      </c>
      <c r="TRL33" t="str">
        <f t="shared" si="478"/>
        <v/>
      </c>
      <c r="TRM33" t="str">
        <f t="shared" si="478"/>
        <v/>
      </c>
      <c r="TRN33" t="str">
        <f t="shared" si="478"/>
        <v/>
      </c>
      <c r="TRO33" t="str">
        <f t="shared" si="478"/>
        <v/>
      </c>
      <c r="TRP33" t="str">
        <f t="shared" si="478"/>
        <v/>
      </c>
      <c r="TRQ33" t="str">
        <f t="shared" si="478"/>
        <v/>
      </c>
      <c r="TRR33" t="str">
        <f t="shared" si="478"/>
        <v/>
      </c>
      <c r="TRS33" t="str">
        <f t="shared" si="478"/>
        <v/>
      </c>
      <c r="TRT33" t="str">
        <f t="shared" si="478"/>
        <v/>
      </c>
      <c r="TRU33" t="str">
        <f t="shared" si="478"/>
        <v/>
      </c>
      <c r="TRV33" t="str">
        <f t="shared" si="478"/>
        <v/>
      </c>
      <c r="TRW33" t="str">
        <f t="shared" si="478"/>
        <v/>
      </c>
      <c r="TRX33" t="str">
        <f t="shared" si="478"/>
        <v/>
      </c>
      <c r="TRY33" t="str">
        <f t="shared" si="478"/>
        <v/>
      </c>
      <c r="TRZ33" t="str">
        <f t="shared" si="478"/>
        <v/>
      </c>
      <c r="TSA33" t="str">
        <f t="shared" si="478"/>
        <v/>
      </c>
      <c r="TSB33" t="str">
        <f t="shared" si="478"/>
        <v/>
      </c>
      <c r="TSC33" t="str">
        <f t="shared" si="478"/>
        <v/>
      </c>
      <c r="TSD33" t="str">
        <f t="shared" si="478"/>
        <v/>
      </c>
      <c r="TSE33" t="str">
        <f t="shared" si="478"/>
        <v/>
      </c>
      <c r="TSF33" t="str">
        <f t="shared" si="478"/>
        <v/>
      </c>
      <c r="TSG33" t="str">
        <f t="shared" si="478"/>
        <v/>
      </c>
      <c r="TSH33" t="str">
        <f t="shared" si="478"/>
        <v/>
      </c>
      <c r="TSI33" t="str">
        <f t="shared" si="478"/>
        <v/>
      </c>
      <c r="TSJ33" t="str">
        <f t="shared" si="478"/>
        <v/>
      </c>
      <c r="TSK33" t="str">
        <f t="shared" si="478"/>
        <v/>
      </c>
      <c r="TSL33" t="str">
        <f t="shared" si="478"/>
        <v/>
      </c>
      <c r="TSM33" t="str">
        <f t="shared" si="478"/>
        <v/>
      </c>
      <c r="TSN33" t="str">
        <f t="shared" si="478"/>
        <v/>
      </c>
      <c r="TSO33" t="str">
        <f t="shared" ref="TSO33:TUZ33" si="479">TRIM(TTF17)</f>
        <v/>
      </c>
      <c r="TSP33" t="str">
        <f t="shared" si="479"/>
        <v/>
      </c>
      <c r="TSQ33" t="str">
        <f t="shared" si="479"/>
        <v/>
      </c>
      <c r="TSR33" t="str">
        <f t="shared" si="479"/>
        <v/>
      </c>
      <c r="TSS33" t="str">
        <f t="shared" si="479"/>
        <v/>
      </c>
      <c r="TST33" t="str">
        <f t="shared" si="479"/>
        <v/>
      </c>
      <c r="TSU33" t="str">
        <f t="shared" si="479"/>
        <v/>
      </c>
      <c r="TSV33" t="str">
        <f t="shared" si="479"/>
        <v/>
      </c>
      <c r="TSW33" t="str">
        <f t="shared" si="479"/>
        <v/>
      </c>
      <c r="TSX33" t="str">
        <f t="shared" si="479"/>
        <v/>
      </c>
      <c r="TSY33" t="str">
        <f t="shared" si="479"/>
        <v/>
      </c>
      <c r="TSZ33" t="str">
        <f t="shared" si="479"/>
        <v/>
      </c>
      <c r="TTA33" t="str">
        <f t="shared" si="479"/>
        <v/>
      </c>
      <c r="TTB33" t="str">
        <f t="shared" si="479"/>
        <v/>
      </c>
      <c r="TTC33" t="str">
        <f t="shared" si="479"/>
        <v/>
      </c>
      <c r="TTD33" t="str">
        <f t="shared" si="479"/>
        <v/>
      </c>
      <c r="TTE33" t="str">
        <f t="shared" si="479"/>
        <v/>
      </c>
      <c r="TTF33" t="str">
        <f t="shared" si="479"/>
        <v/>
      </c>
      <c r="TTG33" t="str">
        <f t="shared" si="479"/>
        <v/>
      </c>
      <c r="TTH33" t="str">
        <f t="shared" si="479"/>
        <v/>
      </c>
      <c r="TTI33" t="str">
        <f t="shared" si="479"/>
        <v/>
      </c>
      <c r="TTJ33" t="str">
        <f t="shared" si="479"/>
        <v/>
      </c>
      <c r="TTK33" t="str">
        <f t="shared" si="479"/>
        <v/>
      </c>
      <c r="TTL33" t="str">
        <f t="shared" si="479"/>
        <v/>
      </c>
      <c r="TTM33" t="str">
        <f t="shared" si="479"/>
        <v/>
      </c>
      <c r="TTN33" t="str">
        <f t="shared" si="479"/>
        <v/>
      </c>
      <c r="TTO33" t="str">
        <f t="shared" si="479"/>
        <v/>
      </c>
      <c r="TTP33" t="str">
        <f t="shared" si="479"/>
        <v/>
      </c>
      <c r="TTQ33" t="str">
        <f t="shared" si="479"/>
        <v/>
      </c>
      <c r="TTR33" t="str">
        <f t="shared" si="479"/>
        <v/>
      </c>
      <c r="TTS33" t="str">
        <f t="shared" si="479"/>
        <v/>
      </c>
      <c r="TTT33" t="str">
        <f t="shared" si="479"/>
        <v/>
      </c>
      <c r="TTU33" t="str">
        <f t="shared" si="479"/>
        <v/>
      </c>
      <c r="TTV33" t="str">
        <f t="shared" si="479"/>
        <v/>
      </c>
      <c r="TTW33" t="str">
        <f t="shared" si="479"/>
        <v/>
      </c>
      <c r="TTX33" t="str">
        <f t="shared" si="479"/>
        <v/>
      </c>
      <c r="TTY33" t="str">
        <f t="shared" si="479"/>
        <v/>
      </c>
      <c r="TTZ33" t="str">
        <f t="shared" si="479"/>
        <v/>
      </c>
      <c r="TUA33" t="str">
        <f t="shared" si="479"/>
        <v/>
      </c>
      <c r="TUB33" t="str">
        <f t="shared" si="479"/>
        <v/>
      </c>
      <c r="TUC33" t="str">
        <f t="shared" si="479"/>
        <v/>
      </c>
      <c r="TUD33" t="str">
        <f t="shared" si="479"/>
        <v/>
      </c>
      <c r="TUE33" t="str">
        <f t="shared" si="479"/>
        <v/>
      </c>
      <c r="TUF33" t="str">
        <f t="shared" si="479"/>
        <v/>
      </c>
      <c r="TUG33" t="str">
        <f t="shared" si="479"/>
        <v/>
      </c>
      <c r="TUH33" t="str">
        <f t="shared" si="479"/>
        <v/>
      </c>
      <c r="TUI33" t="str">
        <f t="shared" si="479"/>
        <v/>
      </c>
      <c r="TUJ33" t="str">
        <f t="shared" si="479"/>
        <v/>
      </c>
      <c r="TUK33" t="str">
        <f t="shared" si="479"/>
        <v/>
      </c>
      <c r="TUL33" t="str">
        <f t="shared" si="479"/>
        <v/>
      </c>
      <c r="TUM33" t="str">
        <f t="shared" si="479"/>
        <v/>
      </c>
      <c r="TUN33" t="str">
        <f t="shared" si="479"/>
        <v/>
      </c>
      <c r="TUO33" t="str">
        <f t="shared" si="479"/>
        <v/>
      </c>
      <c r="TUP33" t="str">
        <f t="shared" si="479"/>
        <v/>
      </c>
      <c r="TUQ33" t="str">
        <f t="shared" si="479"/>
        <v/>
      </c>
      <c r="TUR33" t="str">
        <f t="shared" si="479"/>
        <v/>
      </c>
      <c r="TUS33" t="str">
        <f t="shared" si="479"/>
        <v/>
      </c>
      <c r="TUT33" t="str">
        <f t="shared" si="479"/>
        <v/>
      </c>
      <c r="TUU33" t="str">
        <f t="shared" si="479"/>
        <v/>
      </c>
      <c r="TUV33" t="str">
        <f t="shared" si="479"/>
        <v/>
      </c>
      <c r="TUW33" t="str">
        <f t="shared" si="479"/>
        <v/>
      </c>
      <c r="TUX33" t="str">
        <f t="shared" si="479"/>
        <v/>
      </c>
      <c r="TUY33" t="str">
        <f t="shared" si="479"/>
        <v/>
      </c>
      <c r="TUZ33" t="str">
        <f t="shared" si="479"/>
        <v/>
      </c>
      <c r="TVA33" t="str">
        <f t="shared" ref="TVA33:TXL33" si="480">TRIM(TVR17)</f>
        <v/>
      </c>
      <c r="TVB33" t="str">
        <f t="shared" si="480"/>
        <v/>
      </c>
      <c r="TVC33" t="str">
        <f t="shared" si="480"/>
        <v/>
      </c>
      <c r="TVD33" t="str">
        <f t="shared" si="480"/>
        <v/>
      </c>
      <c r="TVE33" t="str">
        <f t="shared" si="480"/>
        <v/>
      </c>
      <c r="TVF33" t="str">
        <f t="shared" si="480"/>
        <v/>
      </c>
      <c r="TVG33" t="str">
        <f t="shared" si="480"/>
        <v/>
      </c>
      <c r="TVH33" t="str">
        <f t="shared" si="480"/>
        <v/>
      </c>
      <c r="TVI33" t="str">
        <f t="shared" si="480"/>
        <v/>
      </c>
      <c r="TVJ33" t="str">
        <f t="shared" si="480"/>
        <v/>
      </c>
      <c r="TVK33" t="str">
        <f t="shared" si="480"/>
        <v/>
      </c>
      <c r="TVL33" t="str">
        <f t="shared" si="480"/>
        <v/>
      </c>
      <c r="TVM33" t="str">
        <f t="shared" si="480"/>
        <v/>
      </c>
      <c r="TVN33" t="str">
        <f t="shared" si="480"/>
        <v/>
      </c>
      <c r="TVO33" t="str">
        <f t="shared" si="480"/>
        <v/>
      </c>
      <c r="TVP33" t="str">
        <f t="shared" si="480"/>
        <v/>
      </c>
      <c r="TVQ33" t="str">
        <f t="shared" si="480"/>
        <v/>
      </c>
      <c r="TVR33" t="str">
        <f t="shared" si="480"/>
        <v/>
      </c>
      <c r="TVS33" t="str">
        <f t="shared" si="480"/>
        <v/>
      </c>
      <c r="TVT33" t="str">
        <f t="shared" si="480"/>
        <v/>
      </c>
      <c r="TVU33" t="str">
        <f t="shared" si="480"/>
        <v/>
      </c>
      <c r="TVV33" t="str">
        <f t="shared" si="480"/>
        <v/>
      </c>
      <c r="TVW33" t="str">
        <f t="shared" si="480"/>
        <v/>
      </c>
      <c r="TVX33" t="str">
        <f t="shared" si="480"/>
        <v/>
      </c>
      <c r="TVY33" t="str">
        <f t="shared" si="480"/>
        <v/>
      </c>
      <c r="TVZ33" t="str">
        <f t="shared" si="480"/>
        <v/>
      </c>
      <c r="TWA33" t="str">
        <f t="shared" si="480"/>
        <v/>
      </c>
      <c r="TWB33" t="str">
        <f t="shared" si="480"/>
        <v/>
      </c>
      <c r="TWC33" t="str">
        <f t="shared" si="480"/>
        <v/>
      </c>
      <c r="TWD33" t="str">
        <f t="shared" si="480"/>
        <v/>
      </c>
      <c r="TWE33" t="str">
        <f t="shared" si="480"/>
        <v/>
      </c>
      <c r="TWF33" t="str">
        <f t="shared" si="480"/>
        <v/>
      </c>
      <c r="TWG33" t="str">
        <f t="shared" si="480"/>
        <v/>
      </c>
      <c r="TWH33" t="str">
        <f t="shared" si="480"/>
        <v/>
      </c>
      <c r="TWI33" t="str">
        <f t="shared" si="480"/>
        <v/>
      </c>
      <c r="TWJ33" t="str">
        <f t="shared" si="480"/>
        <v/>
      </c>
      <c r="TWK33" t="str">
        <f t="shared" si="480"/>
        <v/>
      </c>
      <c r="TWL33" t="str">
        <f t="shared" si="480"/>
        <v/>
      </c>
      <c r="TWM33" t="str">
        <f t="shared" si="480"/>
        <v/>
      </c>
      <c r="TWN33" t="str">
        <f t="shared" si="480"/>
        <v/>
      </c>
      <c r="TWO33" t="str">
        <f t="shared" si="480"/>
        <v/>
      </c>
      <c r="TWP33" t="str">
        <f t="shared" si="480"/>
        <v/>
      </c>
      <c r="TWQ33" t="str">
        <f t="shared" si="480"/>
        <v/>
      </c>
      <c r="TWR33" t="str">
        <f t="shared" si="480"/>
        <v/>
      </c>
      <c r="TWS33" t="str">
        <f t="shared" si="480"/>
        <v/>
      </c>
      <c r="TWT33" t="str">
        <f t="shared" si="480"/>
        <v/>
      </c>
      <c r="TWU33" t="str">
        <f t="shared" si="480"/>
        <v/>
      </c>
      <c r="TWV33" t="str">
        <f t="shared" si="480"/>
        <v/>
      </c>
      <c r="TWW33" t="str">
        <f t="shared" si="480"/>
        <v/>
      </c>
      <c r="TWX33" t="str">
        <f t="shared" si="480"/>
        <v/>
      </c>
      <c r="TWY33" t="str">
        <f t="shared" si="480"/>
        <v/>
      </c>
      <c r="TWZ33" t="str">
        <f t="shared" si="480"/>
        <v/>
      </c>
      <c r="TXA33" t="str">
        <f t="shared" si="480"/>
        <v/>
      </c>
      <c r="TXB33" t="str">
        <f t="shared" si="480"/>
        <v/>
      </c>
      <c r="TXC33" t="str">
        <f t="shared" si="480"/>
        <v/>
      </c>
      <c r="TXD33" t="str">
        <f t="shared" si="480"/>
        <v/>
      </c>
      <c r="TXE33" t="str">
        <f t="shared" si="480"/>
        <v/>
      </c>
      <c r="TXF33" t="str">
        <f t="shared" si="480"/>
        <v/>
      </c>
      <c r="TXG33" t="str">
        <f t="shared" si="480"/>
        <v/>
      </c>
      <c r="TXH33" t="str">
        <f t="shared" si="480"/>
        <v/>
      </c>
      <c r="TXI33" t="str">
        <f t="shared" si="480"/>
        <v/>
      </c>
      <c r="TXJ33" t="str">
        <f t="shared" si="480"/>
        <v/>
      </c>
      <c r="TXK33" t="str">
        <f t="shared" si="480"/>
        <v/>
      </c>
      <c r="TXL33" t="str">
        <f t="shared" si="480"/>
        <v/>
      </c>
      <c r="TXM33" t="str">
        <f t="shared" ref="TXM33:TZX33" si="481">TRIM(TYD17)</f>
        <v/>
      </c>
      <c r="TXN33" t="str">
        <f t="shared" si="481"/>
        <v/>
      </c>
      <c r="TXO33" t="str">
        <f t="shared" si="481"/>
        <v/>
      </c>
      <c r="TXP33" t="str">
        <f t="shared" si="481"/>
        <v/>
      </c>
      <c r="TXQ33" t="str">
        <f t="shared" si="481"/>
        <v/>
      </c>
      <c r="TXR33" t="str">
        <f t="shared" si="481"/>
        <v/>
      </c>
      <c r="TXS33" t="str">
        <f t="shared" si="481"/>
        <v/>
      </c>
      <c r="TXT33" t="str">
        <f t="shared" si="481"/>
        <v/>
      </c>
      <c r="TXU33" t="str">
        <f t="shared" si="481"/>
        <v/>
      </c>
      <c r="TXV33" t="str">
        <f t="shared" si="481"/>
        <v/>
      </c>
      <c r="TXW33" t="str">
        <f t="shared" si="481"/>
        <v/>
      </c>
      <c r="TXX33" t="str">
        <f t="shared" si="481"/>
        <v/>
      </c>
      <c r="TXY33" t="str">
        <f t="shared" si="481"/>
        <v/>
      </c>
      <c r="TXZ33" t="str">
        <f t="shared" si="481"/>
        <v/>
      </c>
      <c r="TYA33" t="str">
        <f t="shared" si="481"/>
        <v/>
      </c>
      <c r="TYB33" t="str">
        <f t="shared" si="481"/>
        <v/>
      </c>
      <c r="TYC33" t="str">
        <f t="shared" si="481"/>
        <v/>
      </c>
      <c r="TYD33" t="str">
        <f t="shared" si="481"/>
        <v/>
      </c>
      <c r="TYE33" t="str">
        <f t="shared" si="481"/>
        <v/>
      </c>
      <c r="TYF33" t="str">
        <f t="shared" si="481"/>
        <v/>
      </c>
      <c r="TYG33" t="str">
        <f t="shared" si="481"/>
        <v/>
      </c>
      <c r="TYH33" t="str">
        <f t="shared" si="481"/>
        <v/>
      </c>
      <c r="TYI33" t="str">
        <f t="shared" si="481"/>
        <v/>
      </c>
      <c r="TYJ33" t="str">
        <f t="shared" si="481"/>
        <v/>
      </c>
      <c r="TYK33" t="str">
        <f t="shared" si="481"/>
        <v/>
      </c>
      <c r="TYL33" t="str">
        <f t="shared" si="481"/>
        <v/>
      </c>
      <c r="TYM33" t="str">
        <f t="shared" si="481"/>
        <v/>
      </c>
      <c r="TYN33" t="str">
        <f t="shared" si="481"/>
        <v/>
      </c>
      <c r="TYO33" t="str">
        <f t="shared" si="481"/>
        <v/>
      </c>
      <c r="TYP33" t="str">
        <f t="shared" si="481"/>
        <v/>
      </c>
      <c r="TYQ33" t="str">
        <f t="shared" si="481"/>
        <v/>
      </c>
      <c r="TYR33" t="str">
        <f t="shared" si="481"/>
        <v/>
      </c>
      <c r="TYS33" t="str">
        <f t="shared" si="481"/>
        <v/>
      </c>
      <c r="TYT33" t="str">
        <f t="shared" si="481"/>
        <v/>
      </c>
      <c r="TYU33" t="str">
        <f t="shared" si="481"/>
        <v/>
      </c>
      <c r="TYV33" t="str">
        <f t="shared" si="481"/>
        <v/>
      </c>
      <c r="TYW33" t="str">
        <f t="shared" si="481"/>
        <v/>
      </c>
      <c r="TYX33" t="str">
        <f t="shared" si="481"/>
        <v/>
      </c>
      <c r="TYY33" t="str">
        <f t="shared" si="481"/>
        <v/>
      </c>
      <c r="TYZ33" t="str">
        <f t="shared" si="481"/>
        <v/>
      </c>
      <c r="TZA33" t="str">
        <f t="shared" si="481"/>
        <v/>
      </c>
      <c r="TZB33" t="str">
        <f t="shared" si="481"/>
        <v/>
      </c>
      <c r="TZC33" t="str">
        <f t="shared" si="481"/>
        <v/>
      </c>
      <c r="TZD33" t="str">
        <f t="shared" si="481"/>
        <v/>
      </c>
      <c r="TZE33" t="str">
        <f t="shared" si="481"/>
        <v/>
      </c>
      <c r="TZF33" t="str">
        <f t="shared" si="481"/>
        <v/>
      </c>
      <c r="TZG33" t="str">
        <f t="shared" si="481"/>
        <v/>
      </c>
      <c r="TZH33" t="str">
        <f t="shared" si="481"/>
        <v/>
      </c>
      <c r="TZI33" t="str">
        <f t="shared" si="481"/>
        <v/>
      </c>
      <c r="TZJ33" t="str">
        <f t="shared" si="481"/>
        <v/>
      </c>
      <c r="TZK33" t="str">
        <f t="shared" si="481"/>
        <v/>
      </c>
      <c r="TZL33" t="str">
        <f t="shared" si="481"/>
        <v/>
      </c>
      <c r="TZM33" t="str">
        <f t="shared" si="481"/>
        <v/>
      </c>
      <c r="TZN33" t="str">
        <f t="shared" si="481"/>
        <v/>
      </c>
      <c r="TZO33" t="str">
        <f t="shared" si="481"/>
        <v/>
      </c>
      <c r="TZP33" t="str">
        <f t="shared" si="481"/>
        <v/>
      </c>
      <c r="TZQ33" t="str">
        <f t="shared" si="481"/>
        <v/>
      </c>
      <c r="TZR33" t="str">
        <f t="shared" si="481"/>
        <v/>
      </c>
      <c r="TZS33" t="str">
        <f t="shared" si="481"/>
        <v/>
      </c>
      <c r="TZT33" t="str">
        <f t="shared" si="481"/>
        <v/>
      </c>
      <c r="TZU33" t="str">
        <f t="shared" si="481"/>
        <v/>
      </c>
      <c r="TZV33" t="str">
        <f t="shared" si="481"/>
        <v/>
      </c>
      <c r="TZW33" t="str">
        <f t="shared" si="481"/>
        <v/>
      </c>
      <c r="TZX33" t="str">
        <f t="shared" si="481"/>
        <v/>
      </c>
      <c r="TZY33" t="str">
        <f t="shared" ref="TZY33:UCJ33" si="482">TRIM(UAP17)</f>
        <v/>
      </c>
      <c r="TZZ33" t="str">
        <f t="shared" si="482"/>
        <v/>
      </c>
      <c r="UAA33" t="str">
        <f t="shared" si="482"/>
        <v/>
      </c>
      <c r="UAB33" t="str">
        <f t="shared" si="482"/>
        <v/>
      </c>
      <c r="UAC33" t="str">
        <f t="shared" si="482"/>
        <v/>
      </c>
      <c r="UAD33" t="str">
        <f t="shared" si="482"/>
        <v/>
      </c>
      <c r="UAE33" t="str">
        <f t="shared" si="482"/>
        <v/>
      </c>
      <c r="UAF33" t="str">
        <f t="shared" si="482"/>
        <v/>
      </c>
      <c r="UAG33" t="str">
        <f t="shared" si="482"/>
        <v/>
      </c>
      <c r="UAH33" t="str">
        <f t="shared" si="482"/>
        <v/>
      </c>
      <c r="UAI33" t="str">
        <f t="shared" si="482"/>
        <v/>
      </c>
      <c r="UAJ33" t="str">
        <f t="shared" si="482"/>
        <v/>
      </c>
      <c r="UAK33" t="str">
        <f t="shared" si="482"/>
        <v/>
      </c>
      <c r="UAL33" t="str">
        <f t="shared" si="482"/>
        <v/>
      </c>
      <c r="UAM33" t="str">
        <f t="shared" si="482"/>
        <v/>
      </c>
      <c r="UAN33" t="str">
        <f t="shared" si="482"/>
        <v/>
      </c>
      <c r="UAO33" t="str">
        <f t="shared" si="482"/>
        <v/>
      </c>
      <c r="UAP33" t="str">
        <f t="shared" si="482"/>
        <v/>
      </c>
      <c r="UAQ33" t="str">
        <f t="shared" si="482"/>
        <v/>
      </c>
      <c r="UAR33" t="str">
        <f t="shared" si="482"/>
        <v/>
      </c>
      <c r="UAS33" t="str">
        <f t="shared" si="482"/>
        <v/>
      </c>
      <c r="UAT33" t="str">
        <f t="shared" si="482"/>
        <v/>
      </c>
      <c r="UAU33" t="str">
        <f t="shared" si="482"/>
        <v/>
      </c>
      <c r="UAV33" t="str">
        <f t="shared" si="482"/>
        <v/>
      </c>
      <c r="UAW33" t="str">
        <f t="shared" si="482"/>
        <v/>
      </c>
      <c r="UAX33" t="str">
        <f t="shared" si="482"/>
        <v/>
      </c>
      <c r="UAY33" t="str">
        <f t="shared" si="482"/>
        <v/>
      </c>
      <c r="UAZ33" t="str">
        <f t="shared" si="482"/>
        <v/>
      </c>
      <c r="UBA33" t="str">
        <f t="shared" si="482"/>
        <v/>
      </c>
      <c r="UBB33" t="str">
        <f t="shared" si="482"/>
        <v/>
      </c>
      <c r="UBC33" t="str">
        <f t="shared" si="482"/>
        <v/>
      </c>
      <c r="UBD33" t="str">
        <f t="shared" si="482"/>
        <v/>
      </c>
      <c r="UBE33" t="str">
        <f t="shared" si="482"/>
        <v/>
      </c>
      <c r="UBF33" t="str">
        <f t="shared" si="482"/>
        <v/>
      </c>
      <c r="UBG33" t="str">
        <f t="shared" si="482"/>
        <v/>
      </c>
      <c r="UBH33" t="str">
        <f t="shared" si="482"/>
        <v/>
      </c>
      <c r="UBI33" t="str">
        <f t="shared" si="482"/>
        <v/>
      </c>
      <c r="UBJ33" t="str">
        <f t="shared" si="482"/>
        <v/>
      </c>
      <c r="UBK33" t="str">
        <f t="shared" si="482"/>
        <v/>
      </c>
      <c r="UBL33" t="str">
        <f t="shared" si="482"/>
        <v/>
      </c>
      <c r="UBM33" t="str">
        <f t="shared" si="482"/>
        <v/>
      </c>
      <c r="UBN33" t="str">
        <f t="shared" si="482"/>
        <v/>
      </c>
      <c r="UBO33" t="str">
        <f t="shared" si="482"/>
        <v/>
      </c>
      <c r="UBP33" t="str">
        <f t="shared" si="482"/>
        <v/>
      </c>
      <c r="UBQ33" t="str">
        <f t="shared" si="482"/>
        <v/>
      </c>
      <c r="UBR33" t="str">
        <f t="shared" si="482"/>
        <v/>
      </c>
      <c r="UBS33" t="str">
        <f t="shared" si="482"/>
        <v/>
      </c>
      <c r="UBT33" t="str">
        <f t="shared" si="482"/>
        <v/>
      </c>
      <c r="UBU33" t="str">
        <f t="shared" si="482"/>
        <v/>
      </c>
      <c r="UBV33" t="str">
        <f t="shared" si="482"/>
        <v/>
      </c>
      <c r="UBW33" t="str">
        <f t="shared" si="482"/>
        <v/>
      </c>
      <c r="UBX33" t="str">
        <f t="shared" si="482"/>
        <v/>
      </c>
      <c r="UBY33" t="str">
        <f t="shared" si="482"/>
        <v/>
      </c>
      <c r="UBZ33" t="str">
        <f t="shared" si="482"/>
        <v/>
      </c>
      <c r="UCA33" t="str">
        <f t="shared" si="482"/>
        <v/>
      </c>
      <c r="UCB33" t="str">
        <f t="shared" si="482"/>
        <v/>
      </c>
      <c r="UCC33" t="str">
        <f t="shared" si="482"/>
        <v/>
      </c>
      <c r="UCD33" t="str">
        <f t="shared" si="482"/>
        <v/>
      </c>
      <c r="UCE33" t="str">
        <f t="shared" si="482"/>
        <v/>
      </c>
      <c r="UCF33" t="str">
        <f t="shared" si="482"/>
        <v/>
      </c>
      <c r="UCG33" t="str">
        <f t="shared" si="482"/>
        <v/>
      </c>
      <c r="UCH33" t="str">
        <f t="shared" si="482"/>
        <v/>
      </c>
      <c r="UCI33" t="str">
        <f t="shared" si="482"/>
        <v/>
      </c>
      <c r="UCJ33" t="str">
        <f t="shared" si="482"/>
        <v/>
      </c>
      <c r="UCK33" t="str">
        <f t="shared" ref="UCK33:UEV33" si="483">TRIM(UDB17)</f>
        <v/>
      </c>
      <c r="UCL33" t="str">
        <f t="shared" si="483"/>
        <v/>
      </c>
      <c r="UCM33" t="str">
        <f t="shared" si="483"/>
        <v/>
      </c>
      <c r="UCN33" t="str">
        <f t="shared" si="483"/>
        <v/>
      </c>
      <c r="UCO33" t="str">
        <f t="shared" si="483"/>
        <v/>
      </c>
      <c r="UCP33" t="str">
        <f t="shared" si="483"/>
        <v/>
      </c>
      <c r="UCQ33" t="str">
        <f t="shared" si="483"/>
        <v/>
      </c>
      <c r="UCR33" t="str">
        <f t="shared" si="483"/>
        <v/>
      </c>
      <c r="UCS33" t="str">
        <f t="shared" si="483"/>
        <v/>
      </c>
      <c r="UCT33" t="str">
        <f t="shared" si="483"/>
        <v/>
      </c>
      <c r="UCU33" t="str">
        <f t="shared" si="483"/>
        <v/>
      </c>
      <c r="UCV33" t="str">
        <f t="shared" si="483"/>
        <v/>
      </c>
      <c r="UCW33" t="str">
        <f t="shared" si="483"/>
        <v/>
      </c>
      <c r="UCX33" t="str">
        <f t="shared" si="483"/>
        <v/>
      </c>
      <c r="UCY33" t="str">
        <f t="shared" si="483"/>
        <v/>
      </c>
      <c r="UCZ33" t="str">
        <f t="shared" si="483"/>
        <v/>
      </c>
      <c r="UDA33" t="str">
        <f t="shared" si="483"/>
        <v/>
      </c>
      <c r="UDB33" t="str">
        <f t="shared" si="483"/>
        <v/>
      </c>
      <c r="UDC33" t="str">
        <f t="shared" si="483"/>
        <v/>
      </c>
      <c r="UDD33" t="str">
        <f t="shared" si="483"/>
        <v/>
      </c>
      <c r="UDE33" t="str">
        <f t="shared" si="483"/>
        <v/>
      </c>
      <c r="UDF33" t="str">
        <f t="shared" si="483"/>
        <v/>
      </c>
      <c r="UDG33" t="str">
        <f t="shared" si="483"/>
        <v/>
      </c>
      <c r="UDH33" t="str">
        <f t="shared" si="483"/>
        <v/>
      </c>
      <c r="UDI33" t="str">
        <f t="shared" si="483"/>
        <v/>
      </c>
      <c r="UDJ33" t="str">
        <f t="shared" si="483"/>
        <v/>
      </c>
      <c r="UDK33" t="str">
        <f t="shared" si="483"/>
        <v/>
      </c>
      <c r="UDL33" t="str">
        <f t="shared" si="483"/>
        <v/>
      </c>
      <c r="UDM33" t="str">
        <f t="shared" si="483"/>
        <v/>
      </c>
      <c r="UDN33" t="str">
        <f t="shared" si="483"/>
        <v/>
      </c>
      <c r="UDO33" t="str">
        <f t="shared" si="483"/>
        <v/>
      </c>
      <c r="UDP33" t="str">
        <f t="shared" si="483"/>
        <v/>
      </c>
      <c r="UDQ33" t="str">
        <f t="shared" si="483"/>
        <v/>
      </c>
      <c r="UDR33" t="str">
        <f t="shared" si="483"/>
        <v/>
      </c>
      <c r="UDS33" t="str">
        <f t="shared" si="483"/>
        <v/>
      </c>
      <c r="UDT33" t="str">
        <f t="shared" si="483"/>
        <v/>
      </c>
      <c r="UDU33" t="str">
        <f t="shared" si="483"/>
        <v/>
      </c>
      <c r="UDV33" t="str">
        <f t="shared" si="483"/>
        <v/>
      </c>
      <c r="UDW33" t="str">
        <f t="shared" si="483"/>
        <v/>
      </c>
      <c r="UDX33" t="str">
        <f t="shared" si="483"/>
        <v/>
      </c>
      <c r="UDY33" t="str">
        <f t="shared" si="483"/>
        <v/>
      </c>
      <c r="UDZ33" t="str">
        <f t="shared" si="483"/>
        <v/>
      </c>
      <c r="UEA33" t="str">
        <f t="shared" si="483"/>
        <v/>
      </c>
      <c r="UEB33" t="str">
        <f t="shared" si="483"/>
        <v/>
      </c>
      <c r="UEC33" t="str">
        <f t="shared" si="483"/>
        <v/>
      </c>
      <c r="UED33" t="str">
        <f t="shared" si="483"/>
        <v/>
      </c>
      <c r="UEE33" t="str">
        <f t="shared" si="483"/>
        <v/>
      </c>
      <c r="UEF33" t="str">
        <f t="shared" si="483"/>
        <v/>
      </c>
      <c r="UEG33" t="str">
        <f t="shared" si="483"/>
        <v/>
      </c>
      <c r="UEH33" t="str">
        <f t="shared" si="483"/>
        <v/>
      </c>
      <c r="UEI33" t="str">
        <f t="shared" si="483"/>
        <v/>
      </c>
      <c r="UEJ33" t="str">
        <f t="shared" si="483"/>
        <v/>
      </c>
      <c r="UEK33" t="str">
        <f t="shared" si="483"/>
        <v/>
      </c>
      <c r="UEL33" t="str">
        <f t="shared" si="483"/>
        <v/>
      </c>
      <c r="UEM33" t="str">
        <f t="shared" si="483"/>
        <v/>
      </c>
      <c r="UEN33" t="str">
        <f t="shared" si="483"/>
        <v/>
      </c>
      <c r="UEO33" t="str">
        <f t="shared" si="483"/>
        <v/>
      </c>
      <c r="UEP33" t="str">
        <f t="shared" si="483"/>
        <v/>
      </c>
      <c r="UEQ33" t="str">
        <f t="shared" si="483"/>
        <v/>
      </c>
      <c r="UER33" t="str">
        <f t="shared" si="483"/>
        <v/>
      </c>
      <c r="UES33" t="str">
        <f t="shared" si="483"/>
        <v/>
      </c>
      <c r="UET33" t="str">
        <f t="shared" si="483"/>
        <v/>
      </c>
      <c r="UEU33" t="str">
        <f t="shared" si="483"/>
        <v/>
      </c>
      <c r="UEV33" t="str">
        <f t="shared" si="483"/>
        <v/>
      </c>
      <c r="UEW33" t="str">
        <f t="shared" ref="UEW33:UHH33" si="484">TRIM(UFN17)</f>
        <v/>
      </c>
      <c r="UEX33" t="str">
        <f t="shared" si="484"/>
        <v/>
      </c>
      <c r="UEY33" t="str">
        <f t="shared" si="484"/>
        <v/>
      </c>
      <c r="UEZ33" t="str">
        <f t="shared" si="484"/>
        <v/>
      </c>
      <c r="UFA33" t="str">
        <f t="shared" si="484"/>
        <v/>
      </c>
      <c r="UFB33" t="str">
        <f t="shared" si="484"/>
        <v/>
      </c>
      <c r="UFC33" t="str">
        <f t="shared" si="484"/>
        <v/>
      </c>
      <c r="UFD33" t="str">
        <f t="shared" si="484"/>
        <v/>
      </c>
      <c r="UFE33" t="str">
        <f t="shared" si="484"/>
        <v/>
      </c>
      <c r="UFF33" t="str">
        <f t="shared" si="484"/>
        <v/>
      </c>
      <c r="UFG33" t="str">
        <f t="shared" si="484"/>
        <v/>
      </c>
      <c r="UFH33" t="str">
        <f t="shared" si="484"/>
        <v/>
      </c>
      <c r="UFI33" t="str">
        <f t="shared" si="484"/>
        <v/>
      </c>
      <c r="UFJ33" t="str">
        <f t="shared" si="484"/>
        <v/>
      </c>
      <c r="UFK33" t="str">
        <f t="shared" si="484"/>
        <v/>
      </c>
      <c r="UFL33" t="str">
        <f t="shared" si="484"/>
        <v/>
      </c>
      <c r="UFM33" t="str">
        <f t="shared" si="484"/>
        <v/>
      </c>
      <c r="UFN33" t="str">
        <f t="shared" si="484"/>
        <v/>
      </c>
      <c r="UFO33" t="str">
        <f t="shared" si="484"/>
        <v/>
      </c>
      <c r="UFP33" t="str">
        <f t="shared" si="484"/>
        <v/>
      </c>
      <c r="UFQ33" t="str">
        <f t="shared" si="484"/>
        <v/>
      </c>
      <c r="UFR33" t="str">
        <f t="shared" si="484"/>
        <v/>
      </c>
      <c r="UFS33" t="str">
        <f t="shared" si="484"/>
        <v/>
      </c>
      <c r="UFT33" t="str">
        <f t="shared" si="484"/>
        <v/>
      </c>
      <c r="UFU33" t="str">
        <f t="shared" si="484"/>
        <v/>
      </c>
      <c r="UFV33" t="str">
        <f t="shared" si="484"/>
        <v/>
      </c>
      <c r="UFW33" t="str">
        <f t="shared" si="484"/>
        <v/>
      </c>
      <c r="UFX33" t="str">
        <f t="shared" si="484"/>
        <v/>
      </c>
      <c r="UFY33" t="str">
        <f t="shared" si="484"/>
        <v/>
      </c>
      <c r="UFZ33" t="str">
        <f t="shared" si="484"/>
        <v/>
      </c>
      <c r="UGA33" t="str">
        <f t="shared" si="484"/>
        <v/>
      </c>
      <c r="UGB33" t="str">
        <f t="shared" si="484"/>
        <v/>
      </c>
      <c r="UGC33" t="str">
        <f t="shared" si="484"/>
        <v/>
      </c>
      <c r="UGD33" t="str">
        <f t="shared" si="484"/>
        <v/>
      </c>
      <c r="UGE33" t="str">
        <f t="shared" si="484"/>
        <v/>
      </c>
      <c r="UGF33" t="str">
        <f t="shared" si="484"/>
        <v/>
      </c>
      <c r="UGG33" t="str">
        <f t="shared" si="484"/>
        <v/>
      </c>
      <c r="UGH33" t="str">
        <f t="shared" si="484"/>
        <v/>
      </c>
      <c r="UGI33" t="str">
        <f t="shared" si="484"/>
        <v/>
      </c>
      <c r="UGJ33" t="str">
        <f t="shared" si="484"/>
        <v/>
      </c>
      <c r="UGK33" t="str">
        <f t="shared" si="484"/>
        <v/>
      </c>
      <c r="UGL33" t="str">
        <f t="shared" si="484"/>
        <v/>
      </c>
      <c r="UGM33" t="str">
        <f t="shared" si="484"/>
        <v/>
      </c>
      <c r="UGN33" t="str">
        <f t="shared" si="484"/>
        <v/>
      </c>
      <c r="UGO33" t="str">
        <f t="shared" si="484"/>
        <v/>
      </c>
      <c r="UGP33" t="str">
        <f t="shared" si="484"/>
        <v/>
      </c>
      <c r="UGQ33" t="str">
        <f t="shared" si="484"/>
        <v/>
      </c>
      <c r="UGR33" t="str">
        <f t="shared" si="484"/>
        <v/>
      </c>
      <c r="UGS33" t="str">
        <f t="shared" si="484"/>
        <v/>
      </c>
      <c r="UGT33" t="str">
        <f t="shared" si="484"/>
        <v/>
      </c>
      <c r="UGU33" t="str">
        <f t="shared" si="484"/>
        <v/>
      </c>
      <c r="UGV33" t="str">
        <f t="shared" si="484"/>
        <v/>
      </c>
      <c r="UGW33" t="str">
        <f t="shared" si="484"/>
        <v/>
      </c>
      <c r="UGX33" t="str">
        <f t="shared" si="484"/>
        <v/>
      </c>
      <c r="UGY33" t="str">
        <f t="shared" si="484"/>
        <v/>
      </c>
      <c r="UGZ33" t="str">
        <f t="shared" si="484"/>
        <v/>
      </c>
      <c r="UHA33" t="str">
        <f t="shared" si="484"/>
        <v/>
      </c>
      <c r="UHB33" t="str">
        <f t="shared" si="484"/>
        <v/>
      </c>
      <c r="UHC33" t="str">
        <f t="shared" si="484"/>
        <v/>
      </c>
      <c r="UHD33" t="str">
        <f t="shared" si="484"/>
        <v/>
      </c>
      <c r="UHE33" t="str">
        <f t="shared" si="484"/>
        <v/>
      </c>
      <c r="UHF33" t="str">
        <f t="shared" si="484"/>
        <v/>
      </c>
      <c r="UHG33" t="str">
        <f t="shared" si="484"/>
        <v/>
      </c>
      <c r="UHH33" t="str">
        <f t="shared" si="484"/>
        <v/>
      </c>
      <c r="UHI33" t="str">
        <f t="shared" ref="UHI33:UJT33" si="485">TRIM(UHZ17)</f>
        <v/>
      </c>
      <c r="UHJ33" t="str">
        <f t="shared" si="485"/>
        <v/>
      </c>
      <c r="UHK33" t="str">
        <f t="shared" si="485"/>
        <v/>
      </c>
      <c r="UHL33" t="str">
        <f t="shared" si="485"/>
        <v/>
      </c>
      <c r="UHM33" t="str">
        <f t="shared" si="485"/>
        <v/>
      </c>
      <c r="UHN33" t="str">
        <f t="shared" si="485"/>
        <v/>
      </c>
      <c r="UHO33" t="str">
        <f t="shared" si="485"/>
        <v/>
      </c>
      <c r="UHP33" t="str">
        <f t="shared" si="485"/>
        <v/>
      </c>
      <c r="UHQ33" t="str">
        <f t="shared" si="485"/>
        <v/>
      </c>
      <c r="UHR33" t="str">
        <f t="shared" si="485"/>
        <v/>
      </c>
      <c r="UHS33" t="str">
        <f t="shared" si="485"/>
        <v/>
      </c>
      <c r="UHT33" t="str">
        <f t="shared" si="485"/>
        <v/>
      </c>
      <c r="UHU33" t="str">
        <f t="shared" si="485"/>
        <v/>
      </c>
      <c r="UHV33" t="str">
        <f t="shared" si="485"/>
        <v/>
      </c>
      <c r="UHW33" t="str">
        <f t="shared" si="485"/>
        <v/>
      </c>
      <c r="UHX33" t="str">
        <f t="shared" si="485"/>
        <v/>
      </c>
      <c r="UHY33" t="str">
        <f t="shared" si="485"/>
        <v/>
      </c>
      <c r="UHZ33" t="str">
        <f t="shared" si="485"/>
        <v/>
      </c>
      <c r="UIA33" t="str">
        <f t="shared" si="485"/>
        <v/>
      </c>
      <c r="UIB33" t="str">
        <f t="shared" si="485"/>
        <v/>
      </c>
      <c r="UIC33" t="str">
        <f t="shared" si="485"/>
        <v/>
      </c>
      <c r="UID33" t="str">
        <f t="shared" si="485"/>
        <v/>
      </c>
      <c r="UIE33" t="str">
        <f t="shared" si="485"/>
        <v/>
      </c>
      <c r="UIF33" t="str">
        <f t="shared" si="485"/>
        <v/>
      </c>
      <c r="UIG33" t="str">
        <f t="shared" si="485"/>
        <v/>
      </c>
      <c r="UIH33" t="str">
        <f t="shared" si="485"/>
        <v/>
      </c>
      <c r="UII33" t="str">
        <f t="shared" si="485"/>
        <v/>
      </c>
      <c r="UIJ33" t="str">
        <f t="shared" si="485"/>
        <v/>
      </c>
      <c r="UIK33" t="str">
        <f t="shared" si="485"/>
        <v/>
      </c>
      <c r="UIL33" t="str">
        <f t="shared" si="485"/>
        <v/>
      </c>
      <c r="UIM33" t="str">
        <f t="shared" si="485"/>
        <v/>
      </c>
      <c r="UIN33" t="str">
        <f t="shared" si="485"/>
        <v/>
      </c>
      <c r="UIO33" t="str">
        <f t="shared" si="485"/>
        <v/>
      </c>
      <c r="UIP33" t="str">
        <f t="shared" si="485"/>
        <v/>
      </c>
      <c r="UIQ33" t="str">
        <f t="shared" si="485"/>
        <v/>
      </c>
      <c r="UIR33" t="str">
        <f t="shared" si="485"/>
        <v/>
      </c>
      <c r="UIS33" t="str">
        <f t="shared" si="485"/>
        <v/>
      </c>
      <c r="UIT33" t="str">
        <f t="shared" si="485"/>
        <v/>
      </c>
      <c r="UIU33" t="str">
        <f t="shared" si="485"/>
        <v/>
      </c>
      <c r="UIV33" t="str">
        <f t="shared" si="485"/>
        <v/>
      </c>
      <c r="UIW33" t="str">
        <f t="shared" si="485"/>
        <v/>
      </c>
      <c r="UIX33" t="str">
        <f t="shared" si="485"/>
        <v/>
      </c>
      <c r="UIY33" t="str">
        <f t="shared" si="485"/>
        <v/>
      </c>
      <c r="UIZ33" t="str">
        <f t="shared" si="485"/>
        <v/>
      </c>
      <c r="UJA33" t="str">
        <f t="shared" si="485"/>
        <v/>
      </c>
      <c r="UJB33" t="str">
        <f t="shared" si="485"/>
        <v/>
      </c>
      <c r="UJC33" t="str">
        <f t="shared" si="485"/>
        <v/>
      </c>
      <c r="UJD33" t="str">
        <f t="shared" si="485"/>
        <v/>
      </c>
      <c r="UJE33" t="str">
        <f t="shared" si="485"/>
        <v/>
      </c>
      <c r="UJF33" t="str">
        <f t="shared" si="485"/>
        <v/>
      </c>
      <c r="UJG33" t="str">
        <f t="shared" si="485"/>
        <v/>
      </c>
      <c r="UJH33" t="str">
        <f t="shared" si="485"/>
        <v/>
      </c>
      <c r="UJI33" t="str">
        <f t="shared" si="485"/>
        <v/>
      </c>
      <c r="UJJ33" t="str">
        <f t="shared" si="485"/>
        <v/>
      </c>
      <c r="UJK33" t="str">
        <f t="shared" si="485"/>
        <v/>
      </c>
      <c r="UJL33" t="str">
        <f t="shared" si="485"/>
        <v/>
      </c>
      <c r="UJM33" t="str">
        <f t="shared" si="485"/>
        <v/>
      </c>
      <c r="UJN33" t="str">
        <f t="shared" si="485"/>
        <v/>
      </c>
      <c r="UJO33" t="str">
        <f t="shared" si="485"/>
        <v/>
      </c>
      <c r="UJP33" t="str">
        <f t="shared" si="485"/>
        <v/>
      </c>
      <c r="UJQ33" t="str">
        <f t="shared" si="485"/>
        <v/>
      </c>
      <c r="UJR33" t="str">
        <f t="shared" si="485"/>
        <v/>
      </c>
      <c r="UJS33" t="str">
        <f t="shared" si="485"/>
        <v/>
      </c>
      <c r="UJT33" t="str">
        <f t="shared" si="485"/>
        <v/>
      </c>
      <c r="UJU33" t="str">
        <f t="shared" ref="UJU33:UMF33" si="486">TRIM(UKL17)</f>
        <v/>
      </c>
      <c r="UJV33" t="str">
        <f t="shared" si="486"/>
        <v/>
      </c>
      <c r="UJW33" t="str">
        <f t="shared" si="486"/>
        <v/>
      </c>
      <c r="UJX33" t="str">
        <f t="shared" si="486"/>
        <v/>
      </c>
      <c r="UJY33" t="str">
        <f t="shared" si="486"/>
        <v/>
      </c>
      <c r="UJZ33" t="str">
        <f t="shared" si="486"/>
        <v/>
      </c>
      <c r="UKA33" t="str">
        <f t="shared" si="486"/>
        <v/>
      </c>
      <c r="UKB33" t="str">
        <f t="shared" si="486"/>
        <v/>
      </c>
      <c r="UKC33" t="str">
        <f t="shared" si="486"/>
        <v/>
      </c>
      <c r="UKD33" t="str">
        <f t="shared" si="486"/>
        <v/>
      </c>
      <c r="UKE33" t="str">
        <f t="shared" si="486"/>
        <v/>
      </c>
      <c r="UKF33" t="str">
        <f t="shared" si="486"/>
        <v/>
      </c>
      <c r="UKG33" t="str">
        <f t="shared" si="486"/>
        <v/>
      </c>
      <c r="UKH33" t="str">
        <f t="shared" si="486"/>
        <v/>
      </c>
      <c r="UKI33" t="str">
        <f t="shared" si="486"/>
        <v/>
      </c>
      <c r="UKJ33" t="str">
        <f t="shared" si="486"/>
        <v/>
      </c>
      <c r="UKK33" t="str">
        <f t="shared" si="486"/>
        <v/>
      </c>
      <c r="UKL33" t="str">
        <f t="shared" si="486"/>
        <v/>
      </c>
      <c r="UKM33" t="str">
        <f t="shared" si="486"/>
        <v/>
      </c>
      <c r="UKN33" t="str">
        <f t="shared" si="486"/>
        <v/>
      </c>
      <c r="UKO33" t="str">
        <f t="shared" si="486"/>
        <v/>
      </c>
      <c r="UKP33" t="str">
        <f t="shared" si="486"/>
        <v/>
      </c>
      <c r="UKQ33" t="str">
        <f t="shared" si="486"/>
        <v/>
      </c>
      <c r="UKR33" t="str">
        <f t="shared" si="486"/>
        <v/>
      </c>
      <c r="UKS33" t="str">
        <f t="shared" si="486"/>
        <v/>
      </c>
      <c r="UKT33" t="str">
        <f t="shared" si="486"/>
        <v/>
      </c>
      <c r="UKU33" t="str">
        <f t="shared" si="486"/>
        <v/>
      </c>
      <c r="UKV33" t="str">
        <f t="shared" si="486"/>
        <v/>
      </c>
      <c r="UKW33" t="str">
        <f t="shared" si="486"/>
        <v/>
      </c>
      <c r="UKX33" t="str">
        <f t="shared" si="486"/>
        <v/>
      </c>
      <c r="UKY33" t="str">
        <f t="shared" si="486"/>
        <v/>
      </c>
      <c r="UKZ33" t="str">
        <f t="shared" si="486"/>
        <v/>
      </c>
      <c r="ULA33" t="str">
        <f t="shared" si="486"/>
        <v/>
      </c>
      <c r="ULB33" t="str">
        <f t="shared" si="486"/>
        <v/>
      </c>
      <c r="ULC33" t="str">
        <f t="shared" si="486"/>
        <v/>
      </c>
      <c r="ULD33" t="str">
        <f t="shared" si="486"/>
        <v/>
      </c>
      <c r="ULE33" t="str">
        <f t="shared" si="486"/>
        <v/>
      </c>
      <c r="ULF33" t="str">
        <f t="shared" si="486"/>
        <v/>
      </c>
      <c r="ULG33" t="str">
        <f t="shared" si="486"/>
        <v/>
      </c>
      <c r="ULH33" t="str">
        <f t="shared" si="486"/>
        <v/>
      </c>
      <c r="ULI33" t="str">
        <f t="shared" si="486"/>
        <v/>
      </c>
      <c r="ULJ33" t="str">
        <f t="shared" si="486"/>
        <v/>
      </c>
      <c r="ULK33" t="str">
        <f t="shared" si="486"/>
        <v/>
      </c>
      <c r="ULL33" t="str">
        <f t="shared" si="486"/>
        <v/>
      </c>
      <c r="ULM33" t="str">
        <f t="shared" si="486"/>
        <v/>
      </c>
      <c r="ULN33" t="str">
        <f t="shared" si="486"/>
        <v/>
      </c>
      <c r="ULO33" t="str">
        <f t="shared" si="486"/>
        <v/>
      </c>
      <c r="ULP33" t="str">
        <f t="shared" si="486"/>
        <v/>
      </c>
      <c r="ULQ33" t="str">
        <f t="shared" si="486"/>
        <v/>
      </c>
      <c r="ULR33" t="str">
        <f t="shared" si="486"/>
        <v/>
      </c>
      <c r="ULS33" t="str">
        <f t="shared" si="486"/>
        <v/>
      </c>
      <c r="ULT33" t="str">
        <f t="shared" si="486"/>
        <v/>
      </c>
      <c r="ULU33" t="str">
        <f t="shared" si="486"/>
        <v/>
      </c>
      <c r="ULV33" t="str">
        <f t="shared" si="486"/>
        <v/>
      </c>
      <c r="ULW33" t="str">
        <f t="shared" si="486"/>
        <v/>
      </c>
      <c r="ULX33" t="str">
        <f t="shared" si="486"/>
        <v/>
      </c>
      <c r="ULY33" t="str">
        <f t="shared" si="486"/>
        <v/>
      </c>
      <c r="ULZ33" t="str">
        <f t="shared" si="486"/>
        <v/>
      </c>
      <c r="UMA33" t="str">
        <f t="shared" si="486"/>
        <v/>
      </c>
      <c r="UMB33" t="str">
        <f t="shared" si="486"/>
        <v/>
      </c>
      <c r="UMC33" t="str">
        <f t="shared" si="486"/>
        <v/>
      </c>
      <c r="UMD33" t="str">
        <f t="shared" si="486"/>
        <v/>
      </c>
      <c r="UME33" t="str">
        <f t="shared" si="486"/>
        <v/>
      </c>
      <c r="UMF33" t="str">
        <f t="shared" si="486"/>
        <v/>
      </c>
      <c r="UMG33" t="str">
        <f t="shared" ref="UMG33:UOR33" si="487">TRIM(UMX17)</f>
        <v/>
      </c>
      <c r="UMH33" t="str">
        <f t="shared" si="487"/>
        <v/>
      </c>
      <c r="UMI33" t="str">
        <f t="shared" si="487"/>
        <v/>
      </c>
      <c r="UMJ33" t="str">
        <f t="shared" si="487"/>
        <v/>
      </c>
      <c r="UMK33" t="str">
        <f t="shared" si="487"/>
        <v/>
      </c>
      <c r="UML33" t="str">
        <f t="shared" si="487"/>
        <v/>
      </c>
      <c r="UMM33" t="str">
        <f t="shared" si="487"/>
        <v/>
      </c>
      <c r="UMN33" t="str">
        <f t="shared" si="487"/>
        <v/>
      </c>
      <c r="UMO33" t="str">
        <f t="shared" si="487"/>
        <v/>
      </c>
      <c r="UMP33" t="str">
        <f t="shared" si="487"/>
        <v/>
      </c>
      <c r="UMQ33" t="str">
        <f t="shared" si="487"/>
        <v/>
      </c>
      <c r="UMR33" t="str">
        <f t="shared" si="487"/>
        <v/>
      </c>
      <c r="UMS33" t="str">
        <f t="shared" si="487"/>
        <v/>
      </c>
      <c r="UMT33" t="str">
        <f t="shared" si="487"/>
        <v/>
      </c>
      <c r="UMU33" t="str">
        <f t="shared" si="487"/>
        <v/>
      </c>
      <c r="UMV33" t="str">
        <f t="shared" si="487"/>
        <v/>
      </c>
      <c r="UMW33" t="str">
        <f t="shared" si="487"/>
        <v/>
      </c>
      <c r="UMX33" t="str">
        <f t="shared" si="487"/>
        <v/>
      </c>
      <c r="UMY33" t="str">
        <f t="shared" si="487"/>
        <v/>
      </c>
      <c r="UMZ33" t="str">
        <f t="shared" si="487"/>
        <v/>
      </c>
      <c r="UNA33" t="str">
        <f t="shared" si="487"/>
        <v/>
      </c>
      <c r="UNB33" t="str">
        <f t="shared" si="487"/>
        <v/>
      </c>
      <c r="UNC33" t="str">
        <f t="shared" si="487"/>
        <v/>
      </c>
      <c r="UND33" t="str">
        <f t="shared" si="487"/>
        <v/>
      </c>
      <c r="UNE33" t="str">
        <f t="shared" si="487"/>
        <v/>
      </c>
      <c r="UNF33" t="str">
        <f t="shared" si="487"/>
        <v/>
      </c>
      <c r="UNG33" t="str">
        <f t="shared" si="487"/>
        <v/>
      </c>
      <c r="UNH33" t="str">
        <f t="shared" si="487"/>
        <v/>
      </c>
      <c r="UNI33" t="str">
        <f t="shared" si="487"/>
        <v/>
      </c>
      <c r="UNJ33" t="str">
        <f t="shared" si="487"/>
        <v/>
      </c>
      <c r="UNK33" t="str">
        <f t="shared" si="487"/>
        <v/>
      </c>
      <c r="UNL33" t="str">
        <f t="shared" si="487"/>
        <v/>
      </c>
      <c r="UNM33" t="str">
        <f t="shared" si="487"/>
        <v/>
      </c>
      <c r="UNN33" t="str">
        <f t="shared" si="487"/>
        <v/>
      </c>
      <c r="UNO33" t="str">
        <f t="shared" si="487"/>
        <v/>
      </c>
      <c r="UNP33" t="str">
        <f t="shared" si="487"/>
        <v/>
      </c>
      <c r="UNQ33" t="str">
        <f t="shared" si="487"/>
        <v/>
      </c>
      <c r="UNR33" t="str">
        <f t="shared" si="487"/>
        <v/>
      </c>
      <c r="UNS33" t="str">
        <f t="shared" si="487"/>
        <v/>
      </c>
      <c r="UNT33" t="str">
        <f t="shared" si="487"/>
        <v/>
      </c>
      <c r="UNU33" t="str">
        <f t="shared" si="487"/>
        <v/>
      </c>
      <c r="UNV33" t="str">
        <f t="shared" si="487"/>
        <v/>
      </c>
      <c r="UNW33" t="str">
        <f t="shared" si="487"/>
        <v/>
      </c>
      <c r="UNX33" t="str">
        <f t="shared" si="487"/>
        <v/>
      </c>
      <c r="UNY33" t="str">
        <f t="shared" si="487"/>
        <v/>
      </c>
      <c r="UNZ33" t="str">
        <f t="shared" si="487"/>
        <v/>
      </c>
      <c r="UOA33" t="str">
        <f t="shared" si="487"/>
        <v/>
      </c>
      <c r="UOB33" t="str">
        <f t="shared" si="487"/>
        <v/>
      </c>
      <c r="UOC33" t="str">
        <f t="shared" si="487"/>
        <v/>
      </c>
      <c r="UOD33" t="str">
        <f t="shared" si="487"/>
        <v/>
      </c>
      <c r="UOE33" t="str">
        <f t="shared" si="487"/>
        <v/>
      </c>
      <c r="UOF33" t="str">
        <f t="shared" si="487"/>
        <v/>
      </c>
      <c r="UOG33" t="str">
        <f t="shared" si="487"/>
        <v/>
      </c>
      <c r="UOH33" t="str">
        <f t="shared" si="487"/>
        <v/>
      </c>
      <c r="UOI33" t="str">
        <f t="shared" si="487"/>
        <v/>
      </c>
      <c r="UOJ33" t="str">
        <f t="shared" si="487"/>
        <v/>
      </c>
      <c r="UOK33" t="str">
        <f t="shared" si="487"/>
        <v/>
      </c>
      <c r="UOL33" t="str">
        <f t="shared" si="487"/>
        <v/>
      </c>
      <c r="UOM33" t="str">
        <f t="shared" si="487"/>
        <v/>
      </c>
      <c r="UON33" t="str">
        <f t="shared" si="487"/>
        <v/>
      </c>
      <c r="UOO33" t="str">
        <f t="shared" si="487"/>
        <v/>
      </c>
      <c r="UOP33" t="str">
        <f t="shared" si="487"/>
        <v/>
      </c>
      <c r="UOQ33" t="str">
        <f t="shared" si="487"/>
        <v/>
      </c>
      <c r="UOR33" t="str">
        <f t="shared" si="487"/>
        <v/>
      </c>
      <c r="UOS33" t="str">
        <f t="shared" ref="UOS33:URD33" si="488">TRIM(UPJ17)</f>
        <v/>
      </c>
      <c r="UOT33" t="str">
        <f t="shared" si="488"/>
        <v/>
      </c>
      <c r="UOU33" t="str">
        <f t="shared" si="488"/>
        <v/>
      </c>
      <c r="UOV33" t="str">
        <f t="shared" si="488"/>
        <v/>
      </c>
      <c r="UOW33" t="str">
        <f t="shared" si="488"/>
        <v/>
      </c>
      <c r="UOX33" t="str">
        <f t="shared" si="488"/>
        <v/>
      </c>
      <c r="UOY33" t="str">
        <f t="shared" si="488"/>
        <v/>
      </c>
      <c r="UOZ33" t="str">
        <f t="shared" si="488"/>
        <v/>
      </c>
      <c r="UPA33" t="str">
        <f t="shared" si="488"/>
        <v/>
      </c>
      <c r="UPB33" t="str">
        <f t="shared" si="488"/>
        <v/>
      </c>
      <c r="UPC33" t="str">
        <f t="shared" si="488"/>
        <v/>
      </c>
      <c r="UPD33" t="str">
        <f t="shared" si="488"/>
        <v/>
      </c>
      <c r="UPE33" t="str">
        <f t="shared" si="488"/>
        <v/>
      </c>
      <c r="UPF33" t="str">
        <f t="shared" si="488"/>
        <v/>
      </c>
      <c r="UPG33" t="str">
        <f t="shared" si="488"/>
        <v/>
      </c>
      <c r="UPH33" t="str">
        <f t="shared" si="488"/>
        <v/>
      </c>
      <c r="UPI33" t="str">
        <f t="shared" si="488"/>
        <v/>
      </c>
      <c r="UPJ33" t="str">
        <f t="shared" si="488"/>
        <v/>
      </c>
      <c r="UPK33" t="str">
        <f t="shared" si="488"/>
        <v/>
      </c>
      <c r="UPL33" t="str">
        <f t="shared" si="488"/>
        <v/>
      </c>
      <c r="UPM33" t="str">
        <f t="shared" si="488"/>
        <v/>
      </c>
      <c r="UPN33" t="str">
        <f t="shared" si="488"/>
        <v/>
      </c>
      <c r="UPO33" t="str">
        <f t="shared" si="488"/>
        <v/>
      </c>
      <c r="UPP33" t="str">
        <f t="shared" si="488"/>
        <v/>
      </c>
      <c r="UPQ33" t="str">
        <f t="shared" si="488"/>
        <v/>
      </c>
      <c r="UPR33" t="str">
        <f t="shared" si="488"/>
        <v/>
      </c>
      <c r="UPS33" t="str">
        <f t="shared" si="488"/>
        <v/>
      </c>
      <c r="UPT33" t="str">
        <f t="shared" si="488"/>
        <v/>
      </c>
      <c r="UPU33" t="str">
        <f t="shared" si="488"/>
        <v/>
      </c>
      <c r="UPV33" t="str">
        <f t="shared" si="488"/>
        <v/>
      </c>
      <c r="UPW33" t="str">
        <f t="shared" si="488"/>
        <v/>
      </c>
      <c r="UPX33" t="str">
        <f t="shared" si="488"/>
        <v/>
      </c>
      <c r="UPY33" t="str">
        <f t="shared" si="488"/>
        <v/>
      </c>
      <c r="UPZ33" t="str">
        <f t="shared" si="488"/>
        <v/>
      </c>
      <c r="UQA33" t="str">
        <f t="shared" si="488"/>
        <v/>
      </c>
      <c r="UQB33" t="str">
        <f t="shared" si="488"/>
        <v/>
      </c>
      <c r="UQC33" t="str">
        <f t="shared" si="488"/>
        <v/>
      </c>
      <c r="UQD33" t="str">
        <f t="shared" si="488"/>
        <v/>
      </c>
      <c r="UQE33" t="str">
        <f t="shared" si="488"/>
        <v/>
      </c>
      <c r="UQF33" t="str">
        <f t="shared" si="488"/>
        <v/>
      </c>
      <c r="UQG33" t="str">
        <f t="shared" si="488"/>
        <v/>
      </c>
      <c r="UQH33" t="str">
        <f t="shared" si="488"/>
        <v/>
      </c>
      <c r="UQI33" t="str">
        <f t="shared" si="488"/>
        <v/>
      </c>
      <c r="UQJ33" t="str">
        <f t="shared" si="488"/>
        <v/>
      </c>
      <c r="UQK33" t="str">
        <f t="shared" si="488"/>
        <v/>
      </c>
      <c r="UQL33" t="str">
        <f t="shared" si="488"/>
        <v/>
      </c>
      <c r="UQM33" t="str">
        <f t="shared" si="488"/>
        <v/>
      </c>
      <c r="UQN33" t="str">
        <f t="shared" si="488"/>
        <v/>
      </c>
      <c r="UQO33" t="str">
        <f t="shared" si="488"/>
        <v/>
      </c>
      <c r="UQP33" t="str">
        <f t="shared" si="488"/>
        <v/>
      </c>
      <c r="UQQ33" t="str">
        <f t="shared" si="488"/>
        <v/>
      </c>
      <c r="UQR33" t="str">
        <f t="shared" si="488"/>
        <v/>
      </c>
      <c r="UQS33" t="str">
        <f t="shared" si="488"/>
        <v/>
      </c>
      <c r="UQT33" t="str">
        <f t="shared" si="488"/>
        <v/>
      </c>
      <c r="UQU33" t="str">
        <f t="shared" si="488"/>
        <v/>
      </c>
      <c r="UQV33" t="str">
        <f t="shared" si="488"/>
        <v/>
      </c>
      <c r="UQW33" t="str">
        <f t="shared" si="488"/>
        <v/>
      </c>
      <c r="UQX33" t="str">
        <f t="shared" si="488"/>
        <v/>
      </c>
      <c r="UQY33" t="str">
        <f t="shared" si="488"/>
        <v/>
      </c>
      <c r="UQZ33" t="str">
        <f t="shared" si="488"/>
        <v/>
      </c>
      <c r="URA33" t="str">
        <f t="shared" si="488"/>
        <v/>
      </c>
      <c r="URB33" t="str">
        <f t="shared" si="488"/>
        <v/>
      </c>
      <c r="URC33" t="str">
        <f t="shared" si="488"/>
        <v/>
      </c>
      <c r="URD33" t="str">
        <f t="shared" si="488"/>
        <v/>
      </c>
      <c r="URE33" t="str">
        <f t="shared" ref="URE33:UTP33" si="489">TRIM(URV17)</f>
        <v/>
      </c>
      <c r="URF33" t="str">
        <f t="shared" si="489"/>
        <v/>
      </c>
      <c r="URG33" t="str">
        <f t="shared" si="489"/>
        <v/>
      </c>
      <c r="URH33" t="str">
        <f t="shared" si="489"/>
        <v/>
      </c>
      <c r="URI33" t="str">
        <f t="shared" si="489"/>
        <v/>
      </c>
      <c r="URJ33" t="str">
        <f t="shared" si="489"/>
        <v/>
      </c>
      <c r="URK33" t="str">
        <f t="shared" si="489"/>
        <v/>
      </c>
      <c r="URL33" t="str">
        <f t="shared" si="489"/>
        <v/>
      </c>
      <c r="URM33" t="str">
        <f t="shared" si="489"/>
        <v/>
      </c>
      <c r="URN33" t="str">
        <f t="shared" si="489"/>
        <v/>
      </c>
      <c r="URO33" t="str">
        <f t="shared" si="489"/>
        <v/>
      </c>
      <c r="URP33" t="str">
        <f t="shared" si="489"/>
        <v/>
      </c>
      <c r="URQ33" t="str">
        <f t="shared" si="489"/>
        <v/>
      </c>
      <c r="URR33" t="str">
        <f t="shared" si="489"/>
        <v/>
      </c>
      <c r="URS33" t="str">
        <f t="shared" si="489"/>
        <v/>
      </c>
      <c r="URT33" t="str">
        <f t="shared" si="489"/>
        <v/>
      </c>
      <c r="URU33" t="str">
        <f t="shared" si="489"/>
        <v/>
      </c>
      <c r="URV33" t="str">
        <f t="shared" si="489"/>
        <v/>
      </c>
      <c r="URW33" t="str">
        <f t="shared" si="489"/>
        <v/>
      </c>
      <c r="URX33" t="str">
        <f t="shared" si="489"/>
        <v/>
      </c>
      <c r="URY33" t="str">
        <f t="shared" si="489"/>
        <v/>
      </c>
      <c r="URZ33" t="str">
        <f t="shared" si="489"/>
        <v/>
      </c>
      <c r="USA33" t="str">
        <f t="shared" si="489"/>
        <v/>
      </c>
      <c r="USB33" t="str">
        <f t="shared" si="489"/>
        <v/>
      </c>
      <c r="USC33" t="str">
        <f t="shared" si="489"/>
        <v/>
      </c>
      <c r="USD33" t="str">
        <f t="shared" si="489"/>
        <v/>
      </c>
      <c r="USE33" t="str">
        <f t="shared" si="489"/>
        <v/>
      </c>
      <c r="USF33" t="str">
        <f t="shared" si="489"/>
        <v/>
      </c>
      <c r="USG33" t="str">
        <f t="shared" si="489"/>
        <v/>
      </c>
      <c r="USH33" t="str">
        <f t="shared" si="489"/>
        <v/>
      </c>
      <c r="USI33" t="str">
        <f t="shared" si="489"/>
        <v/>
      </c>
      <c r="USJ33" t="str">
        <f t="shared" si="489"/>
        <v/>
      </c>
      <c r="USK33" t="str">
        <f t="shared" si="489"/>
        <v/>
      </c>
      <c r="USL33" t="str">
        <f t="shared" si="489"/>
        <v/>
      </c>
      <c r="USM33" t="str">
        <f t="shared" si="489"/>
        <v/>
      </c>
      <c r="USN33" t="str">
        <f t="shared" si="489"/>
        <v/>
      </c>
      <c r="USO33" t="str">
        <f t="shared" si="489"/>
        <v/>
      </c>
      <c r="USP33" t="str">
        <f t="shared" si="489"/>
        <v/>
      </c>
      <c r="USQ33" t="str">
        <f t="shared" si="489"/>
        <v/>
      </c>
      <c r="USR33" t="str">
        <f t="shared" si="489"/>
        <v/>
      </c>
      <c r="USS33" t="str">
        <f t="shared" si="489"/>
        <v/>
      </c>
      <c r="UST33" t="str">
        <f t="shared" si="489"/>
        <v/>
      </c>
      <c r="USU33" t="str">
        <f t="shared" si="489"/>
        <v/>
      </c>
      <c r="USV33" t="str">
        <f t="shared" si="489"/>
        <v/>
      </c>
      <c r="USW33" t="str">
        <f t="shared" si="489"/>
        <v/>
      </c>
      <c r="USX33" t="str">
        <f t="shared" si="489"/>
        <v/>
      </c>
      <c r="USY33" t="str">
        <f t="shared" si="489"/>
        <v/>
      </c>
      <c r="USZ33" t="str">
        <f t="shared" si="489"/>
        <v/>
      </c>
      <c r="UTA33" t="str">
        <f t="shared" si="489"/>
        <v/>
      </c>
      <c r="UTB33" t="str">
        <f t="shared" si="489"/>
        <v/>
      </c>
      <c r="UTC33" t="str">
        <f t="shared" si="489"/>
        <v/>
      </c>
      <c r="UTD33" t="str">
        <f t="shared" si="489"/>
        <v/>
      </c>
      <c r="UTE33" t="str">
        <f t="shared" si="489"/>
        <v/>
      </c>
      <c r="UTF33" t="str">
        <f t="shared" si="489"/>
        <v/>
      </c>
      <c r="UTG33" t="str">
        <f t="shared" si="489"/>
        <v/>
      </c>
      <c r="UTH33" t="str">
        <f t="shared" si="489"/>
        <v/>
      </c>
      <c r="UTI33" t="str">
        <f t="shared" si="489"/>
        <v/>
      </c>
      <c r="UTJ33" t="str">
        <f t="shared" si="489"/>
        <v/>
      </c>
      <c r="UTK33" t="str">
        <f t="shared" si="489"/>
        <v/>
      </c>
      <c r="UTL33" t="str">
        <f t="shared" si="489"/>
        <v/>
      </c>
      <c r="UTM33" t="str">
        <f t="shared" si="489"/>
        <v/>
      </c>
      <c r="UTN33" t="str">
        <f t="shared" si="489"/>
        <v/>
      </c>
      <c r="UTO33" t="str">
        <f t="shared" si="489"/>
        <v/>
      </c>
      <c r="UTP33" t="str">
        <f t="shared" si="489"/>
        <v/>
      </c>
      <c r="UTQ33" t="str">
        <f t="shared" ref="UTQ33:UWB33" si="490">TRIM(UUH17)</f>
        <v/>
      </c>
      <c r="UTR33" t="str">
        <f t="shared" si="490"/>
        <v/>
      </c>
      <c r="UTS33" t="str">
        <f t="shared" si="490"/>
        <v/>
      </c>
      <c r="UTT33" t="str">
        <f t="shared" si="490"/>
        <v/>
      </c>
      <c r="UTU33" t="str">
        <f t="shared" si="490"/>
        <v/>
      </c>
      <c r="UTV33" t="str">
        <f t="shared" si="490"/>
        <v/>
      </c>
      <c r="UTW33" t="str">
        <f t="shared" si="490"/>
        <v/>
      </c>
      <c r="UTX33" t="str">
        <f t="shared" si="490"/>
        <v/>
      </c>
      <c r="UTY33" t="str">
        <f t="shared" si="490"/>
        <v/>
      </c>
      <c r="UTZ33" t="str">
        <f t="shared" si="490"/>
        <v/>
      </c>
      <c r="UUA33" t="str">
        <f t="shared" si="490"/>
        <v/>
      </c>
      <c r="UUB33" t="str">
        <f t="shared" si="490"/>
        <v/>
      </c>
      <c r="UUC33" t="str">
        <f t="shared" si="490"/>
        <v/>
      </c>
      <c r="UUD33" t="str">
        <f t="shared" si="490"/>
        <v/>
      </c>
      <c r="UUE33" t="str">
        <f t="shared" si="490"/>
        <v/>
      </c>
      <c r="UUF33" t="str">
        <f t="shared" si="490"/>
        <v/>
      </c>
      <c r="UUG33" t="str">
        <f t="shared" si="490"/>
        <v/>
      </c>
      <c r="UUH33" t="str">
        <f t="shared" si="490"/>
        <v/>
      </c>
      <c r="UUI33" t="str">
        <f t="shared" si="490"/>
        <v/>
      </c>
      <c r="UUJ33" t="str">
        <f t="shared" si="490"/>
        <v/>
      </c>
      <c r="UUK33" t="str">
        <f t="shared" si="490"/>
        <v/>
      </c>
      <c r="UUL33" t="str">
        <f t="shared" si="490"/>
        <v/>
      </c>
      <c r="UUM33" t="str">
        <f t="shared" si="490"/>
        <v/>
      </c>
      <c r="UUN33" t="str">
        <f t="shared" si="490"/>
        <v/>
      </c>
      <c r="UUO33" t="str">
        <f t="shared" si="490"/>
        <v/>
      </c>
      <c r="UUP33" t="str">
        <f t="shared" si="490"/>
        <v/>
      </c>
      <c r="UUQ33" t="str">
        <f t="shared" si="490"/>
        <v/>
      </c>
      <c r="UUR33" t="str">
        <f t="shared" si="490"/>
        <v/>
      </c>
      <c r="UUS33" t="str">
        <f t="shared" si="490"/>
        <v/>
      </c>
      <c r="UUT33" t="str">
        <f t="shared" si="490"/>
        <v/>
      </c>
      <c r="UUU33" t="str">
        <f t="shared" si="490"/>
        <v/>
      </c>
      <c r="UUV33" t="str">
        <f t="shared" si="490"/>
        <v/>
      </c>
      <c r="UUW33" t="str">
        <f t="shared" si="490"/>
        <v/>
      </c>
      <c r="UUX33" t="str">
        <f t="shared" si="490"/>
        <v/>
      </c>
      <c r="UUY33" t="str">
        <f t="shared" si="490"/>
        <v/>
      </c>
      <c r="UUZ33" t="str">
        <f t="shared" si="490"/>
        <v/>
      </c>
      <c r="UVA33" t="str">
        <f t="shared" si="490"/>
        <v/>
      </c>
      <c r="UVB33" t="str">
        <f t="shared" si="490"/>
        <v/>
      </c>
      <c r="UVC33" t="str">
        <f t="shared" si="490"/>
        <v/>
      </c>
      <c r="UVD33" t="str">
        <f t="shared" si="490"/>
        <v/>
      </c>
      <c r="UVE33" t="str">
        <f t="shared" si="490"/>
        <v/>
      </c>
      <c r="UVF33" t="str">
        <f t="shared" si="490"/>
        <v/>
      </c>
      <c r="UVG33" t="str">
        <f t="shared" si="490"/>
        <v/>
      </c>
      <c r="UVH33" t="str">
        <f t="shared" si="490"/>
        <v/>
      </c>
      <c r="UVI33" t="str">
        <f t="shared" si="490"/>
        <v/>
      </c>
      <c r="UVJ33" t="str">
        <f t="shared" si="490"/>
        <v/>
      </c>
      <c r="UVK33" t="str">
        <f t="shared" si="490"/>
        <v/>
      </c>
      <c r="UVL33" t="str">
        <f t="shared" si="490"/>
        <v/>
      </c>
      <c r="UVM33" t="str">
        <f t="shared" si="490"/>
        <v/>
      </c>
      <c r="UVN33" t="str">
        <f t="shared" si="490"/>
        <v/>
      </c>
      <c r="UVO33" t="str">
        <f t="shared" si="490"/>
        <v/>
      </c>
      <c r="UVP33" t="str">
        <f t="shared" si="490"/>
        <v/>
      </c>
      <c r="UVQ33" t="str">
        <f t="shared" si="490"/>
        <v/>
      </c>
      <c r="UVR33" t="str">
        <f t="shared" si="490"/>
        <v/>
      </c>
      <c r="UVS33" t="str">
        <f t="shared" si="490"/>
        <v/>
      </c>
      <c r="UVT33" t="str">
        <f t="shared" si="490"/>
        <v/>
      </c>
      <c r="UVU33" t="str">
        <f t="shared" si="490"/>
        <v/>
      </c>
      <c r="UVV33" t="str">
        <f t="shared" si="490"/>
        <v/>
      </c>
      <c r="UVW33" t="str">
        <f t="shared" si="490"/>
        <v/>
      </c>
      <c r="UVX33" t="str">
        <f t="shared" si="490"/>
        <v/>
      </c>
      <c r="UVY33" t="str">
        <f t="shared" si="490"/>
        <v/>
      </c>
      <c r="UVZ33" t="str">
        <f t="shared" si="490"/>
        <v/>
      </c>
      <c r="UWA33" t="str">
        <f t="shared" si="490"/>
        <v/>
      </c>
      <c r="UWB33" t="str">
        <f t="shared" si="490"/>
        <v/>
      </c>
      <c r="UWC33" t="str">
        <f t="shared" ref="UWC33:UYN33" si="491">TRIM(UWT17)</f>
        <v/>
      </c>
      <c r="UWD33" t="str">
        <f t="shared" si="491"/>
        <v/>
      </c>
      <c r="UWE33" t="str">
        <f t="shared" si="491"/>
        <v/>
      </c>
      <c r="UWF33" t="str">
        <f t="shared" si="491"/>
        <v/>
      </c>
      <c r="UWG33" t="str">
        <f t="shared" si="491"/>
        <v/>
      </c>
      <c r="UWH33" t="str">
        <f t="shared" si="491"/>
        <v/>
      </c>
      <c r="UWI33" t="str">
        <f t="shared" si="491"/>
        <v/>
      </c>
      <c r="UWJ33" t="str">
        <f t="shared" si="491"/>
        <v/>
      </c>
      <c r="UWK33" t="str">
        <f t="shared" si="491"/>
        <v/>
      </c>
      <c r="UWL33" t="str">
        <f t="shared" si="491"/>
        <v/>
      </c>
      <c r="UWM33" t="str">
        <f t="shared" si="491"/>
        <v/>
      </c>
      <c r="UWN33" t="str">
        <f t="shared" si="491"/>
        <v/>
      </c>
      <c r="UWO33" t="str">
        <f t="shared" si="491"/>
        <v/>
      </c>
      <c r="UWP33" t="str">
        <f t="shared" si="491"/>
        <v/>
      </c>
      <c r="UWQ33" t="str">
        <f t="shared" si="491"/>
        <v/>
      </c>
      <c r="UWR33" t="str">
        <f t="shared" si="491"/>
        <v/>
      </c>
      <c r="UWS33" t="str">
        <f t="shared" si="491"/>
        <v/>
      </c>
      <c r="UWT33" t="str">
        <f t="shared" si="491"/>
        <v/>
      </c>
      <c r="UWU33" t="str">
        <f t="shared" si="491"/>
        <v/>
      </c>
      <c r="UWV33" t="str">
        <f t="shared" si="491"/>
        <v/>
      </c>
      <c r="UWW33" t="str">
        <f t="shared" si="491"/>
        <v/>
      </c>
      <c r="UWX33" t="str">
        <f t="shared" si="491"/>
        <v/>
      </c>
      <c r="UWY33" t="str">
        <f t="shared" si="491"/>
        <v/>
      </c>
      <c r="UWZ33" t="str">
        <f t="shared" si="491"/>
        <v/>
      </c>
      <c r="UXA33" t="str">
        <f t="shared" si="491"/>
        <v/>
      </c>
      <c r="UXB33" t="str">
        <f t="shared" si="491"/>
        <v/>
      </c>
      <c r="UXC33" t="str">
        <f t="shared" si="491"/>
        <v/>
      </c>
      <c r="UXD33" t="str">
        <f t="shared" si="491"/>
        <v/>
      </c>
      <c r="UXE33" t="str">
        <f t="shared" si="491"/>
        <v/>
      </c>
      <c r="UXF33" t="str">
        <f t="shared" si="491"/>
        <v/>
      </c>
      <c r="UXG33" t="str">
        <f t="shared" si="491"/>
        <v/>
      </c>
      <c r="UXH33" t="str">
        <f t="shared" si="491"/>
        <v/>
      </c>
      <c r="UXI33" t="str">
        <f t="shared" si="491"/>
        <v/>
      </c>
      <c r="UXJ33" t="str">
        <f t="shared" si="491"/>
        <v/>
      </c>
      <c r="UXK33" t="str">
        <f t="shared" si="491"/>
        <v/>
      </c>
      <c r="UXL33" t="str">
        <f t="shared" si="491"/>
        <v/>
      </c>
      <c r="UXM33" t="str">
        <f t="shared" si="491"/>
        <v/>
      </c>
      <c r="UXN33" t="str">
        <f t="shared" si="491"/>
        <v/>
      </c>
      <c r="UXO33" t="str">
        <f t="shared" si="491"/>
        <v/>
      </c>
      <c r="UXP33" t="str">
        <f t="shared" si="491"/>
        <v/>
      </c>
      <c r="UXQ33" t="str">
        <f t="shared" si="491"/>
        <v/>
      </c>
      <c r="UXR33" t="str">
        <f t="shared" si="491"/>
        <v/>
      </c>
      <c r="UXS33" t="str">
        <f t="shared" si="491"/>
        <v/>
      </c>
      <c r="UXT33" t="str">
        <f t="shared" si="491"/>
        <v/>
      </c>
      <c r="UXU33" t="str">
        <f t="shared" si="491"/>
        <v/>
      </c>
      <c r="UXV33" t="str">
        <f t="shared" si="491"/>
        <v/>
      </c>
      <c r="UXW33" t="str">
        <f t="shared" si="491"/>
        <v/>
      </c>
      <c r="UXX33" t="str">
        <f t="shared" si="491"/>
        <v/>
      </c>
      <c r="UXY33" t="str">
        <f t="shared" si="491"/>
        <v/>
      </c>
      <c r="UXZ33" t="str">
        <f t="shared" si="491"/>
        <v/>
      </c>
      <c r="UYA33" t="str">
        <f t="shared" si="491"/>
        <v/>
      </c>
      <c r="UYB33" t="str">
        <f t="shared" si="491"/>
        <v/>
      </c>
      <c r="UYC33" t="str">
        <f t="shared" si="491"/>
        <v/>
      </c>
      <c r="UYD33" t="str">
        <f t="shared" si="491"/>
        <v/>
      </c>
      <c r="UYE33" t="str">
        <f t="shared" si="491"/>
        <v/>
      </c>
      <c r="UYF33" t="str">
        <f t="shared" si="491"/>
        <v/>
      </c>
      <c r="UYG33" t="str">
        <f t="shared" si="491"/>
        <v/>
      </c>
      <c r="UYH33" t="str">
        <f t="shared" si="491"/>
        <v/>
      </c>
      <c r="UYI33" t="str">
        <f t="shared" si="491"/>
        <v/>
      </c>
      <c r="UYJ33" t="str">
        <f t="shared" si="491"/>
        <v/>
      </c>
      <c r="UYK33" t="str">
        <f t="shared" si="491"/>
        <v/>
      </c>
      <c r="UYL33" t="str">
        <f t="shared" si="491"/>
        <v/>
      </c>
      <c r="UYM33" t="str">
        <f t="shared" si="491"/>
        <v/>
      </c>
      <c r="UYN33" t="str">
        <f t="shared" si="491"/>
        <v/>
      </c>
      <c r="UYO33" t="str">
        <f t="shared" ref="UYO33:VAZ33" si="492">TRIM(UZF17)</f>
        <v/>
      </c>
      <c r="UYP33" t="str">
        <f t="shared" si="492"/>
        <v/>
      </c>
      <c r="UYQ33" t="str">
        <f t="shared" si="492"/>
        <v/>
      </c>
      <c r="UYR33" t="str">
        <f t="shared" si="492"/>
        <v/>
      </c>
      <c r="UYS33" t="str">
        <f t="shared" si="492"/>
        <v/>
      </c>
      <c r="UYT33" t="str">
        <f t="shared" si="492"/>
        <v/>
      </c>
      <c r="UYU33" t="str">
        <f t="shared" si="492"/>
        <v/>
      </c>
      <c r="UYV33" t="str">
        <f t="shared" si="492"/>
        <v/>
      </c>
      <c r="UYW33" t="str">
        <f t="shared" si="492"/>
        <v/>
      </c>
      <c r="UYX33" t="str">
        <f t="shared" si="492"/>
        <v/>
      </c>
      <c r="UYY33" t="str">
        <f t="shared" si="492"/>
        <v/>
      </c>
      <c r="UYZ33" t="str">
        <f t="shared" si="492"/>
        <v/>
      </c>
      <c r="UZA33" t="str">
        <f t="shared" si="492"/>
        <v/>
      </c>
      <c r="UZB33" t="str">
        <f t="shared" si="492"/>
        <v/>
      </c>
      <c r="UZC33" t="str">
        <f t="shared" si="492"/>
        <v/>
      </c>
      <c r="UZD33" t="str">
        <f t="shared" si="492"/>
        <v/>
      </c>
      <c r="UZE33" t="str">
        <f t="shared" si="492"/>
        <v/>
      </c>
      <c r="UZF33" t="str">
        <f t="shared" si="492"/>
        <v/>
      </c>
      <c r="UZG33" t="str">
        <f t="shared" si="492"/>
        <v/>
      </c>
      <c r="UZH33" t="str">
        <f t="shared" si="492"/>
        <v/>
      </c>
      <c r="UZI33" t="str">
        <f t="shared" si="492"/>
        <v/>
      </c>
      <c r="UZJ33" t="str">
        <f t="shared" si="492"/>
        <v/>
      </c>
      <c r="UZK33" t="str">
        <f t="shared" si="492"/>
        <v/>
      </c>
      <c r="UZL33" t="str">
        <f t="shared" si="492"/>
        <v/>
      </c>
      <c r="UZM33" t="str">
        <f t="shared" si="492"/>
        <v/>
      </c>
      <c r="UZN33" t="str">
        <f t="shared" si="492"/>
        <v/>
      </c>
      <c r="UZO33" t="str">
        <f t="shared" si="492"/>
        <v/>
      </c>
      <c r="UZP33" t="str">
        <f t="shared" si="492"/>
        <v/>
      </c>
      <c r="UZQ33" t="str">
        <f t="shared" si="492"/>
        <v/>
      </c>
      <c r="UZR33" t="str">
        <f t="shared" si="492"/>
        <v/>
      </c>
      <c r="UZS33" t="str">
        <f t="shared" si="492"/>
        <v/>
      </c>
      <c r="UZT33" t="str">
        <f t="shared" si="492"/>
        <v/>
      </c>
      <c r="UZU33" t="str">
        <f t="shared" si="492"/>
        <v/>
      </c>
      <c r="UZV33" t="str">
        <f t="shared" si="492"/>
        <v/>
      </c>
      <c r="UZW33" t="str">
        <f t="shared" si="492"/>
        <v/>
      </c>
      <c r="UZX33" t="str">
        <f t="shared" si="492"/>
        <v/>
      </c>
      <c r="UZY33" t="str">
        <f t="shared" si="492"/>
        <v/>
      </c>
      <c r="UZZ33" t="str">
        <f t="shared" si="492"/>
        <v/>
      </c>
      <c r="VAA33" t="str">
        <f t="shared" si="492"/>
        <v/>
      </c>
      <c r="VAB33" t="str">
        <f t="shared" si="492"/>
        <v/>
      </c>
      <c r="VAC33" t="str">
        <f t="shared" si="492"/>
        <v/>
      </c>
      <c r="VAD33" t="str">
        <f t="shared" si="492"/>
        <v/>
      </c>
      <c r="VAE33" t="str">
        <f t="shared" si="492"/>
        <v/>
      </c>
      <c r="VAF33" t="str">
        <f t="shared" si="492"/>
        <v/>
      </c>
      <c r="VAG33" t="str">
        <f t="shared" si="492"/>
        <v/>
      </c>
      <c r="VAH33" t="str">
        <f t="shared" si="492"/>
        <v/>
      </c>
      <c r="VAI33" t="str">
        <f t="shared" si="492"/>
        <v/>
      </c>
      <c r="VAJ33" t="str">
        <f t="shared" si="492"/>
        <v/>
      </c>
      <c r="VAK33" t="str">
        <f t="shared" si="492"/>
        <v/>
      </c>
      <c r="VAL33" t="str">
        <f t="shared" si="492"/>
        <v/>
      </c>
      <c r="VAM33" t="str">
        <f t="shared" si="492"/>
        <v/>
      </c>
      <c r="VAN33" t="str">
        <f t="shared" si="492"/>
        <v/>
      </c>
      <c r="VAO33" t="str">
        <f t="shared" si="492"/>
        <v/>
      </c>
      <c r="VAP33" t="str">
        <f t="shared" si="492"/>
        <v/>
      </c>
      <c r="VAQ33" t="str">
        <f t="shared" si="492"/>
        <v/>
      </c>
      <c r="VAR33" t="str">
        <f t="shared" si="492"/>
        <v/>
      </c>
      <c r="VAS33" t="str">
        <f t="shared" si="492"/>
        <v/>
      </c>
      <c r="VAT33" t="str">
        <f t="shared" si="492"/>
        <v/>
      </c>
      <c r="VAU33" t="str">
        <f t="shared" si="492"/>
        <v/>
      </c>
      <c r="VAV33" t="str">
        <f t="shared" si="492"/>
        <v/>
      </c>
      <c r="VAW33" t="str">
        <f t="shared" si="492"/>
        <v/>
      </c>
      <c r="VAX33" t="str">
        <f t="shared" si="492"/>
        <v/>
      </c>
      <c r="VAY33" t="str">
        <f t="shared" si="492"/>
        <v/>
      </c>
      <c r="VAZ33" t="str">
        <f t="shared" si="492"/>
        <v/>
      </c>
      <c r="VBA33" t="str">
        <f t="shared" ref="VBA33:VDL33" si="493">TRIM(VBR17)</f>
        <v/>
      </c>
      <c r="VBB33" t="str">
        <f t="shared" si="493"/>
        <v/>
      </c>
      <c r="VBC33" t="str">
        <f t="shared" si="493"/>
        <v/>
      </c>
      <c r="VBD33" t="str">
        <f t="shared" si="493"/>
        <v/>
      </c>
      <c r="VBE33" t="str">
        <f t="shared" si="493"/>
        <v/>
      </c>
      <c r="VBF33" t="str">
        <f t="shared" si="493"/>
        <v/>
      </c>
      <c r="VBG33" t="str">
        <f t="shared" si="493"/>
        <v/>
      </c>
      <c r="VBH33" t="str">
        <f t="shared" si="493"/>
        <v/>
      </c>
      <c r="VBI33" t="str">
        <f t="shared" si="493"/>
        <v/>
      </c>
      <c r="VBJ33" t="str">
        <f t="shared" si="493"/>
        <v/>
      </c>
      <c r="VBK33" t="str">
        <f t="shared" si="493"/>
        <v/>
      </c>
      <c r="VBL33" t="str">
        <f t="shared" si="493"/>
        <v/>
      </c>
      <c r="VBM33" t="str">
        <f t="shared" si="493"/>
        <v/>
      </c>
      <c r="VBN33" t="str">
        <f t="shared" si="493"/>
        <v/>
      </c>
      <c r="VBO33" t="str">
        <f t="shared" si="493"/>
        <v/>
      </c>
      <c r="VBP33" t="str">
        <f t="shared" si="493"/>
        <v/>
      </c>
      <c r="VBQ33" t="str">
        <f t="shared" si="493"/>
        <v/>
      </c>
      <c r="VBR33" t="str">
        <f t="shared" si="493"/>
        <v/>
      </c>
      <c r="VBS33" t="str">
        <f t="shared" si="493"/>
        <v/>
      </c>
      <c r="VBT33" t="str">
        <f t="shared" si="493"/>
        <v/>
      </c>
      <c r="VBU33" t="str">
        <f t="shared" si="493"/>
        <v/>
      </c>
      <c r="VBV33" t="str">
        <f t="shared" si="493"/>
        <v/>
      </c>
      <c r="VBW33" t="str">
        <f t="shared" si="493"/>
        <v/>
      </c>
      <c r="VBX33" t="str">
        <f t="shared" si="493"/>
        <v/>
      </c>
      <c r="VBY33" t="str">
        <f t="shared" si="493"/>
        <v/>
      </c>
      <c r="VBZ33" t="str">
        <f t="shared" si="493"/>
        <v/>
      </c>
      <c r="VCA33" t="str">
        <f t="shared" si="493"/>
        <v/>
      </c>
      <c r="VCB33" t="str">
        <f t="shared" si="493"/>
        <v/>
      </c>
      <c r="VCC33" t="str">
        <f t="shared" si="493"/>
        <v/>
      </c>
      <c r="VCD33" t="str">
        <f t="shared" si="493"/>
        <v/>
      </c>
      <c r="VCE33" t="str">
        <f t="shared" si="493"/>
        <v/>
      </c>
      <c r="VCF33" t="str">
        <f t="shared" si="493"/>
        <v/>
      </c>
      <c r="VCG33" t="str">
        <f t="shared" si="493"/>
        <v/>
      </c>
      <c r="VCH33" t="str">
        <f t="shared" si="493"/>
        <v/>
      </c>
      <c r="VCI33" t="str">
        <f t="shared" si="493"/>
        <v/>
      </c>
      <c r="VCJ33" t="str">
        <f t="shared" si="493"/>
        <v/>
      </c>
      <c r="VCK33" t="str">
        <f t="shared" si="493"/>
        <v/>
      </c>
      <c r="VCL33" t="str">
        <f t="shared" si="493"/>
        <v/>
      </c>
      <c r="VCM33" t="str">
        <f t="shared" si="493"/>
        <v/>
      </c>
      <c r="VCN33" t="str">
        <f t="shared" si="493"/>
        <v/>
      </c>
      <c r="VCO33" t="str">
        <f t="shared" si="493"/>
        <v/>
      </c>
      <c r="VCP33" t="str">
        <f t="shared" si="493"/>
        <v/>
      </c>
      <c r="VCQ33" t="str">
        <f t="shared" si="493"/>
        <v/>
      </c>
      <c r="VCR33" t="str">
        <f t="shared" si="493"/>
        <v/>
      </c>
      <c r="VCS33" t="str">
        <f t="shared" si="493"/>
        <v/>
      </c>
      <c r="VCT33" t="str">
        <f t="shared" si="493"/>
        <v/>
      </c>
      <c r="VCU33" t="str">
        <f t="shared" si="493"/>
        <v/>
      </c>
      <c r="VCV33" t="str">
        <f t="shared" si="493"/>
        <v/>
      </c>
      <c r="VCW33" t="str">
        <f t="shared" si="493"/>
        <v/>
      </c>
      <c r="VCX33" t="str">
        <f t="shared" si="493"/>
        <v/>
      </c>
      <c r="VCY33" t="str">
        <f t="shared" si="493"/>
        <v/>
      </c>
      <c r="VCZ33" t="str">
        <f t="shared" si="493"/>
        <v/>
      </c>
      <c r="VDA33" t="str">
        <f t="shared" si="493"/>
        <v/>
      </c>
      <c r="VDB33" t="str">
        <f t="shared" si="493"/>
        <v/>
      </c>
      <c r="VDC33" t="str">
        <f t="shared" si="493"/>
        <v/>
      </c>
      <c r="VDD33" t="str">
        <f t="shared" si="493"/>
        <v/>
      </c>
      <c r="VDE33" t="str">
        <f t="shared" si="493"/>
        <v/>
      </c>
      <c r="VDF33" t="str">
        <f t="shared" si="493"/>
        <v/>
      </c>
      <c r="VDG33" t="str">
        <f t="shared" si="493"/>
        <v/>
      </c>
      <c r="VDH33" t="str">
        <f t="shared" si="493"/>
        <v/>
      </c>
      <c r="VDI33" t="str">
        <f t="shared" si="493"/>
        <v/>
      </c>
      <c r="VDJ33" t="str">
        <f t="shared" si="493"/>
        <v/>
      </c>
      <c r="VDK33" t="str">
        <f t="shared" si="493"/>
        <v/>
      </c>
      <c r="VDL33" t="str">
        <f t="shared" si="493"/>
        <v/>
      </c>
      <c r="VDM33" t="str">
        <f t="shared" ref="VDM33:VFX33" si="494">TRIM(VED17)</f>
        <v/>
      </c>
      <c r="VDN33" t="str">
        <f t="shared" si="494"/>
        <v/>
      </c>
      <c r="VDO33" t="str">
        <f t="shared" si="494"/>
        <v/>
      </c>
      <c r="VDP33" t="str">
        <f t="shared" si="494"/>
        <v/>
      </c>
      <c r="VDQ33" t="str">
        <f t="shared" si="494"/>
        <v/>
      </c>
      <c r="VDR33" t="str">
        <f t="shared" si="494"/>
        <v/>
      </c>
      <c r="VDS33" t="str">
        <f t="shared" si="494"/>
        <v/>
      </c>
      <c r="VDT33" t="str">
        <f t="shared" si="494"/>
        <v/>
      </c>
      <c r="VDU33" t="str">
        <f t="shared" si="494"/>
        <v/>
      </c>
      <c r="VDV33" t="str">
        <f t="shared" si="494"/>
        <v/>
      </c>
      <c r="VDW33" t="str">
        <f t="shared" si="494"/>
        <v/>
      </c>
      <c r="VDX33" t="str">
        <f t="shared" si="494"/>
        <v/>
      </c>
      <c r="VDY33" t="str">
        <f t="shared" si="494"/>
        <v/>
      </c>
      <c r="VDZ33" t="str">
        <f t="shared" si="494"/>
        <v/>
      </c>
      <c r="VEA33" t="str">
        <f t="shared" si="494"/>
        <v/>
      </c>
      <c r="VEB33" t="str">
        <f t="shared" si="494"/>
        <v/>
      </c>
      <c r="VEC33" t="str">
        <f t="shared" si="494"/>
        <v/>
      </c>
      <c r="VED33" t="str">
        <f t="shared" si="494"/>
        <v/>
      </c>
      <c r="VEE33" t="str">
        <f t="shared" si="494"/>
        <v/>
      </c>
      <c r="VEF33" t="str">
        <f t="shared" si="494"/>
        <v/>
      </c>
      <c r="VEG33" t="str">
        <f t="shared" si="494"/>
        <v/>
      </c>
      <c r="VEH33" t="str">
        <f t="shared" si="494"/>
        <v/>
      </c>
      <c r="VEI33" t="str">
        <f t="shared" si="494"/>
        <v/>
      </c>
      <c r="VEJ33" t="str">
        <f t="shared" si="494"/>
        <v/>
      </c>
      <c r="VEK33" t="str">
        <f t="shared" si="494"/>
        <v/>
      </c>
      <c r="VEL33" t="str">
        <f t="shared" si="494"/>
        <v/>
      </c>
      <c r="VEM33" t="str">
        <f t="shared" si="494"/>
        <v/>
      </c>
      <c r="VEN33" t="str">
        <f t="shared" si="494"/>
        <v/>
      </c>
      <c r="VEO33" t="str">
        <f t="shared" si="494"/>
        <v/>
      </c>
      <c r="VEP33" t="str">
        <f t="shared" si="494"/>
        <v/>
      </c>
      <c r="VEQ33" t="str">
        <f t="shared" si="494"/>
        <v/>
      </c>
      <c r="VER33" t="str">
        <f t="shared" si="494"/>
        <v/>
      </c>
      <c r="VES33" t="str">
        <f t="shared" si="494"/>
        <v/>
      </c>
      <c r="VET33" t="str">
        <f t="shared" si="494"/>
        <v/>
      </c>
      <c r="VEU33" t="str">
        <f t="shared" si="494"/>
        <v/>
      </c>
      <c r="VEV33" t="str">
        <f t="shared" si="494"/>
        <v/>
      </c>
      <c r="VEW33" t="str">
        <f t="shared" si="494"/>
        <v/>
      </c>
      <c r="VEX33" t="str">
        <f t="shared" si="494"/>
        <v/>
      </c>
      <c r="VEY33" t="str">
        <f t="shared" si="494"/>
        <v/>
      </c>
      <c r="VEZ33" t="str">
        <f t="shared" si="494"/>
        <v/>
      </c>
      <c r="VFA33" t="str">
        <f t="shared" si="494"/>
        <v/>
      </c>
      <c r="VFB33" t="str">
        <f t="shared" si="494"/>
        <v/>
      </c>
      <c r="VFC33" t="str">
        <f t="shared" si="494"/>
        <v/>
      </c>
      <c r="VFD33" t="str">
        <f t="shared" si="494"/>
        <v/>
      </c>
      <c r="VFE33" t="str">
        <f t="shared" si="494"/>
        <v/>
      </c>
      <c r="VFF33" t="str">
        <f t="shared" si="494"/>
        <v/>
      </c>
      <c r="VFG33" t="str">
        <f t="shared" si="494"/>
        <v/>
      </c>
      <c r="VFH33" t="str">
        <f t="shared" si="494"/>
        <v/>
      </c>
      <c r="VFI33" t="str">
        <f t="shared" si="494"/>
        <v/>
      </c>
      <c r="VFJ33" t="str">
        <f t="shared" si="494"/>
        <v/>
      </c>
      <c r="VFK33" t="str">
        <f t="shared" si="494"/>
        <v/>
      </c>
      <c r="VFL33" t="str">
        <f t="shared" si="494"/>
        <v/>
      </c>
      <c r="VFM33" t="str">
        <f t="shared" si="494"/>
        <v/>
      </c>
      <c r="VFN33" t="str">
        <f t="shared" si="494"/>
        <v/>
      </c>
      <c r="VFO33" t="str">
        <f t="shared" si="494"/>
        <v/>
      </c>
      <c r="VFP33" t="str">
        <f t="shared" si="494"/>
        <v/>
      </c>
      <c r="VFQ33" t="str">
        <f t="shared" si="494"/>
        <v/>
      </c>
      <c r="VFR33" t="str">
        <f t="shared" si="494"/>
        <v/>
      </c>
      <c r="VFS33" t="str">
        <f t="shared" si="494"/>
        <v/>
      </c>
      <c r="VFT33" t="str">
        <f t="shared" si="494"/>
        <v/>
      </c>
      <c r="VFU33" t="str">
        <f t="shared" si="494"/>
        <v/>
      </c>
      <c r="VFV33" t="str">
        <f t="shared" si="494"/>
        <v/>
      </c>
      <c r="VFW33" t="str">
        <f t="shared" si="494"/>
        <v/>
      </c>
      <c r="VFX33" t="str">
        <f t="shared" si="494"/>
        <v/>
      </c>
      <c r="VFY33" t="str">
        <f t="shared" ref="VFY33:VIJ33" si="495">TRIM(VGP17)</f>
        <v/>
      </c>
      <c r="VFZ33" t="str">
        <f t="shared" si="495"/>
        <v/>
      </c>
      <c r="VGA33" t="str">
        <f t="shared" si="495"/>
        <v/>
      </c>
      <c r="VGB33" t="str">
        <f t="shared" si="495"/>
        <v/>
      </c>
      <c r="VGC33" t="str">
        <f t="shared" si="495"/>
        <v/>
      </c>
      <c r="VGD33" t="str">
        <f t="shared" si="495"/>
        <v/>
      </c>
      <c r="VGE33" t="str">
        <f t="shared" si="495"/>
        <v/>
      </c>
      <c r="VGF33" t="str">
        <f t="shared" si="495"/>
        <v/>
      </c>
      <c r="VGG33" t="str">
        <f t="shared" si="495"/>
        <v/>
      </c>
      <c r="VGH33" t="str">
        <f t="shared" si="495"/>
        <v/>
      </c>
      <c r="VGI33" t="str">
        <f t="shared" si="495"/>
        <v/>
      </c>
      <c r="VGJ33" t="str">
        <f t="shared" si="495"/>
        <v/>
      </c>
      <c r="VGK33" t="str">
        <f t="shared" si="495"/>
        <v/>
      </c>
      <c r="VGL33" t="str">
        <f t="shared" si="495"/>
        <v/>
      </c>
      <c r="VGM33" t="str">
        <f t="shared" si="495"/>
        <v/>
      </c>
      <c r="VGN33" t="str">
        <f t="shared" si="495"/>
        <v/>
      </c>
      <c r="VGO33" t="str">
        <f t="shared" si="495"/>
        <v/>
      </c>
      <c r="VGP33" t="str">
        <f t="shared" si="495"/>
        <v/>
      </c>
      <c r="VGQ33" t="str">
        <f t="shared" si="495"/>
        <v/>
      </c>
      <c r="VGR33" t="str">
        <f t="shared" si="495"/>
        <v/>
      </c>
      <c r="VGS33" t="str">
        <f t="shared" si="495"/>
        <v/>
      </c>
      <c r="VGT33" t="str">
        <f t="shared" si="495"/>
        <v/>
      </c>
      <c r="VGU33" t="str">
        <f t="shared" si="495"/>
        <v/>
      </c>
      <c r="VGV33" t="str">
        <f t="shared" si="495"/>
        <v/>
      </c>
      <c r="VGW33" t="str">
        <f t="shared" si="495"/>
        <v/>
      </c>
      <c r="VGX33" t="str">
        <f t="shared" si="495"/>
        <v/>
      </c>
      <c r="VGY33" t="str">
        <f t="shared" si="495"/>
        <v/>
      </c>
      <c r="VGZ33" t="str">
        <f t="shared" si="495"/>
        <v/>
      </c>
      <c r="VHA33" t="str">
        <f t="shared" si="495"/>
        <v/>
      </c>
      <c r="VHB33" t="str">
        <f t="shared" si="495"/>
        <v/>
      </c>
      <c r="VHC33" t="str">
        <f t="shared" si="495"/>
        <v/>
      </c>
      <c r="VHD33" t="str">
        <f t="shared" si="495"/>
        <v/>
      </c>
      <c r="VHE33" t="str">
        <f t="shared" si="495"/>
        <v/>
      </c>
      <c r="VHF33" t="str">
        <f t="shared" si="495"/>
        <v/>
      </c>
      <c r="VHG33" t="str">
        <f t="shared" si="495"/>
        <v/>
      </c>
      <c r="VHH33" t="str">
        <f t="shared" si="495"/>
        <v/>
      </c>
      <c r="VHI33" t="str">
        <f t="shared" si="495"/>
        <v/>
      </c>
      <c r="VHJ33" t="str">
        <f t="shared" si="495"/>
        <v/>
      </c>
      <c r="VHK33" t="str">
        <f t="shared" si="495"/>
        <v/>
      </c>
      <c r="VHL33" t="str">
        <f t="shared" si="495"/>
        <v/>
      </c>
      <c r="VHM33" t="str">
        <f t="shared" si="495"/>
        <v/>
      </c>
      <c r="VHN33" t="str">
        <f t="shared" si="495"/>
        <v/>
      </c>
      <c r="VHO33" t="str">
        <f t="shared" si="495"/>
        <v/>
      </c>
      <c r="VHP33" t="str">
        <f t="shared" si="495"/>
        <v/>
      </c>
      <c r="VHQ33" t="str">
        <f t="shared" si="495"/>
        <v/>
      </c>
      <c r="VHR33" t="str">
        <f t="shared" si="495"/>
        <v/>
      </c>
      <c r="VHS33" t="str">
        <f t="shared" si="495"/>
        <v/>
      </c>
      <c r="VHT33" t="str">
        <f t="shared" si="495"/>
        <v/>
      </c>
      <c r="VHU33" t="str">
        <f t="shared" si="495"/>
        <v/>
      </c>
      <c r="VHV33" t="str">
        <f t="shared" si="495"/>
        <v/>
      </c>
      <c r="VHW33" t="str">
        <f t="shared" si="495"/>
        <v/>
      </c>
      <c r="VHX33" t="str">
        <f t="shared" si="495"/>
        <v/>
      </c>
      <c r="VHY33" t="str">
        <f t="shared" si="495"/>
        <v/>
      </c>
      <c r="VHZ33" t="str">
        <f t="shared" si="495"/>
        <v/>
      </c>
      <c r="VIA33" t="str">
        <f t="shared" si="495"/>
        <v/>
      </c>
      <c r="VIB33" t="str">
        <f t="shared" si="495"/>
        <v/>
      </c>
      <c r="VIC33" t="str">
        <f t="shared" si="495"/>
        <v/>
      </c>
      <c r="VID33" t="str">
        <f t="shared" si="495"/>
        <v/>
      </c>
      <c r="VIE33" t="str">
        <f t="shared" si="495"/>
        <v/>
      </c>
      <c r="VIF33" t="str">
        <f t="shared" si="495"/>
        <v/>
      </c>
      <c r="VIG33" t="str">
        <f t="shared" si="495"/>
        <v/>
      </c>
      <c r="VIH33" t="str">
        <f t="shared" si="495"/>
        <v/>
      </c>
      <c r="VII33" t="str">
        <f t="shared" si="495"/>
        <v/>
      </c>
      <c r="VIJ33" t="str">
        <f t="shared" si="495"/>
        <v/>
      </c>
      <c r="VIK33" t="str">
        <f t="shared" ref="VIK33:VKV33" si="496">TRIM(VJB17)</f>
        <v/>
      </c>
      <c r="VIL33" t="str">
        <f t="shared" si="496"/>
        <v/>
      </c>
      <c r="VIM33" t="str">
        <f t="shared" si="496"/>
        <v/>
      </c>
      <c r="VIN33" t="str">
        <f t="shared" si="496"/>
        <v/>
      </c>
      <c r="VIO33" t="str">
        <f t="shared" si="496"/>
        <v/>
      </c>
      <c r="VIP33" t="str">
        <f t="shared" si="496"/>
        <v/>
      </c>
      <c r="VIQ33" t="str">
        <f t="shared" si="496"/>
        <v/>
      </c>
      <c r="VIR33" t="str">
        <f t="shared" si="496"/>
        <v/>
      </c>
      <c r="VIS33" t="str">
        <f t="shared" si="496"/>
        <v/>
      </c>
      <c r="VIT33" t="str">
        <f t="shared" si="496"/>
        <v/>
      </c>
      <c r="VIU33" t="str">
        <f t="shared" si="496"/>
        <v/>
      </c>
      <c r="VIV33" t="str">
        <f t="shared" si="496"/>
        <v/>
      </c>
      <c r="VIW33" t="str">
        <f t="shared" si="496"/>
        <v/>
      </c>
      <c r="VIX33" t="str">
        <f t="shared" si="496"/>
        <v/>
      </c>
      <c r="VIY33" t="str">
        <f t="shared" si="496"/>
        <v/>
      </c>
      <c r="VIZ33" t="str">
        <f t="shared" si="496"/>
        <v/>
      </c>
      <c r="VJA33" t="str">
        <f t="shared" si="496"/>
        <v/>
      </c>
      <c r="VJB33" t="str">
        <f t="shared" si="496"/>
        <v/>
      </c>
      <c r="VJC33" t="str">
        <f t="shared" si="496"/>
        <v/>
      </c>
      <c r="VJD33" t="str">
        <f t="shared" si="496"/>
        <v/>
      </c>
      <c r="VJE33" t="str">
        <f t="shared" si="496"/>
        <v/>
      </c>
      <c r="VJF33" t="str">
        <f t="shared" si="496"/>
        <v/>
      </c>
      <c r="VJG33" t="str">
        <f t="shared" si="496"/>
        <v/>
      </c>
      <c r="VJH33" t="str">
        <f t="shared" si="496"/>
        <v/>
      </c>
      <c r="VJI33" t="str">
        <f t="shared" si="496"/>
        <v/>
      </c>
      <c r="VJJ33" t="str">
        <f t="shared" si="496"/>
        <v/>
      </c>
      <c r="VJK33" t="str">
        <f t="shared" si="496"/>
        <v/>
      </c>
      <c r="VJL33" t="str">
        <f t="shared" si="496"/>
        <v/>
      </c>
      <c r="VJM33" t="str">
        <f t="shared" si="496"/>
        <v/>
      </c>
      <c r="VJN33" t="str">
        <f t="shared" si="496"/>
        <v/>
      </c>
      <c r="VJO33" t="str">
        <f t="shared" si="496"/>
        <v/>
      </c>
      <c r="VJP33" t="str">
        <f t="shared" si="496"/>
        <v/>
      </c>
      <c r="VJQ33" t="str">
        <f t="shared" si="496"/>
        <v/>
      </c>
      <c r="VJR33" t="str">
        <f t="shared" si="496"/>
        <v/>
      </c>
      <c r="VJS33" t="str">
        <f t="shared" si="496"/>
        <v/>
      </c>
      <c r="VJT33" t="str">
        <f t="shared" si="496"/>
        <v/>
      </c>
      <c r="VJU33" t="str">
        <f t="shared" si="496"/>
        <v/>
      </c>
      <c r="VJV33" t="str">
        <f t="shared" si="496"/>
        <v/>
      </c>
      <c r="VJW33" t="str">
        <f t="shared" si="496"/>
        <v/>
      </c>
      <c r="VJX33" t="str">
        <f t="shared" si="496"/>
        <v/>
      </c>
      <c r="VJY33" t="str">
        <f t="shared" si="496"/>
        <v/>
      </c>
      <c r="VJZ33" t="str">
        <f t="shared" si="496"/>
        <v/>
      </c>
      <c r="VKA33" t="str">
        <f t="shared" si="496"/>
        <v/>
      </c>
      <c r="VKB33" t="str">
        <f t="shared" si="496"/>
        <v/>
      </c>
      <c r="VKC33" t="str">
        <f t="shared" si="496"/>
        <v/>
      </c>
      <c r="VKD33" t="str">
        <f t="shared" si="496"/>
        <v/>
      </c>
      <c r="VKE33" t="str">
        <f t="shared" si="496"/>
        <v/>
      </c>
      <c r="VKF33" t="str">
        <f t="shared" si="496"/>
        <v/>
      </c>
      <c r="VKG33" t="str">
        <f t="shared" si="496"/>
        <v/>
      </c>
      <c r="VKH33" t="str">
        <f t="shared" si="496"/>
        <v/>
      </c>
      <c r="VKI33" t="str">
        <f t="shared" si="496"/>
        <v/>
      </c>
      <c r="VKJ33" t="str">
        <f t="shared" si="496"/>
        <v/>
      </c>
      <c r="VKK33" t="str">
        <f t="shared" si="496"/>
        <v/>
      </c>
      <c r="VKL33" t="str">
        <f t="shared" si="496"/>
        <v/>
      </c>
      <c r="VKM33" t="str">
        <f t="shared" si="496"/>
        <v/>
      </c>
      <c r="VKN33" t="str">
        <f t="shared" si="496"/>
        <v/>
      </c>
      <c r="VKO33" t="str">
        <f t="shared" si="496"/>
        <v/>
      </c>
      <c r="VKP33" t="str">
        <f t="shared" si="496"/>
        <v/>
      </c>
      <c r="VKQ33" t="str">
        <f t="shared" si="496"/>
        <v/>
      </c>
      <c r="VKR33" t="str">
        <f t="shared" si="496"/>
        <v/>
      </c>
      <c r="VKS33" t="str">
        <f t="shared" si="496"/>
        <v/>
      </c>
      <c r="VKT33" t="str">
        <f t="shared" si="496"/>
        <v/>
      </c>
      <c r="VKU33" t="str">
        <f t="shared" si="496"/>
        <v/>
      </c>
      <c r="VKV33" t="str">
        <f t="shared" si="496"/>
        <v/>
      </c>
      <c r="VKW33" t="str">
        <f t="shared" ref="VKW33:VNH33" si="497">TRIM(VLN17)</f>
        <v/>
      </c>
      <c r="VKX33" t="str">
        <f t="shared" si="497"/>
        <v/>
      </c>
      <c r="VKY33" t="str">
        <f t="shared" si="497"/>
        <v/>
      </c>
      <c r="VKZ33" t="str">
        <f t="shared" si="497"/>
        <v/>
      </c>
      <c r="VLA33" t="str">
        <f t="shared" si="497"/>
        <v/>
      </c>
      <c r="VLB33" t="str">
        <f t="shared" si="497"/>
        <v/>
      </c>
      <c r="VLC33" t="str">
        <f t="shared" si="497"/>
        <v/>
      </c>
      <c r="VLD33" t="str">
        <f t="shared" si="497"/>
        <v/>
      </c>
      <c r="VLE33" t="str">
        <f t="shared" si="497"/>
        <v/>
      </c>
      <c r="VLF33" t="str">
        <f t="shared" si="497"/>
        <v/>
      </c>
      <c r="VLG33" t="str">
        <f t="shared" si="497"/>
        <v/>
      </c>
      <c r="VLH33" t="str">
        <f t="shared" si="497"/>
        <v/>
      </c>
      <c r="VLI33" t="str">
        <f t="shared" si="497"/>
        <v/>
      </c>
      <c r="VLJ33" t="str">
        <f t="shared" si="497"/>
        <v/>
      </c>
      <c r="VLK33" t="str">
        <f t="shared" si="497"/>
        <v/>
      </c>
      <c r="VLL33" t="str">
        <f t="shared" si="497"/>
        <v/>
      </c>
      <c r="VLM33" t="str">
        <f t="shared" si="497"/>
        <v/>
      </c>
      <c r="VLN33" t="str">
        <f t="shared" si="497"/>
        <v/>
      </c>
      <c r="VLO33" t="str">
        <f t="shared" si="497"/>
        <v/>
      </c>
      <c r="VLP33" t="str">
        <f t="shared" si="497"/>
        <v/>
      </c>
      <c r="VLQ33" t="str">
        <f t="shared" si="497"/>
        <v/>
      </c>
      <c r="VLR33" t="str">
        <f t="shared" si="497"/>
        <v/>
      </c>
      <c r="VLS33" t="str">
        <f t="shared" si="497"/>
        <v/>
      </c>
      <c r="VLT33" t="str">
        <f t="shared" si="497"/>
        <v/>
      </c>
      <c r="VLU33" t="str">
        <f t="shared" si="497"/>
        <v/>
      </c>
      <c r="VLV33" t="str">
        <f t="shared" si="497"/>
        <v/>
      </c>
      <c r="VLW33" t="str">
        <f t="shared" si="497"/>
        <v/>
      </c>
      <c r="VLX33" t="str">
        <f t="shared" si="497"/>
        <v/>
      </c>
      <c r="VLY33" t="str">
        <f t="shared" si="497"/>
        <v/>
      </c>
      <c r="VLZ33" t="str">
        <f t="shared" si="497"/>
        <v/>
      </c>
      <c r="VMA33" t="str">
        <f t="shared" si="497"/>
        <v/>
      </c>
      <c r="VMB33" t="str">
        <f t="shared" si="497"/>
        <v/>
      </c>
      <c r="VMC33" t="str">
        <f t="shared" si="497"/>
        <v/>
      </c>
      <c r="VMD33" t="str">
        <f t="shared" si="497"/>
        <v/>
      </c>
      <c r="VME33" t="str">
        <f t="shared" si="497"/>
        <v/>
      </c>
      <c r="VMF33" t="str">
        <f t="shared" si="497"/>
        <v/>
      </c>
      <c r="VMG33" t="str">
        <f t="shared" si="497"/>
        <v/>
      </c>
      <c r="VMH33" t="str">
        <f t="shared" si="497"/>
        <v/>
      </c>
      <c r="VMI33" t="str">
        <f t="shared" si="497"/>
        <v/>
      </c>
      <c r="VMJ33" t="str">
        <f t="shared" si="497"/>
        <v/>
      </c>
      <c r="VMK33" t="str">
        <f t="shared" si="497"/>
        <v/>
      </c>
      <c r="VML33" t="str">
        <f t="shared" si="497"/>
        <v/>
      </c>
      <c r="VMM33" t="str">
        <f t="shared" si="497"/>
        <v/>
      </c>
      <c r="VMN33" t="str">
        <f t="shared" si="497"/>
        <v/>
      </c>
      <c r="VMO33" t="str">
        <f t="shared" si="497"/>
        <v/>
      </c>
      <c r="VMP33" t="str">
        <f t="shared" si="497"/>
        <v/>
      </c>
      <c r="VMQ33" t="str">
        <f t="shared" si="497"/>
        <v/>
      </c>
      <c r="VMR33" t="str">
        <f t="shared" si="497"/>
        <v/>
      </c>
      <c r="VMS33" t="str">
        <f t="shared" si="497"/>
        <v/>
      </c>
      <c r="VMT33" t="str">
        <f t="shared" si="497"/>
        <v/>
      </c>
      <c r="VMU33" t="str">
        <f t="shared" si="497"/>
        <v/>
      </c>
      <c r="VMV33" t="str">
        <f t="shared" si="497"/>
        <v/>
      </c>
      <c r="VMW33" t="str">
        <f t="shared" si="497"/>
        <v/>
      </c>
      <c r="VMX33" t="str">
        <f t="shared" si="497"/>
        <v/>
      </c>
      <c r="VMY33" t="str">
        <f t="shared" si="497"/>
        <v/>
      </c>
      <c r="VMZ33" t="str">
        <f t="shared" si="497"/>
        <v/>
      </c>
      <c r="VNA33" t="str">
        <f t="shared" si="497"/>
        <v/>
      </c>
      <c r="VNB33" t="str">
        <f t="shared" si="497"/>
        <v/>
      </c>
      <c r="VNC33" t="str">
        <f t="shared" si="497"/>
        <v/>
      </c>
      <c r="VND33" t="str">
        <f t="shared" si="497"/>
        <v/>
      </c>
      <c r="VNE33" t="str">
        <f t="shared" si="497"/>
        <v/>
      </c>
      <c r="VNF33" t="str">
        <f t="shared" si="497"/>
        <v/>
      </c>
      <c r="VNG33" t="str">
        <f t="shared" si="497"/>
        <v/>
      </c>
      <c r="VNH33" t="str">
        <f t="shared" si="497"/>
        <v/>
      </c>
      <c r="VNI33" t="str">
        <f t="shared" ref="VNI33:VPT33" si="498">TRIM(VNZ17)</f>
        <v/>
      </c>
      <c r="VNJ33" t="str">
        <f t="shared" si="498"/>
        <v/>
      </c>
      <c r="VNK33" t="str">
        <f t="shared" si="498"/>
        <v/>
      </c>
      <c r="VNL33" t="str">
        <f t="shared" si="498"/>
        <v/>
      </c>
      <c r="VNM33" t="str">
        <f t="shared" si="498"/>
        <v/>
      </c>
      <c r="VNN33" t="str">
        <f t="shared" si="498"/>
        <v/>
      </c>
      <c r="VNO33" t="str">
        <f t="shared" si="498"/>
        <v/>
      </c>
      <c r="VNP33" t="str">
        <f t="shared" si="498"/>
        <v/>
      </c>
      <c r="VNQ33" t="str">
        <f t="shared" si="498"/>
        <v/>
      </c>
      <c r="VNR33" t="str">
        <f t="shared" si="498"/>
        <v/>
      </c>
      <c r="VNS33" t="str">
        <f t="shared" si="498"/>
        <v/>
      </c>
      <c r="VNT33" t="str">
        <f t="shared" si="498"/>
        <v/>
      </c>
      <c r="VNU33" t="str">
        <f t="shared" si="498"/>
        <v/>
      </c>
      <c r="VNV33" t="str">
        <f t="shared" si="498"/>
        <v/>
      </c>
      <c r="VNW33" t="str">
        <f t="shared" si="498"/>
        <v/>
      </c>
      <c r="VNX33" t="str">
        <f t="shared" si="498"/>
        <v/>
      </c>
      <c r="VNY33" t="str">
        <f t="shared" si="498"/>
        <v/>
      </c>
      <c r="VNZ33" t="str">
        <f t="shared" si="498"/>
        <v/>
      </c>
      <c r="VOA33" t="str">
        <f t="shared" si="498"/>
        <v/>
      </c>
      <c r="VOB33" t="str">
        <f t="shared" si="498"/>
        <v/>
      </c>
      <c r="VOC33" t="str">
        <f t="shared" si="498"/>
        <v/>
      </c>
      <c r="VOD33" t="str">
        <f t="shared" si="498"/>
        <v/>
      </c>
      <c r="VOE33" t="str">
        <f t="shared" si="498"/>
        <v/>
      </c>
      <c r="VOF33" t="str">
        <f t="shared" si="498"/>
        <v/>
      </c>
      <c r="VOG33" t="str">
        <f t="shared" si="498"/>
        <v/>
      </c>
      <c r="VOH33" t="str">
        <f t="shared" si="498"/>
        <v/>
      </c>
      <c r="VOI33" t="str">
        <f t="shared" si="498"/>
        <v/>
      </c>
      <c r="VOJ33" t="str">
        <f t="shared" si="498"/>
        <v/>
      </c>
      <c r="VOK33" t="str">
        <f t="shared" si="498"/>
        <v/>
      </c>
      <c r="VOL33" t="str">
        <f t="shared" si="498"/>
        <v/>
      </c>
      <c r="VOM33" t="str">
        <f t="shared" si="498"/>
        <v/>
      </c>
      <c r="VON33" t="str">
        <f t="shared" si="498"/>
        <v/>
      </c>
      <c r="VOO33" t="str">
        <f t="shared" si="498"/>
        <v/>
      </c>
      <c r="VOP33" t="str">
        <f t="shared" si="498"/>
        <v/>
      </c>
      <c r="VOQ33" t="str">
        <f t="shared" si="498"/>
        <v/>
      </c>
      <c r="VOR33" t="str">
        <f t="shared" si="498"/>
        <v/>
      </c>
      <c r="VOS33" t="str">
        <f t="shared" si="498"/>
        <v/>
      </c>
      <c r="VOT33" t="str">
        <f t="shared" si="498"/>
        <v/>
      </c>
      <c r="VOU33" t="str">
        <f t="shared" si="498"/>
        <v/>
      </c>
      <c r="VOV33" t="str">
        <f t="shared" si="498"/>
        <v/>
      </c>
      <c r="VOW33" t="str">
        <f t="shared" si="498"/>
        <v/>
      </c>
      <c r="VOX33" t="str">
        <f t="shared" si="498"/>
        <v/>
      </c>
      <c r="VOY33" t="str">
        <f t="shared" si="498"/>
        <v/>
      </c>
      <c r="VOZ33" t="str">
        <f t="shared" si="498"/>
        <v/>
      </c>
      <c r="VPA33" t="str">
        <f t="shared" si="498"/>
        <v/>
      </c>
      <c r="VPB33" t="str">
        <f t="shared" si="498"/>
        <v/>
      </c>
      <c r="VPC33" t="str">
        <f t="shared" si="498"/>
        <v/>
      </c>
      <c r="VPD33" t="str">
        <f t="shared" si="498"/>
        <v/>
      </c>
      <c r="VPE33" t="str">
        <f t="shared" si="498"/>
        <v/>
      </c>
      <c r="VPF33" t="str">
        <f t="shared" si="498"/>
        <v/>
      </c>
      <c r="VPG33" t="str">
        <f t="shared" si="498"/>
        <v/>
      </c>
      <c r="VPH33" t="str">
        <f t="shared" si="498"/>
        <v/>
      </c>
      <c r="VPI33" t="str">
        <f t="shared" si="498"/>
        <v/>
      </c>
      <c r="VPJ33" t="str">
        <f t="shared" si="498"/>
        <v/>
      </c>
      <c r="VPK33" t="str">
        <f t="shared" si="498"/>
        <v/>
      </c>
      <c r="VPL33" t="str">
        <f t="shared" si="498"/>
        <v/>
      </c>
      <c r="VPM33" t="str">
        <f t="shared" si="498"/>
        <v/>
      </c>
      <c r="VPN33" t="str">
        <f t="shared" si="498"/>
        <v/>
      </c>
      <c r="VPO33" t="str">
        <f t="shared" si="498"/>
        <v/>
      </c>
      <c r="VPP33" t="str">
        <f t="shared" si="498"/>
        <v/>
      </c>
      <c r="VPQ33" t="str">
        <f t="shared" si="498"/>
        <v/>
      </c>
      <c r="VPR33" t="str">
        <f t="shared" si="498"/>
        <v/>
      </c>
      <c r="VPS33" t="str">
        <f t="shared" si="498"/>
        <v/>
      </c>
      <c r="VPT33" t="str">
        <f t="shared" si="498"/>
        <v/>
      </c>
      <c r="VPU33" t="str">
        <f t="shared" ref="VPU33:VSF33" si="499">TRIM(VQL17)</f>
        <v/>
      </c>
      <c r="VPV33" t="str">
        <f t="shared" si="499"/>
        <v/>
      </c>
      <c r="VPW33" t="str">
        <f t="shared" si="499"/>
        <v/>
      </c>
      <c r="VPX33" t="str">
        <f t="shared" si="499"/>
        <v/>
      </c>
      <c r="VPY33" t="str">
        <f t="shared" si="499"/>
        <v/>
      </c>
      <c r="VPZ33" t="str">
        <f t="shared" si="499"/>
        <v/>
      </c>
      <c r="VQA33" t="str">
        <f t="shared" si="499"/>
        <v/>
      </c>
      <c r="VQB33" t="str">
        <f t="shared" si="499"/>
        <v/>
      </c>
      <c r="VQC33" t="str">
        <f t="shared" si="499"/>
        <v/>
      </c>
      <c r="VQD33" t="str">
        <f t="shared" si="499"/>
        <v/>
      </c>
      <c r="VQE33" t="str">
        <f t="shared" si="499"/>
        <v/>
      </c>
      <c r="VQF33" t="str">
        <f t="shared" si="499"/>
        <v/>
      </c>
      <c r="VQG33" t="str">
        <f t="shared" si="499"/>
        <v/>
      </c>
      <c r="VQH33" t="str">
        <f t="shared" si="499"/>
        <v/>
      </c>
      <c r="VQI33" t="str">
        <f t="shared" si="499"/>
        <v/>
      </c>
      <c r="VQJ33" t="str">
        <f t="shared" si="499"/>
        <v/>
      </c>
      <c r="VQK33" t="str">
        <f t="shared" si="499"/>
        <v/>
      </c>
      <c r="VQL33" t="str">
        <f t="shared" si="499"/>
        <v/>
      </c>
      <c r="VQM33" t="str">
        <f t="shared" si="499"/>
        <v/>
      </c>
      <c r="VQN33" t="str">
        <f t="shared" si="499"/>
        <v/>
      </c>
      <c r="VQO33" t="str">
        <f t="shared" si="499"/>
        <v/>
      </c>
      <c r="VQP33" t="str">
        <f t="shared" si="499"/>
        <v/>
      </c>
      <c r="VQQ33" t="str">
        <f t="shared" si="499"/>
        <v/>
      </c>
      <c r="VQR33" t="str">
        <f t="shared" si="499"/>
        <v/>
      </c>
      <c r="VQS33" t="str">
        <f t="shared" si="499"/>
        <v/>
      </c>
      <c r="VQT33" t="str">
        <f t="shared" si="499"/>
        <v/>
      </c>
      <c r="VQU33" t="str">
        <f t="shared" si="499"/>
        <v/>
      </c>
      <c r="VQV33" t="str">
        <f t="shared" si="499"/>
        <v/>
      </c>
      <c r="VQW33" t="str">
        <f t="shared" si="499"/>
        <v/>
      </c>
      <c r="VQX33" t="str">
        <f t="shared" si="499"/>
        <v/>
      </c>
      <c r="VQY33" t="str">
        <f t="shared" si="499"/>
        <v/>
      </c>
      <c r="VQZ33" t="str">
        <f t="shared" si="499"/>
        <v/>
      </c>
      <c r="VRA33" t="str">
        <f t="shared" si="499"/>
        <v/>
      </c>
      <c r="VRB33" t="str">
        <f t="shared" si="499"/>
        <v/>
      </c>
      <c r="VRC33" t="str">
        <f t="shared" si="499"/>
        <v/>
      </c>
      <c r="VRD33" t="str">
        <f t="shared" si="499"/>
        <v/>
      </c>
      <c r="VRE33" t="str">
        <f t="shared" si="499"/>
        <v/>
      </c>
      <c r="VRF33" t="str">
        <f t="shared" si="499"/>
        <v/>
      </c>
      <c r="VRG33" t="str">
        <f t="shared" si="499"/>
        <v/>
      </c>
      <c r="VRH33" t="str">
        <f t="shared" si="499"/>
        <v/>
      </c>
      <c r="VRI33" t="str">
        <f t="shared" si="499"/>
        <v/>
      </c>
      <c r="VRJ33" t="str">
        <f t="shared" si="499"/>
        <v/>
      </c>
      <c r="VRK33" t="str">
        <f t="shared" si="499"/>
        <v/>
      </c>
      <c r="VRL33" t="str">
        <f t="shared" si="499"/>
        <v/>
      </c>
      <c r="VRM33" t="str">
        <f t="shared" si="499"/>
        <v/>
      </c>
      <c r="VRN33" t="str">
        <f t="shared" si="499"/>
        <v/>
      </c>
      <c r="VRO33" t="str">
        <f t="shared" si="499"/>
        <v/>
      </c>
      <c r="VRP33" t="str">
        <f t="shared" si="499"/>
        <v/>
      </c>
      <c r="VRQ33" t="str">
        <f t="shared" si="499"/>
        <v/>
      </c>
      <c r="VRR33" t="str">
        <f t="shared" si="499"/>
        <v/>
      </c>
      <c r="VRS33" t="str">
        <f t="shared" si="499"/>
        <v/>
      </c>
      <c r="VRT33" t="str">
        <f t="shared" si="499"/>
        <v/>
      </c>
      <c r="VRU33" t="str">
        <f t="shared" si="499"/>
        <v/>
      </c>
      <c r="VRV33" t="str">
        <f t="shared" si="499"/>
        <v/>
      </c>
      <c r="VRW33" t="str">
        <f t="shared" si="499"/>
        <v/>
      </c>
      <c r="VRX33" t="str">
        <f t="shared" si="499"/>
        <v/>
      </c>
      <c r="VRY33" t="str">
        <f t="shared" si="499"/>
        <v/>
      </c>
      <c r="VRZ33" t="str">
        <f t="shared" si="499"/>
        <v/>
      </c>
      <c r="VSA33" t="str">
        <f t="shared" si="499"/>
        <v/>
      </c>
      <c r="VSB33" t="str">
        <f t="shared" si="499"/>
        <v/>
      </c>
      <c r="VSC33" t="str">
        <f t="shared" si="499"/>
        <v/>
      </c>
      <c r="VSD33" t="str">
        <f t="shared" si="499"/>
        <v/>
      </c>
      <c r="VSE33" t="str">
        <f t="shared" si="499"/>
        <v/>
      </c>
      <c r="VSF33" t="str">
        <f t="shared" si="499"/>
        <v/>
      </c>
      <c r="VSG33" t="str">
        <f t="shared" ref="VSG33:VUR33" si="500">TRIM(VSX17)</f>
        <v/>
      </c>
      <c r="VSH33" t="str">
        <f t="shared" si="500"/>
        <v/>
      </c>
      <c r="VSI33" t="str">
        <f t="shared" si="500"/>
        <v/>
      </c>
      <c r="VSJ33" t="str">
        <f t="shared" si="500"/>
        <v/>
      </c>
      <c r="VSK33" t="str">
        <f t="shared" si="500"/>
        <v/>
      </c>
      <c r="VSL33" t="str">
        <f t="shared" si="500"/>
        <v/>
      </c>
      <c r="VSM33" t="str">
        <f t="shared" si="500"/>
        <v/>
      </c>
      <c r="VSN33" t="str">
        <f t="shared" si="500"/>
        <v/>
      </c>
      <c r="VSO33" t="str">
        <f t="shared" si="500"/>
        <v/>
      </c>
      <c r="VSP33" t="str">
        <f t="shared" si="500"/>
        <v/>
      </c>
      <c r="VSQ33" t="str">
        <f t="shared" si="500"/>
        <v/>
      </c>
      <c r="VSR33" t="str">
        <f t="shared" si="500"/>
        <v/>
      </c>
      <c r="VSS33" t="str">
        <f t="shared" si="500"/>
        <v/>
      </c>
      <c r="VST33" t="str">
        <f t="shared" si="500"/>
        <v/>
      </c>
      <c r="VSU33" t="str">
        <f t="shared" si="500"/>
        <v/>
      </c>
      <c r="VSV33" t="str">
        <f t="shared" si="500"/>
        <v/>
      </c>
      <c r="VSW33" t="str">
        <f t="shared" si="500"/>
        <v/>
      </c>
      <c r="VSX33" t="str">
        <f t="shared" si="500"/>
        <v/>
      </c>
      <c r="VSY33" t="str">
        <f t="shared" si="500"/>
        <v/>
      </c>
      <c r="VSZ33" t="str">
        <f t="shared" si="500"/>
        <v/>
      </c>
      <c r="VTA33" t="str">
        <f t="shared" si="500"/>
        <v/>
      </c>
      <c r="VTB33" t="str">
        <f t="shared" si="500"/>
        <v/>
      </c>
      <c r="VTC33" t="str">
        <f t="shared" si="500"/>
        <v/>
      </c>
      <c r="VTD33" t="str">
        <f t="shared" si="500"/>
        <v/>
      </c>
      <c r="VTE33" t="str">
        <f t="shared" si="500"/>
        <v/>
      </c>
      <c r="VTF33" t="str">
        <f t="shared" si="500"/>
        <v/>
      </c>
      <c r="VTG33" t="str">
        <f t="shared" si="500"/>
        <v/>
      </c>
      <c r="VTH33" t="str">
        <f t="shared" si="500"/>
        <v/>
      </c>
      <c r="VTI33" t="str">
        <f t="shared" si="500"/>
        <v/>
      </c>
      <c r="VTJ33" t="str">
        <f t="shared" si="500"/>
        <v/>
      </c>
      <c r="VTK33" t="str">
        <f t="shared" si="500"/>
        <v/>
      </c>
      <c r="VTL33" t="str">
        <f t="shared" si="500"/>
        <v/>
      </c>
      <c r="VTM33" t="str">
        <f t="shared" si="500"/>
        <v/>
      </c>
      <c r="VTN33" t="str">
        <f t="shared" si="500"/>
        <v/>
      </c>
      <c r="VTO33" t="str">
        <f t="shared" si="500"/>
        <v/>
      </c>
      <c r="VTP33" t="str">
        <f t="shared" si="500"/>
        <v/>
      </c>
      <c r="VTQ33" t="str">
        <f t="shared" si="500"/>
        <v/>
      </c>
      <c r="VTR33" t="str">
        <f t="shared" si="500"/>
        <v/>
      </c>
      <c r="VTS33" t="str">
        <f t="shared" si="500"/>
        <v/>
      </c>
      <c r="VTT33" t="str">
        <f t="shared" si="500"/>
        <v/>
      </c>
      <c r="VTU33" t="str">
        <f t="shared" si="500"/>
        <v/>
      </c>
      <c r="VTV33" t="str">
        <f t="shared" si="500"/>
        <v/>
      </c>
      <c r="VTW33" t="str">
        <f t="shared" si="500"/>
        <v/>
      </c>
      <c r="VTX33" t="str">
        <f t="shared" si="500"/>
        <v/>
      </c>
      <c r="VTY33" t="str">
        <f t="shared" si="500"/>
        <v/>
      </c>
      <c r="VTZ33" t="str">
        <f t="shared" si="500"/>
        <v/>
      </c>
      <c r="VUA33" t="str">
        <f t="shared" si="500"/>
        <v/>
      </c>
      <c r="VUB33" t="str">
        <f t="shared" si="500"/>
        <v/>
      </c>
      <c r="VUC33" t="str">
        <f t="shared" si="500"/>
        <v/>
      </c>
      <c r="VUD33" t="str">
        <f t="shared" si="500"/>
        <v/>
      </c>
      <c r="VUE33" t="str">
        <f t="shared" si="500"/>
        <v/>
      </c>
      <c r="VUF33" t="str">
        <f t="shared" si="500"/>
        <v/>
      </c>
      <c r="VUG33" t="str">
        <f t="shared" si="500"/>
        <v/>
      </c>
      <c r="VUH33" t="str">
        <f t="shared" si="500"/>
        <v/>
      </c>
      <c r="VUI33" t="str">
        <f t="shared" si="500"/>
        <v/>
      </c>
      <c r="VUJ33" t="str">
        <f t="shared" si="500"/>
        <v/>
      </c>
      <c r="VUK33" t="str">
        <f t="shared" si="500"/>
        <v/>
      </c>
      <c r="VUL33" t="str">
        <f t="shared" si="500"/>
        <v/>
      </c>
      <c r="VUM33" t="str">
        <f t="shared" si="500"/>
        <v/>
      </c>
      <c r="VUN33" t="str">
        <f t="shared" si="500"/>
        <v/>
      </c>
      <c r="VUO33" t="str">
        <f t="shared" si="500"/>
        <v/>
      </c>
      <c r="VUP33" t="str">
        <f t="shared" si="500"/>
        <v/>
      </c>
      <c r="VUQ33" t="str">
        <f t="shared" si="500"/>
        <v/>
      </c>
      <c r="VUR33" t="str">
        <f t="shared" si="500"/>
        <v/>
      </c>
      <c r="VUS33" t="str">
        <f t="shared" ref="VUS33:VXD33" si="501">TRIM(VVJ17)</f>
        <v/>
      </c>
      <c r="VUT33" t="str">
        <f t="shared" si="501"/>
        <v/>
      </c>
      <c r="VUU33" t="str">
        <f t="shared" si="501"/>
        <v/>
      </c>
      <c r="VUV33" t="str">
        <f t="shared" si="501"/>
        <v/>
      </c>
      <c r="VUW33" t="str">
        <f t="shared" si="501"/>
        <v/>
      </c>
      <c r="VUX33" t="str">
        <f t="shared" si="501"/>
        <v/>
      </c>
      <c r="VUY33" t="str">
        <f t="shared" si="501"/>
        <v/>
      </c>
      <c r="VUZ33" t="str">
        <f t="shared" si="501"/>
        <v/>
      </c>
      <c r="VVA33" t="str">
        <f t="shared" si="501"/>
        <v/>
      </c>
      <c r="VVB33" t="str">
        <f t="shared" si="501"/>
        <v/>
      </c>
      <c r="VVC33" t="str">
        <f t="shared" si="501"/>
        <v/>
      </c>
      <c r="VVD33" t="str">
        <f t="shared" si="501"/>
        <v/>
      </c>
      <c r="VVE33" t="str">
        <f t="shared" si="501"/>
        <v/>
      </c>
      <c r="VVF33" t="str">
        <f t="shared" si="501"/>
        <v/>
      </c>
      <c r="VVG33" t="str">
        <f t="shared" si="501"/>
        <v/>
      </c>
      <c r="VVH33" t="str">
        <f t="shared" si="501"/>
        <v/>
      </c>
      <c r="VVI33" t="str">
        <f t="shared" si="501"/>
        <v/>
      </c>
      <c r="VVJ33" t="str">
        <f t="shared" si="501"/>
        <v/>
      </c>
      <c r="VVK33" t="str">
        <f t="shared" si="501"/>
        <v/>
      </c>
      <c r="VVL33" t="str">
        <f t="shared" si="501"/>
        <v/>
      </c>
      <c r="VVM33" t="str">
        <f t="shared" si="501"/>
        <v/>
      </c>
      <c r="VVN33" t="str">
        <f t="shared" si="501"/>
        <v/>
      </c>
      <c r="VVO33" t="str">
        <f t="shared" si="501"/>
        <v/>
      </c>
      <c r="VVP33" t="str">
        <f t="shared" si="501"/>
        <v/>
      </c>
      <c r="VVQ33" t="str">
        <f t="shared" si="501"/>
        <v/>
      </c>
      <c r="VVR33" t="str">
        <f t="shared" si="501"/>
        <v/>
      </c>
      <c r="VVS33" t="str">
        <f t="shared" si="501"/>
        <v/>
      </c>
      <c r="VVT33" t="str">
        <f t="shared" si="501"/>
        <v/>
      </c>
      <c r="VVU33" t="str">
        <f t="shared" si="501"/>
        <v/>
      </c>
      <c r="VVV33" t="str">
        <f t="shared" si="501"/>
        <v/>
      </c>
      <c r="VVW33" t="str">
        <f t="shared" si="501"/>
        <v/>
      </c>
      <c r="VVX33" t="str">
        <f t="shared" si="501"/>
        <v/>
      </c>
      <c r="VVY33" t="str">
        <f t="shared" si="501"/>
        <v/>
      </c>
      <c r="VVZ33" t="str">
        <f t="shared" si="501"/>
        <v/>
      </c>
      <c r="VWA33" t="str">
        <f t="shared" si="501"/>
        <v/>
      </c>
      <c r="VWB33" t="str">
        <f t="shared" si="501"/>
        <v/>
      </c>
      <c r="VWC33" t="str">
        <f t="shared" si="501"/>
        <v/>
      </c>
      <c r="VWD33" t="str">
        <f t="shared" si="501"/>
        <v/>
      </c>
      <c r="VWE33" t="str">
        <f t="shared" si="501"/>
        <v/>
      </c>
      <c r="VWF33" t="str">
        <f t="shared" si="501"/>
        <v/>
      </c>
      <c r="VWG33" t="str">
        <f t="shared" si="501"/>
        <v/>
      </c>
      <c r="VWH33" t="str">
        <f t="shared" si="501"/>
        <v/>
      </c>
      <c r="VWI33" t="str">
        <f t="shared" si="501"/>
        <v/>
      </c>
      <c r="VWJ33" t="str">
        <f t="shared" si="501"/>
        <v/>
      </c>
      <c r="VWK33" t="str">
        <f t="shared" si="501"/>
        <v/>
      </c>
      <c r="VWL33" t="str">
        <f t="shared" si="501"/>
        <v/>
      </c>
      <c r="VWM33" t="str">
        <f t="shared" si="501"/>
        <v/>
      </c>
      <c r="VWN33" t="str">
        <f t="shared" si="501"/>
        <v/>
      </c>
      <c r="VWO33" t="str">
        <f t="shared" si="501"/>
        <v/>
      </c>
      <c r="VWP33" t="str">
        <f t="shared" si="501"/>
        <v/>
      </c>
      <c r="VWQ33" t="str">
        <f t="shared" si="501"/>
        <v/>
      </c>
      <c r="VWR33" t="str">
        <f t="shared" si="501"/>
        <v/>
      </c>
      <c r="VWS33" t="str">
        <f t="shared" si="501"/>
        <v/>
      </c>
      <c r="VWT33" t="str">
        <f t="shared" si="501"/>
        <v/>
      </c>
      <c r="VWU33" t="str">
        <f t="shared" si="501"/>
        <v/>
      </c>
      <c r="VWV33" t="str">
        <f t="shared" si="501"/>
        <v/>
      </c>
      <c r="VWW33" t="str">
        <f t="shared" si="501"/>
        <v/>
      </c>
      <c r="VWX33" t="str">
        <f t="shared" si="501"/>
        <v/>
      </c>
      <c r="VWY33" t="str">
        <f t="shared" si="501"/>
        <v/>
      </c>
      <c r="VWZ33" t="str">
        <f t="shared" si="501"/>
        <v/>
      </c>
      <c r="VXA33" t="str">
        <f t="shared" si="501"/>
        <v/>
      </c>
      <c r="VXB33" t="str">
        <f t="shared" si="501"/>
        <v/>
      </c>
      <c r="VXC33" t="str">
        <f t="shared" si="501"/>
        <v/>
      </c>
      <c r="VXD33" t="str">
        <f t="shared" si="501"/>
        <v/>
      </c>
      <c r="VXE33" t="str">
        <f t="shared" ref="VXE33:VZP33" si="502">TRIM(VXV17)</f>
        <v/>
      </c>
      <c r="VXF33" t="str">
        <f t="shared" si="502"/>
        <v/>
      </c>
      <c r="VXG33" t="str">
        <f t="shared" si="502"/>
        <v/>
      </c>
      <c r="VXH33" t="str">
        <f t="shared" si="502"/>
        <v/>
      </c>
      <c r="VXI33" t="str">
        <f t="shared" si="502"/>
        <v/>
      </c>
      <c r="VXJ33" t="str">
        <f t="shared" si="502"/>
        <v/>
      </c>
      <c r="VXK33" t="str">
        <f t="shared" si="502"/>
        <v/>
      </c>
      <c r="VXL33" t="str">
        <f t="shared" si="502"/>
        <v/>
      </c>
      <c r="VXM33" t="str">
        <f t="shared" si="502"/>
        <v/>
      </c>
      <c r="VXN33" t="str">
        <f t="shared" si="502"/>
        <v/>
      </c>
      <c r="VXO33" t="str">
        <f t="shared" si="502"/>
        <v/>
      </c>
      <c r="VXP33" t="str">
        <f t="shared" si="502"/>
        <v/>
      </c>
      <c r="VXQ33" t="str">
        <f t="shared" si="502"/>
        <v/>
      </c>
      <c r="VXR33" t="str">
        <f t="shared" si="502"/>
        <v/>
      </c>
      <c r="VXS33" t="str">
        <f t="shared" si="502"/>
        <v/>
      </c>
      <c r="VXT33" t="str">
        <f t="shared" si="502"/>
        <v/>
      </c>
      <c r="VXU33" t="str">
        <f t="shared" si="502"/>
        <v/>
      </c>
      <c r="VXV33" t="str">
        <f t="shared" si="502"/>
        <v/>
      </c>
      <c r="VXW33" t="str">
        <f t="shared" si="502"/>
        <v/>
      </c>
      <c r="VXX33" t="str">
        <f t="shared" si="502"/>
        <v/>
      </c>
      <c r="VXY33" t="str">
        <f t="shared" si="502"/>
        <v/>
      </c>
      <c r="VXZ33" t="str">
        <f t="shared" si="502"/>
        <v/>
      </c>
      <c r="VYA33" t="str">
        <f t="shared" si="502"/>
        <v/>
      </c>
      <c r="VYB33" t="str">
        <f t="shared" si="502"/>
        <v/>
      </c>
      <c r="VYC33" t="str">
        <f t="shared" si="502"/>
        <v/>
      </c>
      <c r="VYD33" t="str">
        <f t="shared" si="502"/>
        <v/>
      </c>
      <c r="VYE33" t="str">
        <f t="shared" si="502"/>
        <v/>
      </c>
      <c r="VYF33" t="str">
        <f t="shared" si="502"/>
        <v/>
      </c>
      <c r="VYG33" t="str">
        <f t="shared" si="502"/>
        <v/>
      </c>
      <c r="VYH33" t="str">
        <f t="shared" si="502"/>
        <v/>
      </c>
      <c r="VYI33" t="str">
        <f t="shared" si="502"/>
        <v/>
      </c>
      <c r="VYJ33" t="str">
        <f t="shared" si="502"/>
        <v/>
      </c>
      <c r="VYK33" t="str">
        <f t="shared" si="502"/>
        <v/>
      </c>
      <c r="VYL33" t="str">
        <f t="shared" si="502"/>
        <v/>
      </c>
      <c r="VYM33" t="str">
        <f t="shared" si="502"/>
        <v/>
      </c>
      <c r="VYN33" t="str">
        <f t="shared" si="502"/>
        <v/>
      </c>
      <c r="VYO33" t="str">
        <f t="shared" si="502"/>
        <v/>
      </c>
      <c r="VYP33" t="str">
        <f t="shared" si="502"/>
        <v/>
      </c>
      <c r="VYQ33" t="str">
        <f t="shared" si="502"/>
        <v/>
      </c>
      <c r="VYR33" t="str">
        <f t="shared" si="502"/>
        <v/>
      </c>
      <c r="VYS33" t="str">
        <f t="shared" si="502"/>
        <v/>
      </c>
      <c r="VYT33" t="str">
        <f t="shared" si="502"/>
        <v/>
      </c>
      <c r="VYU33" t="str">
        <f t="shared" si="502"/>
        <v/>
      </c>
      <c r="VYV33" t="str">
        <f t="shared" si="502"/>
        <v/>
      </c>
      <c r="VYW33" t="str">
        <f t="shared" si="502"/>
        <v/>
      </c>
      <c r="VYX33" t="str">
        <f t="shared" si="502"/>
        <v/>
      </c>
      <c r="VYY33" t="str">
        <f t="shared" si="502"/>
        <v/>
      </c>
      <c r="VYZ33" t="str">
        <f t="shared" si="502"/>
        <v/>
      </c>
      <c r="VZA33" t="str">
        <f t="shared" si="502"/>
        <v/>
      </c>
      <c r="VZB33" t="str">
        <f t="shared" si="502"/>
        <v/>
      </c>
      <c r="VZC33" t="str">
        <f t="shared" si="502"/>
        <v/>
      </c>
      <c r="VZD33" t="str">
        <f t="shared" si="502"/>
        <v/>
      </c>
      <c r="VZE33" t="str">
        <f t="shared" si="502"/>
        <v/>
      </c>
      <c r="VZF33" t="str">
        <f t="shared" si="502"/>
        <v/>
      </c>
      <c r="VZG33" t="str">
        <f t="shared" si="502"/>
        <v/>
      </c>
      <c r="VZH33" t="str">
        <f t="shared" si="502"/>
        <v/>
      </c>
      <c r="VZI33" t="str">
        <f t="shared" si="502"/>
        <v/>
      </c>
      <c r="VZJ33" t="str">
        <f t="shared" si="502"/>
        <v/>
      </c>
      <c r="VZK33" t="str">
        <f t="shared" si="502"/>
        <v/>
      </c>
      <c r="VZL33" t="str">
        <f t="shared" si="502"/>
        <v/>
      </c>
      <c r="VZM33" t="str">
        <f t="shared" si="502"/>
        <v/>
      </c>
      <c r="VZN33" t="str">
        <f t="shared" si="502"/>
        <v/>
      </c>
      <c r="VZO33" t="str">
        <f t="shared" si="502"/>
        <v/>
      </c>
      <c r="VZP33" t="str">
        <f t="shared" si="502"/>
        <v/>
      </c>
      <c r="VZQ33" t="str">
        <f t="shared" ref="VZQ33:WCB33" si="503">TRIM(WAH17)</f>
        <v/>
      </c>
      <c r="VZR33" t="str">
        <f t="shared" si="503"/>
        <v/>
      </c>
      <c r="VZS33" t="str">
        <f t="shared" si="503"/>
        <v/>
      </c>
      <c r="VZT33" t="str">
        <f t="shared" si="503"/>
        <v/>
      </c>
      <c r="VZU33" t="str">
        <f t="shared" si="503"/>
        <v/>
      </c>
      <c r="VZV33" t="str">
        <f t="shared" si="503"/>
        <v/>
      </c>
      <c r="VZW33" t="str">
        <f t="shared" si="503"/>
        <v/>
      </c>
      <c r="VZX33" t="str">
        <f t="shared" si="503"/>
        <v/>
      </c>
      <c r="VZY33" t="str">
        <f t="shared" si="503"/>
        <v/>
      </c>
      <c r="VZZ33" t="str">
        <f t="shared" si="503"/>
        <v/>
      </c>
      <c r="WAA33" t="str">
        <f t="shared" si="503"/>
        <v/>
      </c>
      <c r="WAB33" t="str">
        <f t="shared" si="503"/>
        <v/>
      </c>
      <c r="WAC33" t="str">
        <f t="shared" si="503"/>
        <v/>
      </c>
      <c r="WAD33" t="str">
        <f t="shared" si="503"/>
        <v/>
      </c>
      <c r="WAE33" t="str">
        <f t="shared" si="503"/>
        <v/>
      </c>
      <c r="WAF33" t="str">
        <f t="shared" si="503"/>
        <v/>
      </c>
      <c r="WAG33" t="str">
        <f t="shared" si="503"/>
        <v/>
      </c>
      <c r="WAH33" t="str">
        <f t="shared" si="503"/>
        <v/>
      </c>
      <c r="WAI33" t="str">
        <f t="shared" si="503"/>
        <v/>
      </c>
      <c r="WAJ33" t="str">
        <f t="shared" si="503"/>
        <v/>
      </c>
      <c r="WAK33" t="str">
        <f t="shared" si="503"/>
        <v/>
      </c>
      <c r="WAL33" t="str">
        <f t="shared" si="503"/>
        <v/>
      </c>
      <c r="WAM33" t="str">
        <f t="shared" si="503"/>
        <v/>
      </c>
      <c r="WAN33" t="str">
        <f t="shared" si="503"/>
        <v/>
      </c>
      <c r="WAO33" t="str">
        <f t="shared" si="503"/>
        <v/>
      </c>
      <c r="WAP33" t="str">
        <f t="shared" si="503"/>
        <v/>
      </c>
      <c r="WAQ33" t="str">
        <f t="shared" si="503"/>
        <v/>
      </c>
      <c r="WAR33" t="str">
        <f t="shared" si="503"/>
        <v/>
      </c>
      <c r="WAS33" t="str">
        <f t="shared" si="503"/>
        <v/>
      </c>
      <c r="WAT33" t="str">
        <f t="shared" si="503"/>
        <v/>
      </c>
      <c r="WAU33" t="str">
        <f t="shared" si="503"/>
        <v/>
      </c>
      <c r="WAV33" t="str">
        <f t="shared" si="503"/>
        <v/>
      </c>
      <c r="WAW33" t="str">
        <f t="shared" si="503"/>
        <v/>
      </c>
      <c r="WAX33" t="str">
        <f t="shared" si="503"/>
        <v/>
      </c>
      <c r="WAY33" t="str">
        <f t="shared" si="503"/>
        <v/>
      </c>
      <c r="WAZ33" t="str">
        <f t="shared" si="503"/>
        <v/>
      </c>
      <c r="WBA33" t="str">
        <f t="shared" si="503"/>
        <v/>
      </c>
      <c r="WBB33" t="str">
        <f t="shared" si="503"/>
        <v/>
      </c>
      <c r="WBC33" t="str">
        <f t="shared" si="503"/>
        <v/>
      </c>
      <c r="WBD33" t="str">
        <f t="shared" si="503"/>
        <v/>
      </c>
      <c r="WBE33" t="str">
        <f t="shared" si="503"/>
        <v/>
      </c>
      <c r="WBF33" t="str">
        <f t="shared" si="503"/>
        <v/>
      </c>
      <c r="WBG33" t="str">
        <f t="shared" si="503"/>
        <v/>
      </c>
      <c r="WBH33" t="str">
        <f t="shared" si="503"/>
        <v/>
      </c>
      <c r="WBI33" t="str">
        <f t="shared" si="503"/>
        <v/>
      </c>
      <c r="WBJ33" t="str">
        <f t="shared" si="503"/>
        <v/>
      </c>
      <c r="WBK33" t="str">
        <f t="shared" si="503"/>
        <v/>
      </c>
      <c r="WBL33" t="str">
        <f t="shared" si="503"/>
        <v/>
      </c>
      <c r="WBM33" t="str">
        <f t="shared" si="503"/>
        <v/>
      </c>
      <c r="WBN33" t="str">
        <f t="shared" si="503"/>
        <v/>
      </c>
      <c r="WBO33" t="str">
        <f t="shared" si="503"/>
        <v/>
      </c>
      <c r="WBP33" t="str">
        <f t="shared" si="503"/>
        <v/>
      </c>
      <c r="WBQ33" t="str">
        <f t="shared" si="503"/>
        <v/>
      </c>
      <c r="WBR33" t="str">
        <f t="shared" si="503"/>
        <v/>
      </c>
      <c r="WBS33" t="str">
        <f t="shared" si="503"/>
        <v/>
      </c>
      <c r="WBT33" t="str">
        <f t="shared" si="503"/>
        <v/>
      </c>
      <c r="WBU33" t="str">
        <f t="shared" si="503"/>
        <v/>
      </c>
      <c r="WBV33" t="str">
        <f t="shared" si="503"/>
        <v/>
      </c>
      <c r="WBW33" t="str">
        <f t="shared" si="503"/>
        <v/>
      </c>
      <c r="WBX33" t="str">
        <f t="shared" si="503"/>
        <v/>
      </c>
      <c r="WBY33" t="str">
        <f t="shared" si="503"/>
        <v/>
      </c>
      <c r="WBZ33" t="str">
        <f t="shared" si="503"/>
        <v/>
      </c>
      <c r="WCA33" t="str">
        <f t="shared" si="503"/>
        <v/>
      </c>
      <c r="WCB33" t="str">
        <f t="shared" si="503"/>
        <v/>
      </c>
      <c r="WCC33" t="str">
        <f t="shared" ref="WCC33:WEN33" si="504">TRIM(WCT17)</f>
        <v/>
      </c>
      <c r="WCD33" t="str">
        <f t="shared" si="504"/>
        <v/>
      </c>
      <c r="WCE33" t="str">
        <f t="shared" si="504"/>
        <v/>
      </c>
      <c r="WCF33" t="str">
        <f t="shared" si="504"/>
        <v/>
      </c>
      <c r="WCG33" t="str">
        <f t="shared" si="504"/>
        <v/>
      </c>
      <c r="WCH33" t="str">
        <f t="shared" si="504"/>
        <v/>
      </c>
      <c r="WCI33" t="str">
        <f t="shared" si="504"/>
        <v/>
      </c>
      <c r="WCJ33" t="str">
        <f t="shared" si="504"/>
        <v/>
      </c>
      <c r="WCK33" t="str">
        <f t="shared" si="504"/>
        <v/>
      </c>
      <c r="WCL33" t="str">
        <f t="shared" si="504"/>
        <v/>
      </c>
      <c r="WCM33" t="str">
        <f t="shared" si="504"/>
        <v/>
      </c>
      <c r="WCN33" t="str">
        <f t="shared" si="504"/>
        <v/>
      </c>
      <c r="WCO33" t="str">
        <f t="shared" si="504"/>
        <v/>
      </c>
      <c r="WCP33" t="str">
        <f t="shared" si="504"/>
        <v/>
      </c>
      <c r="WCQ33" t="str">
        <f t="shared" si="504"/>
        <v/>
      </c>
      <c r="WCR33" t="str">
        <f t="shared" si="504"/>
        <v/>
      </c>
      <c r="WCS33" t="str">
        <f t="shared" si="504"/>
        <v/>
      </c>
      <c r="WCT33" t="str">
        <f t="shared" si="504"/>
        <v/>
      </c>
      <c r="WCU33" t="str">
        <f t="shared" si="504"/>
        <v/>
      </c>
      <c r="WCV33" t="str">
        <f t="shared" si="504"/>
        <v/>
      </c>
      <c r="WCW33" t="str">
        <f t="shared" si="504"/>
        <v/>
      </c>
      <c r="WCX33" t="str">
        <f t="shared" si="504"/>
        <v/>
      </c>
      <c r="WCY33" t="str">
        <f t="shared" si="504"/>
        <v/>
      </c>
      <c r="WCZ33" t="str">
        <f t="shared" si="504"/>
        <v/>
      </c>
      <c r="WDA33" t="str">
        <f t="shared" si="504"/>
        <v/>
      </c>
      <c r="WDB33" t="str">
        <f t="shared" si="504"/>
        <v/>
      </c>
      <c r="WDC33" t="str">
        <f t="shared" si="504"/>
        <v/>
      </c>
      <c r="WDD33" t="str">
        <f t="shared" si="504"/>
        <v/>
      </c>
      <c r="WDE33" t="str">
        <f t="shared" si="504"/>
        <v/>
      </c>
      <c r="WDF33" t="str">
        <f t="shared" si="504"/>
        <v/>
      </c>
      <c r="WDG33" t="str">
        <f t="shared" si="504"/>
        <v/>
      </c>
      <c r="WDH33" t="str">
        <f t="shared" si="504"/>
        <v/>
      </c>
      <c r="WDI33" t="str">
        <f t="shared" si="504"/>
        <v/>
      </c>
      <c r="WDJ33" t="str">
        <f t="shared" si="504"/>
        <v/>
      </c>
      <c r="WDK33" t="str">
        <f t="shared" si="504"/>
        <v/>
      </c>
      <c r="WDL33" t="str">
        <f t="shared" si="504"/>
        <v/>
      </c>
      <c r="WDM33" t="str">
        <f t="shared" si="504"/>
        <v/>
      </c>
      <c r="WDN33" t="str">
        <f t="shared" si="504"/>
        <v/>
      </c>
      <c r="WDO33" t="str">
        <f t="shared" si="504"/>
        <v/>
      </c>
      <c r="WDP33" t="str">
        <f t="shared" si="504"/>
        <v/>
      </c>
      <c r="WDQ33" t="str">
        <f t="shared" si="504"/>
        <v/>
      </c>
      <c r="WDR33" t="str">
        <f t="shared" si="504"/>
        <v/>
      </c>
      <c r="WDS33" t="str">
        <f t="shared" si="504"/>
        <v/>
      </c>
      <c r="WDT33" t="str">
        <f t="shared" si="504"/>
        <v/>
      </c>
      <c r="WDU33" t="str">
        <f t="shared" si="504"/>
        <v/>
      </c>
      <c r="WDV33" t="str">
        <f t="shared" si="504"/>
        <v/>
      </c>
      <c r="WDW33" t="str">
        <f t="shared" si="504"/>
        <v/>
      </c>
      <c r="WDX33" t="str">
        <f t="shared" si="504"/>
        <v/>
      </c>
      <c r="WDY33" t="str">
        <f t="shared" si="504"/>
        <v/>
      </c>
      <c r="WDZ33" t="str">
        <f t="shared" si="504"/>
        <v/>
      </c>
      <c r="WEA33" t="str">
        <f t="shared" si="504"/>
        <v/>
      </c>
      <c r="WEB33" t="str">
        <f t="shared" si="504"/>
        <v/>
      </c>
      <c r="WEC33" t="str">
        <f t="shared" si="504"/>
        <v/>
      </c>
      <c r="WED33" t="str">
        <f t="shared" si="504"/>
        <v/>
      </c>
      <c r="WEE33" t="str">
        <f t="shared" si="504"/>
        <v/>
      </c>
      <c r="WEF33" t="str">
        <f t="shared" si="504"/>
        <v/>
      </c>
      <c r="WEG33" t="str">
        <f t="shared" si="504"/>
        <v/>
      </c>
      <c r="WEH33" t="str">
        <f t="shared" si="504"/>
        <v/>
      </c>
      <c r="WEI33" t="str">
        <f t="shared" si="504"/>
        <v/>
      </c>
      <c r="WEJ33" t="str">
        <f t="shared" si="504"/>
        <v/>
      </c>
      <c r="WEK33" t="str">
        <f t="shared" si="504"/>
        <v/>
      </c>
      <c r="WEL33" t="str">
        <f t="shared" si="504"/>
        <v/>
      </c>
      <c r="WEM33" t="str">
        <f t="shared" si="504"/>
        <v/>
      </c>
      <c r="WEN33" t="str">
        <f t="shared" si="504"/>
        <v/>
      </c>
      <c r="WEO33" t="str">
        <f t="shared" ref="WEO33:WGZ33" si="505">TRIM(WFF17)</f>
        <v/>
      </c>
      <c r="WEP33" t="str">
        <f t="shared" si="505"/>
        <v/>
      </c>
      <c r="WEQ33" t="str">
        <f t="shared" si="505"/>
        <v/>
      </c>
      <c r="WER33" t="str">
        <f t="shared" si="505"/>
        <v/>
      </c>
      <c r="WES33" t="str">
        <f t="shared" si="505"/>
        <v/>
      </c>
      <c r="WET33" t="str">
        <f t="shared" si="505"/>
        <v/>
      </c>
      <c r="WEU33" t="str">
        <f t="shared" si="505"/>
        <v/>
      </c>
      <c r="WEV33" t="str">
        <f t="shared" si="505"/>
        <v/>
      </c>
      <c r="WEW33" t="str">
        <f t="shared" si="505"/>
        <v/>
      </c>
      <c r="WEX33" t="str">
        <f t="shared" si="505"/>
        <v/>
      </c>
      <c r="WEY33" t="str">
        <f t="shared" si="505"/>
        <v/>
      </c>
      <c r="WEZ33" t="str">
        <f t="shared" si="505"/>
        <v/>
      </c>
      <c r="WFA33" t="str">
        <f t="shared" si="505"/>
        <v/>
      </c>
      <c r="WFB33" t="str">
        <f t="shared" si="505"/>
        <v/>
      </c>
      <c r="WFC33" t="str">
        <f t="shared" si="505"/>
        <v/>
      </c>
      <c r="WFD33" t="str">
        <f t="shared" si="505"/>
        <v/>
      </c>
      <c r="WFE33" t="str">
        <f t="shared" si="505"/>
        <v/>
      </c>
      <c r="WFF33" t="str">
        <f t="shared" si="505"/>
        <v/>
      </c>
      <c r="WFG33" t="str">
        <f t="shared" si="505"/>
        <v/>
      </c>
      <c r="WFH33" t="str">
        <f t="shared" si="505"/>
        <v/>
      </c>
      <c r="WFI33" t="str">
        <f t="shared" si="505"/>
        <v/>
      </c>
      <c r="WFJ33" t="str">
        <f t="shared" si="505"/>
        <v/>
      </c>
      <c r="WFK33" t="str">
        <f t="shared" si="505"/>
        <v/>
      </c>
      <c r="WFL33" t="str">
        <f t="shared" si="505"/>
        <v/>
      </c>
      <c r="WFM33" t="str">
        <f t="shared" si="505"/>
        <v/>
      </c>
      <c r="WFN33" t="str">
        <f t="shared" si="505"/>
        <v/>
      </c>
      <c r="WFO33" t="str">
        <f t="shared" si="505"/>
        <v/>
      </c>
      <c r="WFP33" t="str">
        <f t="shared" si="505"/>
        <v/>
      </c>
      <c r="WFQ33" t="str">
        <f t="shared" si="505"/>
        <v/>
      </c>
      <c r="WFR33" t="str">
        <f t="shared" si="505"/>
        <v/>
      </c>
      <c r="WFS33" t="str">
        <f t="shared" si="505"/>
        <v/>
      </c>
      <c r="WFT33" t="str">
        <f t="shared" si="505"/>
        <v/>
      </c>
      <c r="WFU33" t="str">
        <f t="shared" si="505"/>
        <v/>
      </c>
      <c r="WFV33" t="str">
        <f t="shared" si="505"/>
        <v/>
      </c>
      <c r="WFW33" t="str">
        <f t="shared" si="505"/>
        <v/>
      </c>
      <c r="WFX33" t="str">
        <f t="shared" si="505"/>
        <v/>
      </c>
      <c r="WFY33" t="str">
        <f t="shared" si="505"/>
        <v/>
      </c>
      <c r="WFZ33" t="str">
        <f t="shared" si="505"/>
        <v/>
      </c>
      <c r="WGA33" t="str">
        <f t="shared" si="505"/>
        <v/>
      </c>
      <c r="WGB33" t="str">
        <f t="shared" si="505"/>
        <v/>
      </c>
      <c r="WGC33" t="str">
        <f t="shared" si="505"/>
        <v/>
      </c>
      <c r="WGD33" t="str">
        <f t="shared" si="505"/>
        <v/>
      </c>
      <c r="WGE33" t="str">
        <f t="shared" si="505"/>
        <v/>
      </c>
      <c r="WGF33" t="str">
        <f t="shared" si="505"/>
        <v/>
      </c>
      <c r="WGG33" t="str">
        <f t="shared" si="505"/>
        <v/>
      </c>
      <c r="WGH33" t="str">
        <f t="shared" si="505"/>
        <v/>
      </c>
      <c r="WGI33" t="str">
        <f t="shared" si="505"/>
        <v/>
      </c>
      <c r="WGJ33" t="str">
        <f t="shared" si="505"/>
        <v/>
      </c>
      <c r="WGK33" t="str">
        <f t="shared" si="505"/>
        <v/>
      </c>
      <c r="WGL33" t="str">
        <f t="shared" si="505"/>
        <v/>
      </c>
      <c r="WGM33" t="str">
        <f t="shared" si="505"/>
        <v/>
      </c>
      <c r="WGN33" t="str">
        <f t="shared" si="505"/>
        <v/>
      </c>
      <c r="WGO33" t="str">
        <f t="shared" si="505"/>
        <v/>
      </c>
      <c r="WGP33" t="str">
        <f t="shared" si="505"/>
        <v/>
      </c>
      <c r="WGQ33" t="str">
        <f t="shared" si="505"/>
        <v/>
      </c>
      <c r="WGR33" t="str">
        <f t="shared" si="505"/>
        <v/>
      </c>
      <c r="WGS33" t="str">
        <f t="shared" si="505"/>
        <v/>
      </c>
      <c r="WGT33" t="str">
        <f t="shared" si="505"/>
        <v/>
      </c>
      <c r="WGU33" t="str">
        <f t="shared" si="505"/>
        <v/>
      </c>
      <c r="WGV33" t="str">
        <f t="shared" si="505"/>
        <v/>
      </c>
      <c r="WGW33" t="str">
        <f t="shared" si="505"/>
        <v/>
      </c>
      <c r="WGX33" t="str">
        <f t="shared" si="505"/>
        <v/>
      </c>
      <c r="WGY33" t="str">
        <f t="shared" si="505"/>
        <v/>
      </c>
      <c r="WGZ33" t="str">
        <f t="shared" si="505"/>
        <v/>
      </c>
      <c r="WHA33" t="str">
        <f t="shared" ref="WHA33:WJL33" si="506">TRIM(WHR17)</f>
        <v/>
      </c>
      <c r="WHB33" t="str">
        <f t="shared" si="506"/>
        <v/>
      </c>
      <c r="WHC33" t="str">
        <f t="shared" si="506"/>
        <v/>
      </c>
      <c r="WHD33" t="str">
        <f t="shared" si="506"/>
        <v/>
      </c>
      <c r="WHE33" t="str">
        <f t="shared" si="506"/>
        <v/>
      </c>
      <c r="WHF33" t="str">
        <f t="shared" si="506"/>
        <v/>
      </c>
      <c r="WHG33" t="str">
        <f t="shared" si="506"/>
        <v/>
      </c>
      <c r="WHH33" t="str">
        <f t="shared" si="506"/>
        <v/>
      </c>
      <c r="WHI33" t="str">
        <f t="shared" si="506"/>
        <v/>
      </c>
      <c r="WHJ33" t="str">
        <f t="shared" si="506"/>
        <v/>
      </c>
      <c r="WHK33" t="str">
        <f t="shared" si="506"/>
        <v/>
      </c>
      <c r="WHL33" t="str">
        <f t="shared" si="506"/>
        <v/>
      </c>
      <c r="WHM33" t="str">
        <f t="shared" si="506"/>
        <v/>
      </c>
      <c r="WHN33" t="str">
        <f t="shared" si="506"/>
        <v/>
      </c>
      <c r="WHO33" t="str">
        <f t="shared" si="506"/>
        <v/>
      </c>
      <c r="WHP33" t="str">
        <f t="shared" si="506"/>
        <v/>
      </c>
      <c r="WHQ33" t="str">
        <f t="shared" si="506"/>
        <v/>
      </c>
      <c r="WHR33" t="str">
        <f t="shared" si="506"/>
        <v/>
      </c>
      <c r="WHS33" t="str">
        <f t="shared" si="506"/>
        <v/>
      </c>
      <c r="WHT33" t="str">
        <f t="shared" si="506"/>
        <v/>
      </c>
      <c r="WHU33" t="str">
        <f t="shared" si="506"/>
        <v/>
      </c>
      <c r="WHV33" t="str">
        <f t="shared" si="506"/>
        <v/>
      </c>
      <c r="WHW33" t="str">
        <f t="shared" si="506"/>
        <v/>
      </c>
      <c r="WHX33" t="str">
        <f t="shared" si="506"/>
        <v/>
      </c>
      <c r="WHY33" t="str">
        <f t="shared" si="506"/>
        <v/>
      </c>
      <c r="WHZ33" t="str">
        <f t="shared" si="506"/>
        <v/>
      </c>
      <c r="WIA33" t="str">
        <f t="shared" si="506"/>
        <v/>
      </c>
      <c r="WIB33" t="str">
        <f t="shared" si="506"/>
        <v/>
      </c>
      <c r="WIC33" t="str">
        <f t="shared" si="506"/>
        <v/>
      </c>
      <c r="WID33" t="str">
        <f t="shared" si="506"/>
        <v/>
      </c>
      <c r="WIE33" t="str">
        <f t="shared" si="506"/>
        <v/>
      </c>
      <c r="WIF33" t="str">
        <f t="shared" si="506"/>
        <v/>
      </c>
      <c r="WIG33" t="str">
        <f t="shared" si="506"/>
        <v/>
      </c>
      <c r="WIH33" t="str">
        <f t="shared" si="506"/>
        <v/>
      </c>
      <c r="WII33" t="str">
        <f t="shared" si="506"/>
        <v/>
      </c>
      <c r="WIJ33" t="str">
        <f t="shared" si="506"/>
        <v/>
      </c>
      <c r="WIK33" t="str">
        <f t="shared" si="506"/>
        <v/>
      </c>
      <c r="WIL33" t="str">
        <f t="shared" si="506"/>
        <v/>
      </c>
      <c r="WIM33" t="str">
        <f t="shared" si="506"/>
        <v/>
      </c>
      <c r="WIN33" t="str">
        <f t="shared" si="506"/>
        <v/>
      </c>
      <c r="WIO33" t="str">
        <f t="shared" si="506"/>
        <v/>
      </c>
      <c r="WIP33" t="str">
        <f t="shared" si="506"/>
        <v/>
      </c>
      <c r="WIQ33" t="str">
        <f t="shared" si="506"/>
        <v/>
      </c>
      <c r="WIR33" t="str">
        <f t="shared" si="506"/>
        <v/>
      </c>
      <c r="WIS33" t="str">
        <f t="shared" si="506"/>
        <v/>
      </c>
      <c r="WIT33" t="str">
        <f t="shared" si="506"/>
        <v/>
      </c>
      <c r="WIU33" t="str">
        <f t="shared" si="506"/>
        <v/>
      </c>
      <c r="WIV33" t="str">
        <f t="shared" si="506"/>
        <v/>
      </c>
      <c r="WIW33" t="str">
        <f t="shared" si="506"/>
        <v/>
      </c>
      <c r="WIX33" t="str">
        <f t="shared" si="506"/>
        <v/>
      </c>
      <c r="WIY33" t="str">
        <f t="shared" si="506"/>
        <v/>
      </c>
      <c r="WIZ33" t="str">
        <f t="shared" si="506"/>
        <v/>
      </c>
      <c r="WJA33" t="str">
        <f t="shared" si="506"/>
        <v/>
      </c>
      <c r="WJB33" t="str">
        <f t="shared" si="506"/>
        <v/>
      </c>
      <c r="WJC33" t="str">
        <f t="shared" si="506"/>
        <v/>
      </c>
      <c r="WJD33" t="str">
        <f t="shared" si="506"/>
        <v/>
      </c>
      <c r="WJE33" t="str">
        <f t="shared" si="506"/>
        <v/>
      </c>
      <c r="WJF33" t="str">
        <f t="shared" si="506"/>
        <v/>
      </c>
      <c r="WJG33" t="str">
        <f t="shared" si="506"/>
        <v/>
      </c>
      <c r="WJH33" t="str">
        <f t="shared" si="506"/>
        <v/>
      </c>
      <c r="WJI33" t="str">
        <f t="shared" si="506"/>
        <v/>
      </c>
      <c r="WJJ33" t="str">
        <f t="shared" si="506"/>
        <v/>
      </c>
      <c r="WJK33" t="str">
        <f t="shared" si="506"/>
        <v/>
      </c>
      <c r="WJL33" t="str">
        <f t="shared" si="506"/>
        <v/>
      </c>
      <c r="WJM33" t="str">
        <f t="shared" ref="WJM33:WLX33" si="507">TRIM(WKD17)</f>
        <v/>
      </c>
      <c r="WJN33" t="str">
        <f t="shared" si="507"/>
        <v/>
      </c>
      <c r="WJO33" t="str">
        <f t="shared" si="507"/>
        <v/>
      </c>
      <c r="WJP33" t="str">
        <f t="shared" si="507"/>
        <v/>
      </c>
      <c r="WJQ33" t="str">
        <f t="shared" si="507"/>
        <v/>
      </c>
      <c r="WJR33" t="str">
        <f t="shared" si="507"/>
        <v/>
      </c>
      <c r="WJS33" t="str">
        <f t="shared" si="507"/>
        <v/>
      </c>
      <c r="WJT33" t="str">
        <f t="shared" si="507"/>
        <v/>
      </c>
      <c r="WJU33" t="str">
        <f t="shared" si="507"/>
        <v/>
      </c>
      <c r="WJV33" t="str">
        <f t="shared" si="507"/>
        <v/>
      </c>
      <c r="WJW33" t="str">
        <f t="shared" si="507"/>
        <v/>
      </c>
      <c r="WJX33" t="str">
        <f t="shared" si="507"/>
        <v/>
      </c>
      <c r="WJY33" t="str">
        <f t="shared" si="507"/>
        <v/>
      </c>
      <c r="WJZ33" t="str">
        <f t="shared" si="507"/>
        <v/>
      </c>
      <c r="WKA33" t="str">
        <f t="shared" si="507"/>
        <v/>
      </c>
      <c r="WKB33" t="str">
        <f t="shared" si="507"/>
        <v/>
      </c>
      <c r="WKC33" t="str">
        <f t="shared" si="507"/>
        <v/>
      </c>
      <c r="WKD33" t="str">
        <f t="shared" si="507"/>
        <v/>
      </c>
      <c r="WKE33" t="str">
        <f t="shared" si="507"/>
        <v/>
      </c>
      <c r="WKF33" t="str">
        <f t="shared" si="507"/>
        <v/>
      </c>
      <c r="WKG33" t="str">
        <f t="shared" si="507"/>
        <v/>
      </c>
      <c r="WKH33" t="str">
        <f t="shared" si="507"/>
        <v/>
      </c>
      <c r="WKI33" t="str">
        <f t="shared" si="507"/>
        <v/>
      </c>
      <c r="WKJ33" t="str">
        <f t="shared" si="507"/>
        <v/>
      </c>
      <c r="WKK33" t="str">
        <f t="shared" si="507"/>
        <v/>
      </c>
      <c r="WKL33" t="str">
        <f t="shared" si="507"/>
        <v/>
      </c>
      <c r="WKM33" t="str">
        <f t="shared" si="507"/>
        <v/>
      </c>
      <c r="WKN33" t="str">
        <f t="shared" si="507"/>
        <v/>
      </c>
      <c r="WKO33" t="str">
        <f t="shared" si="507"/>
        <v/>
      </c>
      <c r="WKP33" t="str">
        <f t="shared" si="507"/>
        <v/>
      </c>
      <c r="WKQ33" t="str">
        <f t="shared" si="507"/>
        <v/>
      </c>
      <c r="WKR33" t="str">
        <f t="shared" si="507"/>
        <v/>
      </c>
      <c r="WKS33" t="str">
        <f t="shared" si="507"/>
        <v/>
      </c>
      <c r="WKT33" t="str">
        <f t="shared" si="507"/>
        <v/>
      </c>
      <c r="WKU33" t="str">
        <f t="shared" si="507"/>
        <v/>
      </c>
      <c r="WKV33" t="str">
        <f t="shared" si="507"/>
        <v/>
      </c>
      <c r="WKW33" t="str">
        <f t="shared" si="507"/>
        <v/>
      </c>
      <c r="WKX33" t="str">
        <f t="shared" si="507"/>
        <v/>
      </c>
      <c r="WKY33" t="str">
        <f t="shared" si="507"/>
        <v/>
      </c>
      <c r="WKZ33" t="str">
        <f t="shared" si="507"/>
        <v/>
      </c>
      <c r="WLA33" t="str">
        <f t="shared" si="507"/>
        <v/>
      </c>
      <c r="WLB33" t="str">
        <f t="shared" si="507"/>
        <v/>
      </c>
      <c r="WLC33" t="str">
        <f t="shared" si="507"/>
        <v/>
      </c>
      <c r="WLD33" t="str">
        <f t="shared" si="507"/>
        <v/>
      </c>
      <c r="WLE33" t="str">
        <f t="shared" si="507"/>
        <v/>
      </c>
      <c r="WLF33" t="str">
        <f t="shared" si="507"/>
        <v/>
      </c>
      <c r="WLG33" t="str">
        <f t="shared" si="507"/>
        <v/>
      </c>
      <c r="WLH33" t="str">
        <f t="shared" si="507"/>
        <v/>
      </c>
      <c r="WLI33" t="str">
        <f t="shared" si="507"/>
        <v/>
      </c>
      <c r="WLJ33" t="str">
        <f t="shared" si="507"/>
        <v/>
      </c>
      <c r="WLK33" t="str">
        <f t="shared" si="507"/>
        <v/>
      </c>
      <c r="WLL33" t="str">
        <f t="shared" si="507"/>
        <v/>
      </c>
      <c r="WLM33" t="str">
        <f t="shared" si="507"/>
        <v/>
      </c>
      <c r="WLN33" t="str">
        <f t="shared" si="507"/>
        <v/>
      </c>
      <c r="WLO33" t="str">
        <f t="shared" si="507"/>
        <v/>
      </c>
      <c r="WLP33" t="str">
        <f t="shared" si="507"/>
        <v/>
      </c>
      <c r="WLQ33" t="str">
        <f t="shared" si="507"/>
        <v/>
      </c>
      <c r="WLR33" t="str">
        <f t="shared" si="507"/>
        <v/>
      </c>
      <c r="WLS33" t="str">
        <f t="shared" si="507"/>
        <v/>
      </c>
      <c r="WLT33" t="str">
        <f t="shared" si="507"/>
        <v/>
      </c>
      <c r="WLU33" t="str">
        <f t="shared" si="507"/>
        <v/>
      </c>
      <c r="WLV33" t="str">
        <f t="shared" si="507"/>
        <v/>
      </c>
      <c r="WLW33" t="str">
        <f t="shared" si="507"/>
        <v/>
      </c>
      <c r="WLX33" t="str">
        <f t="shared" si="507"/>
        <v/>
      </c>
      <c r="WLY33" t="str">
        <f t="shared" ref="WLY33:WOJ33" si="508">TRIM(WMP17)</f>
        <v/>
      </c>
      <c r="WLZ33" t="str">
        <f t="shared" si="508"/>
        <v/>
      </c>
      <c r="WMA33" t="str">
        <f t="shared" si="508"/>
        <v/>
      </c>
      <c r="WMB33" t="str">
        <f t="shared" si="508"/>
        <v/>
      </c>
      <c r="WMC33" t="str">
        <f t="shared" si="508"/>
        <v/>
      </c>
      <c r="WMD33" t="str">
        <f t="shared" si="508"/>
        <v/>
      </c>
      <c r="WME33" t="str">
        <f t="shared" si="508"/>
        <v/>
      </c>
      <c r="WMF33" t="str">
        <f t="shared" si="508"/>
        <v/>
      </c>
      <c r="WMG33" t="str">
        <f t="shared" si="508"/>
        <v/>
      </c>
      <c r="WMH33" t="str">
        <f t="shared" si="508"/>
        <v/>
      </c>
      <c r="WMI33" t="str">
        <f t="shared" si="508"/>
        <v/>
      </c>
      <c r="WMJ33" t="str">
        <f t="shared" si="508"/>
        <v/>
      </c>
      <c r="WMK33" t="str">
        <f t="shared" si="508"/>
        <v/>
      </c>
      <c r="WML33" t="str">
        <f t="shared" si="508"/>
        <v/>
      </c>
      <c r="WMM33" t="str">
        <f t="shared" si="508"/>
        <v/>
      </c>
      <c r="WMN33" t="str">
        <f t="shared" si="508"/>
        <v/>
      </c>
      <c r="WMO33" t="str">
        <f t="shared" si="508"/>
        <v/>
      </c>
      <c r="WMP33" t="str">
        <f t="shared" si="508"/>
        <v/>
      </c>
      <c r="WMQ33" t="str">
        <f t="shared" si="508"/>
        <v/>
      </c>
      <c r="WMR33" t="str">
        <f t="shared" si="508"/>
        <v/>
      </c>
      <c r="WMS33" t="str">
        <f t="shared" si="508"/>
        <v/>
      </c>
      <c r="WMT33" t="str">
        <f t="shared" si="508"/>
        <v/>
      </c>
      <c r="WMU33" t="str">
        <f t="shared" si="508"/>
        <v/>
      </c>
      <c r="WMV33" t="str">
        <f t="shared" si="508"/>
        <v/>
      </c>
      <c r="WMW33" t="str">
        <f t="shared" si="508"/>
        <v/>
      </c>
      <c r="WMX33" t="str">
        <f t="shared" si="508"/>
        <v/>
      </c>
      <c r="WMY33" t="str">
        <f t="shared" si="508"/>
        <v/>
      </c>
      <c r="WMZ33" t="str">
        <f t="shared" si="508"/>
        <v/>
      </c>
      <c r="WNA33" t="str">
        <f t="shared" si="508"/>
        <v/>
      </c>
      <c r="WNB33" t="str">
        <f t="shared" si="508"/>
        <v/>
      </c>
      <c r="WNC33" t="str">
        <f t="shared" si="508"/>
        <v/>
      </c>
      <c r="WND33" t="str">
        <f t="shared" si="508"/>
        <v/>
      </c>
      <c r="WNE33" t="str">
        <f t="shared" si="508"/>
        <v/>
      </c>
      <c r="WNF33" t="str">
        <f t="shared" si="508"/>
        <v/>
      </c>
      <c r="WNG33" t="str">
        <f t="shared" si="508"/>
        <v/>
      </c>
      <c r="WNH33" t="str">
        <f t="shared" si="508"/>
        <v/>
      </c>
      <c r="WNI33" t="str">
        <f t="shared" si="508"/>
        <v/>
      </c>
      <c r="WNJ33" t="str">
        <f t="shared" si="508"/>
        <v/>
      </c>
      <c r="WNK33" t="str">
        <f t="shared" si="508"/>
        <v/>
      </c>
      <c r="WNL33" t="str">
        <f t="shared" si="508"/>
        <v/>
      </c>
      <c r="WNM33" t="str">
        <f t="shared" si="508"/>
        <v/>
      </c>
      <c r="WNN33" t="str">
        <f t="shared" si="508"/>
        <v/>
      </c>
      <c r="WNO33" t="str">
        <f t="shared" si="508"/>
        <v/>
      </c>
      <c r="WNP33" t="str">
        <f t="shared" si="508"/>
        <v/>
      </c>
      <c r="WNQ33" t="str">
        <f t="shared" si="508"/>
        <v/>
      </c>
      <c r="WNR33" t="str">
        <f t="shared" si="508"/>
        <v/>
      </c>
      <c r="WNS33" t="str">
        <f t="shared" si="508"/>
        <v/>
      </c>
      <c r="WNT33" t="str">
        <f t="shared" si="508"/>
        <v/>
      </c>
      <c r="WNU33" t="str">
        <f t="shared" si="508"/>
        <v/>
      </c>
      <c r="WNV33" t="str">
        <f t="shared" si="508"/>
        <v/>
      </c>
      <c r="WNW33" t="str">
        <f t="shared" si="508"/>
        <v/>
      </c>
      <c r="WNX33" t="str">
        <f t="shared" si="508"/>
        <v/>
      </c>
      <c r="WNY33" t="str">
        <f t="shared" si="508"/>
        <v/>
      </c>
      <c r="WNZ33" t="str">
        <f t="shared" si="508"/>
        <v/>
      </c>
      <c r="WOA33" t="str">
        <f t="shared" si="508"/>
        <v/>
      </c>
      <c r="WOB33" t="str">
        <f t="shared" si="508"/>
        <v/>
      </c>
      <c r="WOC33" t="str">
        <f t="shared" si="508"/>
        <v/>
      </c>
      <c r="WOD33" t="str">
        <f t="shared" si="508"/>
        <v/>
      </c>
      <c r="WOE33" t="str">
        <f t="shared" si="508"/>
        <v/>
      </c>
      <c r="WOF33" t="str">
        <f t="shared" si="508"/>
        <v/>
      </c>
      <c r="WOG33" t="str">
        <f t="shared" si="508"/>
        <v/>
      </c>
      <c r="WOH33" t="str">
        <f t="shared" si="508"/>
        <v/>
      </c>
      <c r="WOI33" t="str">
        <f t="shared" si="508"/>
        <v/>
      </c>
      <c r="WOJ33" t="str">
        <f t="shared" si="508"/>
        <v/>
      </c>
      <c r="WOK33" t="str">
        <f t="shared" ref="WOK33:WQV33" si="509">TRIM(WPB17)</f>
        <v/>
      </c>
      <c r="WOL33" t="str">
        <f t="shared" si="509"/>
        <v/>
      </c>
      <c r="WOM33" t="str">
        <f t="shared" si="509"/>
        <v/>
      </c>
      <c r="WON33" t="str">
        <f t="shared" si="509"/>
        <v/>
      </c>
      <c r="WOO33" t="str">
        <f t="shared" si="509"/>
        <v/>
      </c>
      <c r="WOP33" t="str">
        <f t="shared" si="509"/>
        <v/>
      </c>
      <c r="WOQ33" t="str">
        <f t="shared" si="509"/>
        <v/>
      </c>
      <c r="WOR33" t="str">
        <f t="shared" si="509"/>
        <v/>
      </c>
      <c r="WOS33" t="str">
        <f t="shared" si="509"/>
        <v/>
      </c>
      <c r="WOT33" t="str">
        <f t="shared" si="509"/>
        <v/>
      </c>
      <c r="WOU33" t="str">
        <f t="shared" si="509"/>
        <v/>
      </c>
      <c r="WOV33" t="str">
        <f t="shared" si="509"/>
        <v/>
      </c>
      <c r="WOW33" t="str">
        <f t="shared" si="509"/>
        <v/>
      </c>
      <c r="WOX33" t="str">
        <f t="shared" si="509"/>
        <v/>
      </c>
      <c r="WOY33" t="str">
        <f t="shared" si="509"/>
        <v/>
      </c>
      <c r="WOZ33" t="str">
        <f t="shared" si="509"/>
        <v/>
      </c>
      <c r="WPA33" t="str">
        <f t="shared" si="509"/>
        <v/>
      </c>
      <c r="WPB33" t="str">
        <f t="shared" si="509"/>
        <v/>
      </c>
      <c r="WPC33" t="str">
        <f t="shared" si="509"/>
        <v/>
      </c>
      <c r="WPD33" t="str">
        <f t="shared" si="509"/>
        <v/>
      </c>
      <c r="WPE33" t="str">
        <f t="shared" si="509"/>
        <v/>
      </c>
      <c r="WPF33" t="str">
        <f t="shared" si="509"/>
        <v/>
      </c>
      <c r="WPG33" t="str">
        <f t="shared" si="509"/>
        <v/>
      </c>
      <c r="WPH33" t="str">
        <f t="shared" si="509"/>
        <v/>
      </c>
      <c r="WPI33" t="str">
        <f t="shared" si="509"/>
        <v/>
      </c>
      <c r="WPJ33" t="str">
        <f t="shared" si="509"/>
        <v/>
      </c>
      <c r="WPK33" t="str">
        <f t="shared" si="509"/>
        <v/>
      </c>
      <c r="WPL33" t="str">
        <f t="shared" si="509"/>
        <v/>
      </c>
      <c r="WPM33" t="str">
        <f t="shared" si="509"/>
        <v/>
      </c>
      <c r="WPN33" t="str">
        <f t="shared" si="509"/>
        <v/>
      </c>
      <c r="WPO33" t="str">
        <f t="shared" si="509"/>
        <v/>
      </c>
      <c r="WPP33" t="str">
        <f t="shared" si="509"/>
        <v/>
      </c>
      <c r="WPQ33" t="str">
        <f t="shared" si="509"/>
        <v/>
      </c>
      <c r="WPR33" t="str">
        <f t="shared" si="509"/>
        <v/>
      </c>
      <c r="WPS33" t="str">
        <f t="shared" si="509"/>
        <v/>
      </c>
      <c r="WPT33" t="str">
        <f t="shared" si="509"/>
        <v/>
      </c>
      <c r="WPU33" t="str">
        <f t="shared" si="509"/>
        <v/>
      </c>
      <c r="WPV33" t="str">
        <f t="shared" si="509"/>
        <v/>
      </c>
      <c r="WPW33" t="str">
        <f t="shared" si="509"/>
        <v/>
      </c>
      <c r="WPX33" t="str">
        <f t="shared" si="509"/>
        <v/>
      </c>
      <c r="WPY33" t="str">
        <f t="shared" si="509"/>
        <v/>
      </c>
      <c r="WPZ33" t="str">
        <f t="shared" si="509"/>
        <v/>
      </c>
      <c r="WQA33" t="str">
        <f t="shared" si="509"/>
        <v/>
      </c>
      <c r="WQB33" t="str">
        <f t="shared" si="509"/>
        <v/>
      </c>
      <c r="WQC33" t="str">
        <f t="shared" si="509"/>
        <v/>
      </c>
      <c r="WQD33" t="str">
        <f t="shared" si="509"/>
        <v/>
      </c>
      <c r="WQE33" t="str">
        <f t="shared" si="509"/>
        <v/>
      </c>
      <c r="WQF33" t="str">
        <f t="shared" si="509"/>
        <v/>
      </c>
      <c r="WQG33" t="str">
        <f t="shared" si="509"/>
        <v/>
      </c>
      <c r="WQH33" t="str">
        <f t="shared" si="509"/>
        <v/>
      </c>
      <c r="WQI33" t="str">
        <f t="shared" si="509"/>
        <v/>
      </c>
      <c r="WQJ33" t="str">
        <f t="shared" si="509"/>
        <v/>
      </c>
      <c r="WQK33" t="str">
        <f t="shared" si="509"/>
        <v/>
      </c>
      <c r="WQL33" t="str">
        <f t="shared" si="509"/>
        <v/>
      </c>
      <c r="WQM33" t="str">
        <f t="shared" si="509"/>
        <v/>
      </c>
      <c r="WQN33" t="str">
        <f t="shared" si="509"/>
        <v/>
      </c>
      <c r="WQO33" t="str">
        <f t="shared" si="509"/>
        <v/>
      </c>
      <c r="WQP33" t="str">
        <f t="shared" si="509"/>
        <v/>
      </c>
      <c r="WQQ33" t="str">
        <f t="shared" si="509"/>
        <v/>
      </c>
      <c r="WQR33" t="str">
        <f t="shared" si="509"/>
        <v/>
      </c>
      <c r="WQS33" t="str">
        <f t="shared" si="509"/>
        <v/>
      </c>
      <c r="WQT33" t="str">
        <f t="shared" si="509"/>
        <v/>
      </c>
      <c r="WQU33" t="str">
        <f t="shared" si="509"/>
        <v/>
      </c>
      <c r="WQV33" t="str">
        <f t="shared" si="509"/>
        <v/>
      </c>
      <c r="WQW33" t="str">
        <f t="shared" ref="WQW33:WTH33" si="510">TRIM(WRN17)</f>
        <v/>
      </c>
      <c r="WQX33" t="str">
        <f t="shared" si="510"/>
        <v/>
      </c>
      <c r="WQY33" t="str">
        <f t="shared" si="510"/>
        <v/>
      </c>
      <c r="WQZ33" t="str">
        <f t="shared" si="510"/>
        <v/>
      </c>
      <c r="WRA33" t="str">
        <f t="shared" si="510"/>
        <v/>
      </c>
      <c r="WRB33" t="str">
        <f t="shared" si="510"/>
        <v/>
      </c>
      <c r="WRC33" t="str">
        <f t="shared" si="510"/>
        <v/>
      </c>
      <c r="WRD33" t="str">
        <f t="shared" si="510"/>
        <v/>
      </c>
      <c r="WRE33" t="str">
        <f t="shared" si="510"/>
        <v/>
      </c>
      <c r="WRF33" t="str">
        <f t="shared" si="510"/>
        <v/>
      </c>
      <c r="WRG33" t="str">
        <f t="shared" si="510"/>
        <v/>
      </c>
      <c r="WRH33" t="str">
        <f t="shared" si="510"/>
        <v/>
      </c>
      <c r="WRI33" t="str">
        <f t="shared" si="510"/>
        <v/>
      </c>
      <c r="WRJ33" t="str">
        <f t="shared" si="510"/>
        <v/>
      </c>
      <c r="WRK33" t="str">
        <f t="shared" si="510"/>
        <v/>
      </c>
      <c r="WRL33" t="str">
        <f t="shared" si="510"/>
        <v/>
      </c>
      <c r="WRM33" t="str">
        <f t="shared" si="510"/>
        <v/>
      </c>
      <c r="WRN33" t="str">
        <f t="shared" si="510"/>
        <v/>
      </c>
      <c r="WRO33" t="str">
        <f t="shared" si="510"/>
        <v/>
      </c>
      <c r="WRP33" t="str">
        <f t="shared" si="510"/>
        <v/>
      </c>
      <c r="WRQ33" t="str">
        <f t="shared" si="510"/>
        <v/>
      </c>
      <c r="WRR33" t="str">
        <f t="shared" si="510"/>
        <v/>
      </c>
      <c r="WRS33" t="str">
        <f t="shared" si="510"/>
        <v/>
      </c>
      <c r="WRT33" t="str">
        <f t="shared" si="510"/>
        <v/>
      </c>
      <c r="WRU33" t="str">
        <f t="shared" si="510"/>
        <v/>
      </c>
      <c r="WRV33" t="str">
        <f t="shared" si="510"/>
        <v/>
      </c>
      <c r="WRW33" t="str">
        <f t="shared" si="510"/>
        <v/>
      </c>
      <c r="WRX33" t="str">
        <f t="shared" si="510"/>
        <v/>
      </c>
      <c r="WRY33" t="str">
        <f t="shared" si="510"/>
        <v/>
      </c>
      <c r="WRZ33" t="str">
        <f t="shared" si="510"/>
        <v/>
      </c>
      <c r="WSA33" t="str">
        <f t="shared" si="510"/>
        <v/>
      </c>
      <c r="WSB33" t="str">
        <f t="shared" si="510"/>
        <v/>
      </c>
      <c r="WSC33" t="str">
        <f t="shared" si="510"/>
        <v/>
      </c>
      <c r="WSD33" t="str">
        <f t="shared" si="510"/>
        <v/>
      </c>
      <c r="WSE33" t="str">
        <f t="shared" si="510"/>
        <v/>
      </c>
      <c r="WSF33" t="str">
        <f t="shared" si="510"/>
        <v/>
      </c>
      <c r="WSG33" t="str">
        <f t="shared" si="510"/>
        <v/>
      </c>
      <c r="WSH33" t="str">
        <f t="shared" si="510"/>
        <v/>
      </c>
      <c r="WSI33" t="str">
        <f t="shared" si="510"/>
        <v/>
      </c>
      <c r="WSJ33" t="str">
        <f t="shared" si="510"/>
        <v/>
      </c>
      <c r="WSK33" t="str">
        <f t="shared" si="510"/>
        <v/>
      </c>
      <c r="WSL33" t="str">
        <f t="shared" si="510"/>
        <v/>
      </c>
      <c r="WSM33" t="str">
        <f t="shared" si="510"/>
        <v/>
      </c>
      <c r="WSN33" t="str">
        <f t="shared" si="510"/>
        <v/>
      </c>
      <c r="WSO33" t="str">
        <f t="shared" si="510"/>
        <v/>
      </c>
      <c r="WSP33" t="str">
        <f t="shared" si="510"/>
        <v/>
      </c>
      <c r="WSQ33" t="str">
        <f t="shared" si="510"/>
        <v/>
      </c>
      <c r="WSR33" t="str">
        <f t="shared" si="510"/>
        <v/>
      </c>
      <c r="WSS33" t="str">
        <f t="shared" si="510"/>
        <v/>
      </c>
      <c r="WST33" t="str">
        <f t="shared" si="510"/>
        <v/>
      </c>
      <c r="WSU33" t="str">
        <f t="shared" si="510"/>
        <v/>
      </c>
      <c r="WSV33" t="str">
        <f t="shared" si="510"/>
        <v/>
      </c>
      <c r="WSW33" t="str">
        <f t="shared" si="510"/>
        <v/>
      </c>
      <c r="WSX33" t="str">
        <f t="shared" si="510"/>
        <v/>
      </c>
      <c r="WSY33" t="str">
        <f t="shared" si="510"/>
        <v/>
      </c>
      <c r="WSZ33" t="str">
        <f t="shared" si="510"/>
        <v/>
      </c>
      <c r="WTA33" t="str">
        <f t="shared" si="510"/>
        <v/>
      </c>
      <c r="WTB33" t="str">
        <f t="shared" si="510"/>
        <v/>
      </c>
      <c r="WTC33" t="str">
        <f t="shared" si="510"/>
        <v/>
      </c>
      <c r="WTD33" t="str">
        <f t="shared" si="510"/>
        <v/>
      </c>
      <c r="WTE33" t="str">
        <f t="shared" si="510"/>
        <v/>
      </c>
      <c r="WTF33" t="str">
        <f t="shared" si="510"/>
        <v/>
      </c>
      <c r="WTG33" t="str">
        <f t="shared" si="510"/>
        <v/>
      </c>
      <c r="WTH33" t="str">
        <f t="shared" si="510"/>
        <v/>
      </c>
      <c r="WTI33" t="str">
        <f t="shared" ref="WTI33:WVT33" si="511">TRIM(WTZ17)</f>
        <v/>
      </c>
      <c r="WTJ33" t="str">
        <f t="shared" si="511"/>
        <v/>
      </c>
      <c r="WTK33" t="str">
        <f t="shared" si="511"/>
        <v/>
      </c>
      <c r="WTL33" t="str">
        <f t="shared" si="511"/>
        <v/>
      </c>
      <c r="WTM33" t="str">
        <f t="shared" si="511"/>
        <v/>
      </c>
      <c r="WTN33" t="str">
        <f t="shared" si="511"/>
        <v/>
      </c>
      <c r="WTO33" t="str">
        <f t="shared" si="511"/>
        <v/>
      </c>
      <c r="WTP33" t="str">
        <f t="shared" si="511"/>
        <v/>
      </c>
      <c r="WTQ33" t="str">
        <f t="shared" si="511"/>
        <v/>
      </c>
      <c r="WTR33" t="str">
        <f t="shared" si="511"/>
        <v/>
      </c>
      <c r="WTS33" t="str">
        <f t="shared" si="511"/>
        <v/>
      </c>
      <c r="WTT33" t="str">
        <f t="shared" si="511"/>
        <v/>
      </c>
      <c r="WTU33" t="str">
        <f t="shared" si="511"/>
        <v/>
      </c>
      <c r="WTV33" t="str">
        <f t="shared" si="511"/>
        <v/>
      </c>
      <c r="WTW33" t="str">
        <f t="shared" si="511"/>
        <v/>
      </c>
      <c r="WTX33" t="str">
        <f t="shared" si="511"/>
        <v/>
      </c>
      <c r="WTY33" t="str">
        <f t="shared" si="511"/>
        <v/>
      </c>
      <c r="WTZ33" t="str">
        <f t="shared" si="511"/>
        <v/>
      </c>
      <c r="WUA33" t="str">
        <f t="shared" si="511"/>
        <v/>
      </c>
      <c r="WUB33" t="str">
        <f t="shared" si="511"/>
        <v/>
      </c>
      <c r="WUC33" t="str">
        <f t="shared" si="511"/>
        <v/>
      </c>
      <c r="WUD33" t="str">
        <f t="shared" si="511"/>
        <v/>
      </c>
      <c r="WUE33" t="str">
        <f t="shared" si="511"/>
        <v/>
      </c>
      <c r="WUF33" t="str">
        <f t="shared" si="511"/>
        <v/>
      </c>
      <c r="WUG33" t="str">
        <f t="shared" si="511"/>
        <v/>
      </c>
      <c r="WUH33" t="str">
        <f t="shared" si="511"/>
        <v/>
      </c>
      <c r="WUI33" t="str">
        <f t="shared" si="511"/>
        <v/>
      </c>
      <c r="WUJ33" t="str">
        <f t="shared" si="511"/>
        <v/>
      </c>
      <c r="WUK33" t="str">
        <f t="shared" si="511"/>
        <v/>
      </c>
      <c r="WUL33" t="str">
        <f t="shared" si="511"/>
        <v/>
      </c>
      <c r="WUM33" t="str">
        <f t="shared" si="511"/>
        <v/>
      </c>
      <c r="WUN33" t="str">
        <f t="shared" si="511"/>
        <v/>
      </c>
      <c r="WUO33" t="str">
        <f t="shared" si="511"/>
        <v/>
      </c>
      <c r="WUP33" t="str">
        <f t="shared" si="511"/>
        <v/>
      </c>
      <c r="WUQ33" t="str">
        <f t="shared" si="511"/>
        <v/>
      </c>
      <c r="WUR33" t="str">
        <f t="shared" si="511"/>
        <v/>
      </c>
      <c r="WUS33" t="str">
        <f t="shared" si="511"/>
        <v/>
      </c>
      <c r="WUT33" t="str">
        <f t="shared" si="511"/>
        <v/>
      </c>
      <c r="WUU33" t="str">
        <f t="shared" si="511"/>
        <v/>
      </c>
      <c r="WUV33" t="str">
        <f t="shared" si="511"/>
        <v/>
      </c>
      <c r="WUW33" t="str">
        <f t="shared" si="511"/>
        <v/>
      </c>
      <c r="WUX33" t="str">
        <f t="shared" si="511"/>
        <v/>
      </c>
      <c r="WUY33" t="str">
        <f t="shared" si="511"/>
        <v/>
      </c>
      <c r="WUZ33" t="str">
        <f t="shared" si="511"/>
        <v/>
      </c>
      <c r="WVA33" t="str">
        <f t="shared" si="511"/>
        <v/>
      </c>
      <c r="WVB33" t="str">
        <f t="shared" si="511"/>
        <v/>
      </c>
      <c r="WVC33" t="str">
        <f t="shared" si="511"/>
        <v/>
      </c>
      <c r="WVD33" t="str">
        <f t="shared" si="511"/>
        <v/>
      </c>
      <c r="WVE33" t="str">
        <f t="shared" si="511"/>
        <v/>
      </c>
      <c r="WVF33" t="str">
        <f t="shared" si="511"/>
        <v/>
      </c>
      <c r="WVG33" t="str">
        <f t="shared" si="511"/>
        <v/>
      </c>
      <c r="WVH33" t="str">
        <f t="shared" si="511"/>
        <v/>
      </c>
      <c r="WVI33" t="str">
        <f t="shared" si="511"/>
        <v/>
      </c>
      <c r="WVJ33" t="str">
        <f t="shared" si="511"/>
        <v/>
      </c>
      <c r="WVK33" t="str">
        <f t="shared" si="511"/>
        <v/>
      </c>
      <c r="WVL33" t="str">
        <f t="shared" si="511"/>
        <v/>
      </c>
      <c r="WVM33" t="str">
        <f t="shared" si="511"/>
        <v/>
      </c>
      <c r="WVN33" t="str">
        <f t="shared" si="511"/>
        <v/>
      </c>
      <c r="WVO33" t="str">
        <f t="shared" si="511"/>
        <v/>
      </c>
      <c r="WVP33" t="str">
        <f t="shared" si="511"/>
        <v/>
      </c>
      <c r="WVQ33" t="str">
        <f t="shared" si="511"/>
        <v/>
      </c>
      <c r="WVR33" t="str">
        <f t="shared" si="511"/>
        <v/>
      </c>
      <c r="WVS33" t="str">
        <f t="shared" si="511"/>
        <v/>
      </c>
      <c r="WVT33" t="str">
        <f t="shared" si="511"/>
        <v/>
      </c>
      <c r="WVU33" t="str">
        <f t="shared" ref="WVU33:WYF33" si="512">TRIM(WWL17)</f>
        <v/>
      </c>
      <c r="WVV33" t="str">
        <f t="shared" si="512"/>
        <v/>
      </c>
      <c r="WVW33" t="str">
        <f t="shared" si="512"/>
        <v/>
      </c>
      <c r="WVX33" t="str">
        <f t="shared" si="512"/>
        <v/>
      </c>
      <c r="WVY33" t="str">
        <f t="shared" si="512"/>
        <v/>
      </c>
      <c r="WVZ33" t="str">
        <f t="shared" si="512"/>
        <v/>
      </c>
      <c r="WWA33" t="str">
        <f t="shared" si="512"/>
        <v/>
      </c>
      <c r="WWB33" t="str">
        <f t="shared" si="512"/>
        <v/>
      </c>
      <c r="WWC33" t="str">
        <f t="shared" si="512"/>
        <v/>
      </c>
      <c r="WWD33" t="str">
        <f t="shared" si="512"/>
        <v/>
      </c>
      <c r="WWE33" t="str">
        <f t="shared" si="512"/>
        <v/>
      </c>
      <c r="WWF33" t="str">
        <f t="shared" si="512"/>
        <v/>
      </c>
      <c r="WWG33" t="str">
        <f t="shared" si="512"/>
        <v/>
      </c>
      <c r="WWH33" t="str">
        <f t="shared" si="512"/>
        <v/>
      </c>
      <c r="WWI33" t="str">
        <f t="shared" si="512"/>
        <v/>
      </c>
      <c r="WWJ33" t="str">
        <f t="shared" si="512"/>
        <v/>
      </c>
      <c r="WWK33" t="str">
        <f t="shared" si="512"/>
        <v/>
      </c>
      <c r="WWL33" t="str">
        <f t="shared" si="512"/>
        <v/>
      </c>
      <c r="WWM33" t="str">
        <f t="shared" si="512"/>
        <v/>
      </c>
      <c r="WWN33" t="str">
        <f t="shared" si="512"/>
        <v/>
      </c>
      <c r="WWO33" t="str">
        <f t="shared" si="512"/>
        <v/>
      </c>
      <c r="WWP33" t="str">
        <f t="shared" si="512"/>
        <v/>
      </c>
      <c r="WWQ33" t="str">
        <f t="shared" si="512"/>
        <v/>
      </c>
      <c r="WWR33" t="str">
        <f t="shared" si="512"/>
        <v/>
      </c>
      <c r="WWS33" t="str">
        <f t="shared" si="512"/>
        <v/>
      </c>
      <c r="WWT33" t="str">
        <f t="shared" si="512"/>
        <v/>
      </c>
      <c r="WWU33" t="str">
        <f t="shared" si="512"/>
        <v/>
      </c>
      <c r="WWV33" t="str">
        <f t="shared" si="512"/>
        <v/>
      </c>
      <c r="WWW33" t="str">
        <f t="shared" si="512"/>
        <v/>
      </c>
      <c r="WWX33" t="str">
        <f t="shared" si="512"/>
        <v/>
      </c>
      <c r="WWY33" t="str">
        <f t="shared" si="512"/>
        <v/>
      </c>
      <c r="WWZ33" t="str">
        <f t="shared" si="512"/>
        <v/>
      </c>
      <c r="WXA33" t="str">
        <f t="shared" si="512"/>
        <v/>
      </c>
      <c r="WXB33" t="str">
        <f t="shared" si="512"/>
        <v/>
      </c>
      <c r="WXC33" t="str">
        <f t="shared" si="512"/>
        <v/>
      </c>
      <c r="WXD33" t="str">
        <f t="shared" si="512"/>
        <v/>
      </c>
      <c r="WXE33" t="str">
        <f t="shared" si="512"/>
        <v/>
      </c>
      <c r="WXF33" t="str">
        <f t="shared" si="512"/>
        <v/>
      </c>
      <c r="WXG33" t="str">
        <f t="shared" si="512"/>
        <v/>
      </c>
      <c r="WXH33" t="str">
        <f t="shared" si="512"/>
        <v/>
      </c>
      <c r="WXI33" t="str">
        <f t="shared" si="512"/>
        <v/>
      </c>
      <c r="WXJ33" t="str">
        <f t="shared" si="512"/>
        <v/>
      </c>
      <c r="WXK33" t="str">
        <f t="shared" si="512"/>
        <v/>
      </c>
      <c r="WXL33" t="str">
        <f t="shared" si="512"/>
        <v/>
      </c>
      <c r="WXM33" t="str">
        <f t="shared" si="512"/>
        <v/>
      </c>
      <c r="WXN33" t="str">
        <f t="shared" si="512"/>
        <v/>
      </c>
      <c r="WXO33" t="str">
        <f t="shared" si="512"/>
        <v/>
      </c>
      <c r="WXP33" t="str">
        <f t="shared" si="512"/>
        <v/>
      </c>
      <c r="WXQ33" t="str">
        <f t="shared" si="512"/>
        <v/>
      </c>
      <c r="WXR33" t="str">
        <f t="shared" si="512"/>
        <v/>
      </c>
      <c r="WXS33" t="str">
        <f t="shared" si="512"/>
        <v/>
      </c>
      <c r="WXT33" t="str">
        <f t="shared" si="512"/>
        <v/>
      </c>
      <c r="WXU33" t="str">
        <f t="shared" si="512"/>
        <v/>
      </c>
      <c r="WXV33" t="str">
        <f t="shared" si="512"/>
        <v/>
      </c>
      <c r="WXW33" t="str">
        <f t="shared" si="512"/>
        <v/>
      </c>
      <c r="WXX33" t="str">
        <f t="shared" si="512"/>
        <v/>
      </c>
      <c r="WXY33" t="str">
        <f t="shared" si="512"/>
        <v/>
      </c>
      <c r="WXZ33" t="str">
        <f t="shared" si="512"/>
        <v/>
      </c>
      <c r="WYA33" t="str">
        <f t="shared" si="512"/>
        <v/>
      </c>
      <c r="WYB33" t="str">
        <f t="shared" si="512"/>
        <v/>
      </c>
      <c r="WYC33" t="str">
        <f t="shared" si="512"/>
        <v/>
      </c>
      <c r="WYD33" t="str">
        <f t="shared" si="512"/>
        <v/>
      </c>
      <c r="WYE33" t="str">
        <f t="shared" si="512"/>
        <v/>
      </c>
      <c r="WYF33" t="str">
        <f t="shared" si="512"/>
        <v/>
      </c>
      <c r="WYG33" t="str">
        <f t="shared" ref="WYG33:XAR33" si="513">TRIM(WYX17)</f>
        <v/>
      </c>
      <c r="WYH33" t="str">
        <f t="shared" si="513"/>
        <v/>
      </c>
      <c r="WYI33" t="str">
        <f t="shared" si="513"/>
        <v/>
      </c>
      <c r="WYJ33" t="str">
        <f t="shared" si="513"/>
        <v/>
      </c>
      <c r="WYK33" t="str">
        <f t="shared" si="513"/>
        <v/>
      </c>
      <c r="WYL33" t="str">
        <f t="shared" si="513"/>
        <v/>
      </c>
      <c r="WYM33" t="str">
        <f t="shared" si="513"/>
        <v/>
      </c>
      <c r="WYN33" t="str">
        <f t="shared" si="513"/>
        <v/>
      </c>
      <c r="WYO33" t="str">
        <f t="shared" si="513"/>
        <v/>
      </c>
      <c r="WYP33" t="str">
        <f t="shared" si="513"/>
        <v/>
      </c>
      <c r="WYQ33" t="str">
        <f t="shared" si="513"/>
        <v/>
      </c>
      <c r="WYR33" t="str">
        <f t="shared" si="513"/>
        <v/>
      </c>
      <c r="WYS33" t="str">
        <f t="shared" si="513"/>
        <v/>
      </c>
      <c r="WYT33" t="str">
        <f t="shared" si="513"/>
        <v/>
      </c>
      <c r="WYU33" t="str">
        <f t="shared" si="513"/>
        <v/>
      </c>
      <c r="WYV33" t="str">
        <f t="shared" si="513"/>
        <v/>
      </c>
      <c r="WYW33" t="str">
        <f t="shared" si="513"/>
        <v/>
      </c>
      <c r="WYX33" t="str">
        <f t="shared" si="513"/>
        <v/>
      </c>
      <c r="WYY33" t="str">
        <f t="shared" si="513"/>
        <v/>
      </c>
      <c r="WYZ33" t="str">
        <f t="shared" si="513"/>
        <v/>
      </c>
      <c r="WZA33" t="str">
        <f t="shared" si="513"/>
        <v/>
      </c>
      <c r="WZB33" t="str">
        <f t="shared" si="513"/>
        <v/>
      </c>
      <c r="WZC33" t="str">
        <f t="shared" si="513"/>
        <v/>
      </c>
      <c r="WZD33" t="str">
        <f t="shared" si="513"/>
        <v/>
      </c>
      <c r="WZE33" t="str">
        <f t="shared" si="513"/>
        <v/>
      </c>
      <c r="WZF33" t="str">
        <f t="shared" si="513"/>
        <v/>
      </c>
      <c r="WZG33" t="str">
        <f t="shared" si="513"/>
        <v/>
      </c>
      <c r="WZH33" t="str">
        <f t="shared" si="513"/>
        <v/>
      </c>
      <c r="WZI33" t="str">
        <f t="shared" si="513"/>
        <v/>
      </c>
      <c r="WZJ33" t="str">
        <f t="shared" si="513"/>
        <v/>
      </c>
      <c r="WZK33" t="str">
        <f t="shared" si="513"/>
        <v/>
      </c>
      <c r="WZL33" t="str">
        <f t="shared" si="513"/>
        <v/>
      </c>
      <c r="WZM33" t="str">
        <f t="shared" si="513"/>
        <v/>
      </c>
      <c r="WZN33" t="str">
        <f t="shared" si="513"/>
        <v/>
      </c>
      <c r="WZO33" t="str">
        <f t="shared" si="513"/>
        <v/>
      </c>
      <c r="WZP33" t="str">
        <f t="shared" si="513"/>
        <v/>
      </c>
      <c r="WZQ33" t="str">
        <f t="shared" si="513"/>
        <v/>
      </c>
      <c r="WZR33" t="str">
        <f t="shared" si="513"/>
        <v/>
      </c>
      <c r="WZS33" t="str">
        <f t="shared" si="513"/>
        <v/>
      </c>
      <c r="WZT33" t="str">
        <f t="shared" si="513"/>
        <v/>
      </c>
      <c r="WZU33" t="str">
        <f t="shared" si="513"/>
        <v/>
      </c>
      <c r="WZV33" t="str">
        <f t="shared" si="513"/>
        <v/>
      </c>
      <c r="WZW33" t="str">
        <f t="shared" si="513"/>
        <v/>
      </c>
      <c r="WZX33" t="str">
        <f t="shared" si="513"/>
        <v/>
      </c>
      <c r="WZY33" t="str">
        <f t="shared" si="513"/>
        <v/>
      </c>
      <c r="WZZ33" t="str">
        <f t="shared" si="513"/>
        <v/>
      </c>
      <c r="XAA33" t="str">
        <f t="shared" si="513"/>
        <v/>
      </c>
      <c r="XAB33" t="str">
        <f t="shared" si="513"/>
        <v/>
      </c>
      <c r="XAC33" t="str">
        <f t="shared" si="513"/>
        <v/>
      </c>
      <c r="XAD33" t="str">
        <f t="shared" si="513"/>
        <v/>
      </c>
      <c r="XAE33" t="str">
        <f t="shared" si="513"/>
        <v/>
      </c>
      <c r="XAF33" t="str">
        <f t="shared" si="513"/>
        <v/>
      </c>
      <c r="XAG33" t="str">
        <f t="shared" si="513"/>
        <v/>
      </c>
      <c r="XAH33" t="str">
        <f t="shared" si="513"/>
        <v/>
      </c>
      <c r="XAI33" t="str">
        <f t="shared" si="513"/>
        <v/>
      </c>
      <c r="XAJ33" t="str">
        <f t="shared" si="513"/>
        <v/>
      </c>
      <c r="XAK33" t="str">
        <f t="shared" si="513"/>
        <v/>
      </c>
      <c r="XAL33" t="str">
        <f t="shared" si="513"/>
        <v/>
      </c>
      <c r="XAM33" t="str">
        <f t="shared" si="513"/>
        <v/>
      </c>
      <c r="XAN33" t="str">
        <f t="shared" si="513"/>
        <v/>
      </c>
      <c r="XAO33" t="str">
        <f t="shared" si="513"/>
        <v/>
      </c>
      <c r="XAP33" t="str">
        <f t="shared" si="513"/>
        <v/>
      </c>
      <c r="XAQ33" t="str">
        <f t="shared" si="513"/>
        <v/>
      </c>
      <c r="XAR33" t="str">
        <f t="shared" si="513"/>
        <v/>
      </c>
      <c r="XAS33" t="str">
        <f t="shared" ref="XAS33:XDD33" si="514">TRIM(XBJ17)</f>
        <v/>
      </c>
      <c r="XAT33" t="str">
        <f t="shared" si="514"/>
        <v/>
      </c>
      <c r="XAU33" t="str">
        <f t="shared" si="514"/>
        <v/>
      </c>
      <c r="XAV33" t="str">
        <f t="shared" si="514"/>
        <v/>
      </c>
      <c r="XAW33" t="str">
        <f t="shared" si="514"/>
        <v/>
      </c>
      <c r="XAX33" t="str">
        <f t="shared" si="514"/>
        <v/>
      </c>
      <c r="XAY33" t="str">
        <f t="shared" si="514"/>
        <v/>
      </c>
      <c r="XAZ33" t="str">
        <f t="shared" si="514"/>
        <v/>
      </c>
      <c r="XBA33" t="str">
        <f t="shared" si="514"/>
        <v/>
      </c>
      <c r="XBB33" t="str">
        <f t="shared" si="514"/>
        <v/>
      </c>
      <c r="XBC33" t="str">
        <f t="shared" si="514"/>
        <v/>
      </c>
      <c r="XBD33" t="str">
        <f t="shared" si="514"/>
        <v/>
      </c>
      <c r="XBE33" t="str">
        <f t="shared" si="514"/>
        <v/>
      </c>
      <c r="XBF33" t="str">
        <f t="shared" si="514"/>
        <v/>
      </c>
      <c r="XBG33" t="str">
        <f t="shared" si="514"/>
        <v/>
      </c>
      <c r="XBH33" t="str">
        <f t="shared" si="514"/>
        <v/>
      </c>
      <c r="XBI33" t="str">
        <f t="shared" si="514"/>
        <v/>
      </c>
      <c r="XBJ33" t="str">
        <f t="shared" si="514"/>
        <v/>
      </c>
      <c r="XBK33" t="str">
        <f t="shared" si="514"/>
        <v/>
      </c>
      <c r="XBL33" t="str">
        <f t="shared" si="514"/>
        <v/>
      </c>
      <c r="XBM33" t="str">
        <f t="shared" si="514"/>
        <v/>
      </c>
      <c r="XBN33" t="str">
        <f t="shared" si="514"/>
        <v/>
      </c>
      <c r="XBO33" t="str">
        <f t="shared" si="514"/>
        <v/>
      </c>
      <c r="XBP33" t="str">
        <f t="shared" si="514"/>
        <v/>
      </c>
      <c r="XBQ33" t="str">
        <f t="shared" si="514"/>
        <v/>
      </c>
      <c r="XBR33" t="str">
        <f t="shared" si="514"/>
        <v/>
      </c>
      <c r="XBS33" t="str">
        <f t="shared" si="514"/>
        <v/>
      </c>
      <c r="XBT33" t="str">
        <f t="shared" si="514"/>
        <v/>
      </c>
      <c r="XBU33" t="str">
        <f t="shared" si="514"/>
        <v/>
      </c>
      <c r="XBV33" t="str">
        <f t="shared" si="514"/>
        <v/>
      </c>
      <c r="XBW33" t="str">
        <f t="shared" si="514"/>
        <v/>
      </c>
      <c r="XBX33" t="str">
        <f t="shared" si="514"/>
        <v/>
      </c>
      <c r="XBY33" t="str">
        <f t="shared" si="514"/>
        <v/>
      </c>
      <c r="XBZ33" t="str">
        <f t="shared" si="514"/>
        <v/>
      </c>
      <c r="XCA33" t="str">
        <f t="shared" si="514"/>
        <v/>
      </c>
      <c r="XCB33" t="str">
        <f t="shared" si="514"/>
        <v/>
      </c>
      <c r="XCC33" t="str">
        <f t="shared" si="514"/>
        <v/>
      </c>
      <c r="XCD33" t="str">
        <f t="shared" si="514"/>
        <v/>
      </c>
      <c r="XCE33" t="str">
        <f t="shared" si="514"/>
        <v/>
      </c>
      <c r="XCF33" t="str">
        <f t="shared" si="514"/>
        <v/>
      </c>
      <c r="XCG33" t="str">
        <f t="shared" si="514"/>
        <v/>
      </c>
      <c r="XCH33" t="str">
        <f t="shared" si="514"/>
        <v/>
      </c>
      <c r="XCI33" t="str">
        <f t="shared" si="514"/>
        <v/>
      </c>
      <c r="XCJ33" t="str">
        <f t="shared" si="514"/>
        <v/>
      </c>
      <c r="XCK33" t="str">
        <f t="shared" si="514"/>
        <v/>
      </c>
      <c r="XCL33" t="str">
        <f t="shared" si="514"/>
        <v/>
      </c>
      <c r="XCM33" t="str">
        <f t="shared" si="514"/>
        <v/>
      </c>
      <c r="XCN33" t="str">
        <f t="shared" si="514"/>
        <v/>
      </c>
      <c r="XCO33" t="str">
        <f t="shared" si="514"/>
        <v/>
      </c>
      <c r="XCP33" t="str">
        <f t="shared" si="514"/>
        <v/>
      </c>
      <c r="XCQ33" t="str">
        <f t="shared" si="514"/>
        <v/>
      </c>
      <c r="XCR33" t="str">
        <f t="shared" si="514"/>
        <v/>
      </c>
      <c r="XCS33" t="str">
        <f t="shared" si="514"/>
        <v/>
      </c>
      <c r="XCT33" t="str">
        <f t="shared" si="514"/>
        <v/>
      </c>
      <c r="XCU33" t="str">
        <f t="shared" si="514"/>
        <v/>
      </c>
      <c r="XCV33" t="str">
        <f t="shared" si="514"/>
        <v/>
      </c>
      <c r="XCW33" t="str">
        <f t="shared" si="514"/>
        <v/>
      </c>
      <c r="XCX33" t="str">
        <f t="shared" si="514"/>
        <v/>
      </c>
      <c r="XCY33" t="str">
        <f t="shared" si="514"/>
        <v/>
      </c>
      <c r="XCZ33" t="str">
        <f t="shared" si="514"/>
        <v/>
      </c>
      <c r="XDA33" t="str">
        <f t="shared" si="514"/>
        <v/>
      </c>
      <c r="XDB33" t="str">
        <f t="shared" si="514"/>
        <v/>
      </c>
      <c r="XDC33" t="str">
        <f t="shared" si="514"/>
        <v/>
      </c>
      <c r="XDD33" t="str">
        <f t="shared" si="514"/>
        <v/>
      </c>
      <c r="XDE33" t="str">
        <f t="shared" ref="XDE33:XDX33" si="515">TRIM(XDV17)</f>
        <v/>
      </c>
      <c r="XDF33" t="str">
        <f t="shared" si="515"/>
        <v/>
      </c>
      <c r="XDG33" t="str">
        <f t="shared" si="515"/>
        <v/>
      </c>
      <c r="XDH33" t="str">
        <f t="shared" si="515"/>
        <v/>
      </c>
      <c r="XDI33" t="str">
        <f t="shared" si="515"/>
        <v/>
      </c>
      <c r="XDJ33" t="str">
        <f t="shared" si="515"/>
        <v/>
      </c>
      <c r="XDK33" t="str">
        <f t="shared" si="515"/>
        <v/>
      </c>
      <c r="XDL33" t="str">
        <f t="shared" si="515"/>
        <v/>
      </c>
      <c r="XDM33" t="str">
        <f t="shared" si="515"/>
        <v/>
      </c>
      <c r="XDN33" t="str">
        <f t="shared" si="515"/>
        <v/>
      </c>
      <c r="XDO33" t="str">
        <f t="shared" si="515"/>
        <v/>
      </c>
      <c r="XDP33" t="str">
        <f t="shared" si="515"/>
        <v/>
      </c>
      <c r="XDQ33" t="str">
        <f t="shared" si="515"/>
        <v/>
      </c>
      <c r="XDR33" t="str">
        <f t="shared" si="515"/>
        <v/>
      </c>
      <c r="XDS33" t="str">
        <f t="shared" si="515"/>
        <v/>
      </c>
      <c r="XDT33" t="str">
        <f t="shared" si="515"/>
        <v/>
      </c>
      <c r="XDU33" t="str">
        <f t="shared" si="515"/>
        <v/>
      </c>
      <c r="XDV33" t="str">
        <f t="shared" si="515"/>
        <v/>
      </c>
      <c r="XDW33" t="str">
        <f t="shared" si="515"/>
        <v/>
      </c>
      <c r="XDX33" t="str">
        <f t="shared" si="515"/>
        <v/>
      </c>
      <c r="XDY33" t="e">
        <f>TRIM(#REF!)</f>
        <v>#REF!</v>
      </c>
    </row>
    <row r="34" spans="2:16353" x14ac:dyDescent="0.25">
      <c r="B34" s="104" t="s">
        <v>228</v>
      </c>
      <c r="C34" s="27">
        <v>2021</v>
      </c>
      <c r="D34" s="27">
        <v>2022</v>
      </c>
      <c r="E34" s="27">
        <v>2023</v>
      </c>
      <c r="F34" s="27">
        <f>F4</f>
        <v>2024</v>
      </c>
      <c r="G34" s="27">
        <f>G4</f>
        <v>2025</v>
      </c>
      <c r="H34" s="27">
        <v>2026</v>
      </c>
      <c r="I34" s="27">
        <v>2027</v>
      </c>
      <c r="J34" s="27">
        <v>2028</v>
      </c>
    </row>
    <row r="36" spans="2:16353" x14ac:dyDescent="0.3">
      <c r="B36" s="261" t="s">
        <v>48</v>
      </c>
      <c r="C36" s="264">
        <f>IS!AP46</f>
        <v>0.21695366571345676</v>
      </c>
      <c r="D36" s="264">
        <f>IS!AU46</f>
        <v>9.399517263985091E-2</v>
      </c>
      <c r="E36" s="264">
        <f>IS!AZ46</f>
        <v>0.1182957412988368</v>
      </c>
      <c r="F36" s="264">
        <f>IS!BE46</f>
        <v>0.11005570557128697</v>
      </c>
      <c r="G36" s="264">
        <f>IS!BJ46</f>
        <v>9.9230361375387321E-2</v>
      </c>
      <c r="H36" s="264">
        <f>IS!BK46</f>
        <v>9.3426267492475068E-2</v>
      </c>
      <c r="I36" s="264">
        <f>IS!BL46</f>
        <v>9.4947516434952473E-2</v>
      </c>
      <c r="J36" s="264">
        <f>IS!BM46</f>
        <v>9.6478448157193641E-2</v>
      </c>
    </row>
    <row r="37" spans="2:16353" x14ac:dyDescent="0.3">
      <c r="B37" s="261" t="s">
        <v>229</v>
      </c>
      <c r="C37" s="264">
        <f>IS!AP94/IS!AK94-1</f>
        <v>0.46570862239841437</v>
      </c>
      <c r="D37" s="264">
        <f>IS!AU94/IS!AP94-1</f>
        <v>-0.49471904794103727</v>
      </c>
      <c r="E37" s="264">
        <f>IS!AZ94/IS!AU94-1</f>
        <v>1.3138666595294812</v>
      </c>
      <c r="F37" s="264">
        <f>IS!BE94/IS!AZ94-1</f>
        <v>0.33452324836061309</v>
      </c>
      <c r="G37" s="264">
        <f>IS!BJ94/IS!BE94-1</f>
        <v>0.15445839866112743</v>
      </c>
      <c r="H37" s="264">
        <f>IS!BK94/IS!BF94-1</f>
        <v>4.3007125856048427</v>
      </c>
      <c r="I37" s="264">
        <f>IS!BL94/IS!BG94-1</f>
        <v>4.6235956413495556</v>
      </c>
      <c r="J37" s="264">
        <f>IS!BM94/IS!BH94-1</f>
        <v>4.783784262235967</v>
      </c>
    </row>
    <row r="38" spans="2:16353" x14ac:dyDescent="0.3">
      <c r="B38" s="262" t="s">
        <v>230</v>
      </c>
      <c r="C38" s="264">
        <f>IS!AP17/IS!AP15</f>
        <v>0.42032514441639601</v>
      </c>
      <c r="D38" s="264">
        <f>IS!AU17/IS!AU15</f>
        <v>0.43805339865326287</v>
      </c>
      <c r="E38" s="264">
        <f>IS!AZ17/IS!AZ15</f>
        <v>0.46982088955000567</v>
      </c>
      <c r="F38" s="264">
        <f>IS!BE17/IS!BE15</f>
        <v>0.48754349398276259</v>
      </c>
      <c r="G38" s="264">
        <f>IS!BJ17/IS!BJ15</f>
        <v>0.47999999999999993</v>
      </c>
      <c r="H38" s="264">
        <f>IS!BK17/IS!BK15</f>
        <v>0.48999999999999994</v>
      </c>
      <c r="I38" s="264">
        <f>IS!BL17/IS!BL15</f>
        <v>0.5</v>
      </c>
      <c r="J38" s="264">
        <f>IS!BM17/IS!BM15</f>
        <v>0.51</v>
      </c>
    </row>
    <row r="39" spans="2:16353" x14ac:dyDescent="0.3">
      <c r="B39" s="261" t="s">
        <v>231</v>
      </c>
      <c r="C39" s="264">
        <f>(IS!AP20+IS!AP21)/IS!AP15</f>
        <v>8.8063138805760485E-2</v>
      </c>
      <c r="D39" s="264">
        <f>(IS!AU20+IS!AU21)/IS!AU15</f>
        <v>0.10531282163028738</v>
      </c>
      <c r="E39" s="264">
        <f>(IS!AZ20+IS!AZ21)/IS!AZ15</f>
        <v>9.7751333107161803E-2</v>
      </c>
      <c r="F39" s="264">
        <f>(IS!BE20+IS!BE21)/IS!BE15</f>
        <v>8.8062780587365885E-2</v>
      </c>
      <c r="G39" s="264">
        <f>(IS!BJ20+IS!BJ21)/IS!BJ15</f>
        <v>9.0000000000000011E-2</v>
      </c>
      <c r="H39" s="264">
        <f>(IS!BK20+IS!BK21)/IS!BK15</f>
        <v>0.10500000000000001</v>
      </c>
      <c r="I39" s="264">
        <f>(IS!BL20+IS!BL21)/IS!BL15</f>
        <v>0.10999999999999999</v>
      </c>
      <c r="J39" s="264">
        <f>(IS!BM20+IS!BM21)/IS!BM15</f>
        <v>0.11</v>
      </c>
    </row>
    <row r="40" spans="2:16353" x14ac:dyDescent="0.3">
      <c r="B40" s="261" t="s">
        <v>28</v>
      </c>
      <c r="C40" s="264">
        <f>IS!AP94/IS!AP15</f>
        <v>0.15738939428123844</v>
      </c>
      <c r="D40" s="264">
        <f>IS!AU94/IS!AU15</f>
        <v>7.2693065723963626E-2</v>
      </c>
      <c r="E40" s="264">
        <f>IS!AZ94/IS!AZ15</f>
        <v>0.15040928347121096</v>
      </c>
      <c r="F40" s="264">
        <f>IS!BE94/IS!BE15</f>
        <v>0.18082397536823647</v>
      </c>
      <c r="G40" s="264">
        <f>IS!BJ94/IS!BJ15</f>
        <v>0.18990901668869023</v>
      </c>
      <c r="H40" s="264">
        <f>IS!BK94/IS!BK15</f>
        <v>0.20599999999999993</v>
      </c>
      <c r="I40" s="264">
        <f>IS!BL94/IS!BL15</f>
        <v>0.20600000000000002</v>
      </c>
      <c r="J40" s="264">
        <f>IS!BM94/IS!BM15</f>
        <v>0.21100000000000008</v>
      </c>
    </row>
    <row r="41" spans="2:16353" x14ac:dyDescent="0.3">
      <c r="B41" s="261" t="s">
        <v>232</v>
      </c>
      <c r="C41" s="264">
        <f>IS!AP95/IS!AP15</f>
        <v>8.4099935720336638E-2</v>
      </c>
      <c r="D41" s="264">
        <f>IS!AU95/IS!AU15</f>
        <v>-8.867997579686487E-3</v>
      </c>
      <c r="E41" s="264">
        <f>IS!AZ95/IS!AZ15</f>
        <v>6.5746322537992466E-2</v>
      </c>
      <c r="F41" s="264">
        <f>IS!BE95/IS!BE15</f>
        <v>9.8576383439274995E-2</v>
      </c>
      <c r="G41" s="264">
        <f>IS!BJ95/IS!BJ15</f>
        <v>0.10699999999999982</v>
      </c>
      <c r="H41" s="264">
        <f>IS!BK95/IS!BK15</f>
        <v>0.10599999999999996</v>
      </c>
      <c r="I41" s="264">
        <f>IS!BL95/IS!BL15</f>
        <v>0.10100000000000002</v>
      </c>
      <c r="J41" s="264">
        <f>IS!BM95/IS!BM15</f>
        <v>0.10100000000000009</v>
      </c>
    </row>
    <row r="42" spans="2:16353" x14ac:dyDescent="0.3">
      <c r="B42" s="261" t="s">
        <v>233</v>
      </c>
      <c r="C42" s="264">
        <f>IS!AP28/IS!AP15</f>
        <v>8.1203093937704071E-2</v>
      </c>
      <c r="D42" s="264">
        <f>IS!AU28/IS!AU15</f>
        <v>-1.1549020103777752E-2</v>
      </c>
      <c r="E42" s="264">
        <f>IS!AZ28/IS!AZ15</f>
        <v>6.5340953573945038E-2</v>
      </c>
      <c r="F42" s="264">
        <f>IS!BE28/IS!BE15</f>
        <v>9.9600793672814977E-2</v>
      </c>
      <c r="G42" s="264">
        <f>IS!BJ28/IS!BJ15</f>
        <v>0.10199999999999981</v>
      </c>
      <c r="H42" s="264">
        <f>IS!BK28/IS!BK15</f>
        <v>0.10099999999999995</v>
      </c>
      <c r="I42" s="264">
        <f>IS!BL28/IS!BL15</f>
        <v>9.600000000000003E-2</v>
      </c>
      <c r="J42" s="264">
        <f>IS!BM28/IS!BM15</f>
        <v>9.6000000000000085E-2</v>
      </c>
    </row>
    <row r="43" spans="2:16353" x14ac:dyDescent="0.3">
      <c r="B43" s="261" t="s">
        <v>234</v>
      </c>
      <c r="C43" s="264">
        <f>IS!AP24/IS!AP15</f>
        <v>5.2954097509269465E-2</v>
      </c>
      <c r="D43" s="264">
        <f>IS!AU24/IS!AU15</f>
        <v>2.3829581912242232E-2</v>
      </c>
      <c r="E43" s="264">
        <f>IS!AZ24/IS!AZ15</f>
        <v>6.4114407996033296E-2</v>
      </c>
      <c r="F43" s="264">
        <f>IS!BE24/IS!BE15</f>
        <v>0.10224736785404971</v>
      </c>
      <c r="G43" s="264">
        <f>IS!BJ24/IS!BJ15</f>
        <v>0.10499999999999982</v>
      </c>
      <c r="H43" s="264">
        <f>IS!BK24/IS!BK15</f>
        <v>0.10399999999999995</v>
      </c>
      <c r="I43" s="264">
        <f>IS!BL24/IS!BL15</f>
        <v>9.9000000000000019E-2</v>
      </c>
      <c r="J43" s="264">
        <f>IS!BM24/IS!BM15</f>
        <v>9.9000000000000088E-2</v>
      </c>
    </row>
    <row r="44" spans="2:16353" x14ac:dyDescent="0.3">
      <c r="B44" s="262" t="s">
        <v>30</v>
      </c>
      <c r="C44" s="264">
        <f>IS!AP31/IS!AP15</f>
        <v>7.1014128755145567E-2</v>
      </c>
      <c r="D44" s="264">
        <f>IS!AU31/IS!AU15</f>
        <v>-5.2958950004183018E-3</v>
      </c>
      <c r="E44" s="264">
        <f>IS!AZ31/IS!AZ15</f>
        <v>5.2932835755978319E-2</v>
      </c>
      <c r="F44" s="264">
        <f>IS!BE31/IS!BE15</f>
        <v>8.2907929259765575E-2</v>
      </c>
      <c r="G44" s="264">
        <f>IS!BJ31/IS!BJ15</f>
        <v>8.0579999999999832E-2</v>
      </c>
      <c r="H44" s="264">
        <f>IS!BK31/IS!BK15</f>
        <v>7.9789999999999958E-2</v>
      </c>
      <c r="I44" s="264">
        <f>IS!BL31/IS!BL15</f>
        <v>7.5840000000000019E-2</v>
      </c>
      <c r="J44" s="264">
        <f>IS!BM31/IS!BM15</f>
        <v>7.5840000000000074E-2</v>
      </c>
    </row>
    <row r="45" spans="2:16353" x14ac:dyDescent="0.3">
      <c r="B45" s="262" t="s">
        <v>235</v>
      </c>
      <c r="C45" s="264">
        <f>IS!AP31/AVERAGE(BS!AK40:AO40)</f>
        <v>0.29249424900409582</v>
      </c>
      <c r="D45" s="264">
        <f>IS!AU31/AVERAGE(BS!AP40:AT40)</f>
        <v>-1.9805582234640122E-2</v>
      </c>
      <c r="E45" s="264">
        <f>IS!AZ31/AVERAGE(BS!AU40:AY40)</f>
        <v>0.17812835545813385</v>
      </c>
      <c r="F45" s="264">
        <f>IS!BE31/AVERAGE(BS!AZ40:BD40)</f>
        <v>0.22307236853165499</v>
      </c>
      <c r="G45" s="264">
        <f>IS!BJ31/AVERAGE(BS!BE40:BI40)</f>
        <v>0.18918223671368642</v>
      </c>
      <c r="H45" s="264">
        <f>IS!BK31/AVERAGE(BS!BJ40:BK40)</f>
        <v>0.17042760922365741</v>
      </c>
      <c r="I45" s="264">
        <f>IS!BL31/AVERAGE(BS!BK40:BL40)</f>
        <v>0.1510375990299907</v>
      </c>
      <c r="J45" s="264">
        <f>IS!BM31/AVERAGE(BS!BL40:BM40)</f>
        <v>0.142898813392631</v>
      </c>
    </row>
    <row r="46" spans="2:16353" x14ac:dyDescent="0.3">
      <c r="B46" s="261" t="s">
        <v>236</v>
      </c>
      <c r="C46" s="264">
        <f>IS!AP31/AVERAGE(BS!AK20:AO20)</f>
        <v>9.2290873925200245E-2</v>
      </c>
      <c r="D46" s="264">
        <f>IS!AU31/AVERAGE(BS!AP20:AT20)</f>
        <v>-6.3536346197926221E-3</v>
      </c>
      <c r="E46" s="264">
        <f>IS!AZ31/AVERAGE(BS!AU20:AY20)</f>
        <v>6.2877237592672885E-2</v>
      </c>
      <c r="F46" s="264">
        <f>IS!BE31/AVERAGE(BS!AZ20:BD20)</f>
        <v>9.405637272957551E-2</v>
      </c>
      <c r="G46" s="264">
        <f>IS!BJ31/AVERAGE(BS!BE20:BI20)</f>
        <v>8.7414338959978397E-2</v>
      </c>
      <c r="H46" s="264">
        <f>IS!BK31/AVERAGE(BS!BJ20:BK20)</f>
        <v>8.2905279863213888E-2</v>
      </c>
      <c r="I46" s="264">
        <f>IS!BL31/AVERAGE(BS!BK20:BL20)</f>
        <v>7.7582579252552977E-2</v>
      </c>
      <c r="J46" s="264">
        <f>IS!BM31/AVERAGE(BS!BL20:BM20)</f>
        <v>7.6892001117094794E-2</v>
      </c>
    </row>
    <row r="47" spans="2:16353" x14ac:dyDescent="0.3">
      <c r="B47" s="262" t="s">
        <v>237</v>
      </c>
      <c r="C47" s="264">
        <f>(IS!AP31+(-IS!AP26-IS!AP25)*(1-IS!AP90))/AVERAGE(BS!AK49:AO49)</f>
        <v>0.16048766556392552</v>
      </c>
      <c r="D47" s="264">
        <f>(IS!AU31+(-IS!AU26-IS!AU25)*(1-IS!AU90))/AVERAGE(BS!AP49:AT49)</f>
        <v>-7.9813360867721506E-3</v>
      </c>
      <c r="E47" s="264">
        <f>(IS!AZ31+(-IS!AZ26-IS!AZ25)*(1-IS!AZ90))/AVERAGE(BS!AU49:AY49)</f>
        <v>9.89456646073852E-2</v>
      </c>
      <c r="F47" s="264">
        <f>(IS!BE31+(-IS!BE26-IS!BE25)*(1-IS!BE90))/AVERAGE(BS!AZ49:BD49)</f>
        <v>0.14030743762344386</v>
      </c>
      <c r="G47" s="264">
        <f>(IS!BJ31+(-IS!BJ26-IS!BJ25)*(1-IS!BJ90))/AVERAGE(BS!BE49:BI49)</f>
        <v>0.13557033427603823</v>
      </c>
      <c r="H47" s="264">
        <f>(IS!BK31+(-IS!BK26-IS!BK25)*(1-IS!BK90))/AVERAGE(BS!BJ49:BK49)</f>
        <v>0.12666076223305689</v>
      </c>
      <c r="I47" s="264">
        <f>(IS!BL31+(-IS!BL26-IS!BL25)*(1-IS!BL90))/AVERAGE(BS!BK49:BL49)</f>
        <v>0.11655191517088431</v>
      </c>
      <c r="J47" s="264">
        <f>(IS!BM31+(-IS!BM26-IS!BM25)*(1-IS!BM90))/AVERAGE(BS!BL49:BM49)</f>
        <v>0.1134681353853987</v>
      </c>
    </row>
    <row r="49" spans="2:10" x14ac:dyDescent="0.25">
      <c r="B49" s="104" t="s">
        <v>238</v>
      </c>
      <c r="C49" s="27">
        <v>2021</v>
      </c>
      <c r="D49" s="27">
        <v>2022</v>
      </c>
      <c r="E49" s="27">
        <v>2023</v>
      </c>
      <c r="F49" s="27">
        <f>F4</f>
        <v>2024</v>
      </c>
      <c r="G49" s="27">
        <f>G4</f>
        <v>2025</v>
      </c>
      <c r="H49" s="27">
        <v>2026</v>
      </c>
      <c r="I49" s="27">
        <v>2027</v>
      </c>
      <c r="J49" s="27">
        <v>2028</v>
      </c>
    </row>
    <row r="50" spans="2:10" x14ac:dyDescent="0.3">
      <c r="E50" s="263"/>
      <c r="F50" s="263"/>
      <c r="G50" s="263"/>
    </row>
    <row r="51" spans="2:10" x14ac:dyDescent="0.3">
      <c r="B51" s="262" t="s">
        <v>34</v>
      </c>
      <c r="C51" s="263">
        <f>((IS!AP95-IS!AP96)/IS!AP96)/((IS!AP15-IS!AP97)/IS!AP97)</f>
        <v>8.6342797897553432</v>
      </c>
      <c r="D51" s="263">
        <f>((IS!AU95-IS!AU96)/IS!AU96)/((IS!AU15-IS!AU97)/IS!AU97)</f>
        <v>-59.536136931114008</v>
      </c>
      <c r="E51" s="263">
        <f>((IS!AZ95-IS!AZ96)/IS!AZ96)/((IS!AZ15-IS!AZ97)/IS!AZ97)</f>
        <v>16.08667862700489</v>
      </c>
      <c r="F51" s="263">
        <f>((IS!BE95-IS!BE96)/IS!BE96)/((IS!BE15-IS!BE97)/IS!BE97)</f>
        <v>2.8122307791515917</v>
      </c>
      <c r="G51" s="263">
        <f>((IS!BJ95-IS!BJ96)/IS!BJ96)/((IS!BJ15-IS!BJ97)/IS!BJ97)</f>
        <v>2.004346689857559</v>
      </c>
      <c r="H51" s="263">
        <f>((IS!BK95-IS!BK96)/IS!BK96)/((IS!BK15-IS!BK97)/IS!BK97)</f>
        <v>0.89062030033265938</v>
      </c>
      <c r="I51" s="263">
        <f>((IS!BL95-IS!BL96)/IS!BL96)/((IS!BL15-IS!BL97)/IS!BL97)</f>
        <v>0.45603139823305644</v>
      </c>
      <c r="J51" s="263">
        <f>((IS!BM95-IS!BM96)/IS!BM96)/((IS!BM15-IS!BM97)/IS!BM97)</f>
        <v>1.0000000000000075</v>
      </c>
    </row>
    <row r="52" spans="2:10" x14ac:dyDescent="0.3">
      <c r="B52" s="262" t="s">
        <v>35</v>
      </c>
      <c r="C52" s="263">
        <f>((IS!AP31-IS!AP98)/IS!AP98)/((IS!AP95-IS!AP96)/IS!AP96)</f>
        <v>1.2095018298631142</v>
      </c>
      <c r="D52" s="263">
        <f>((IS!AU31-IS!AU98)/IS!AU98)/((IS!AU95-IS!AU96)/IS!AU96)</f>
        <v>0.88728070920817148</v>
      </c>
      <c r="E52" s="263">
        <f>((IS!AZ31-IS!AZ98)/IS!AZ98)/((IS!AZ95-IS!AZ96)/IS!AZ96)</f>
        <v>0.8549311424573518</v>
      </c>
      <c r="F52" s="263">
        <f>((IS!BE31-IS!BE98)/IS!BE98)/((IS!BE95-IS!BE96)/IS!BE96)</f>
        <v>0.74807952289893964</v>
      </c>
      <c r="G52" s="263">
        <f>((IS!BJ31-IS!BJ98)/IS!BJ98)/((IS!BJ95-IS!BJ96)/IS!BJ96)</f>
        <v>1.0252438068556804</v>
      </c>
      <c r="H52" s="263">
        <f>((IS!BK31-IS!BK98)/IS!BK98)/((IS!BK95-IS!BK96)/IS!BK96)</f>
        <v>0.99397975772426661</v>
      </c>
      <c r="I52" s="263">
        <f>((IS!BL31-IS!BL98)/IS!BL98)/((IS!BL95-IS!BL96)/IS!BL96)</f>
        <v>0.94094893727564999</v>
      </c>
      <c r="J52" s="263">
        <f>((IS!BM31-IS!BM98)/IS!BM98)/((IS!BM95-IS!BM96)/IS!BM96)</f>
        <v>1.0000000000000007</v>
      </c>
    </row>
    <row r="53" spans="2:10" x14ac:dyDescent="0.3">
      <c r="B53" s="262" t="s">
        <v>36</v>
      </c>
      <c r="C53" s="263">
        <f>((IS!AP31-IS!AP98)/IS!AP98)/((IS!AP15-IS!AP97)/IS!AP97)</f>
        <v>10.443177205259191</v>
      </c>
      <c r="D53" s="263">
        <f>((IS!AU31-IS!AU98)/IS!AU98)/((IS!AU15-IS!AU97)/IS!AU97)</f>
        <v>-52.825265799753652</v>
      </c>
      <c r="E53" s="263">
        <f>((IS!AZ31-IS!AZ98)/IS!AZ98)/((IS!AZ15-IS!AZ97)/IS!AZ97)</f>
        <v>13.753002536929554</v>
      </c>
      <c r="F53" s="263">
        <f>((IS!BE31-IS!BE98)/IS!BE98)/((IS!BE15-IS!BE97)/IS!BE97)</f>
        <v>2.1037722595494359</v>
      </c>
      <c r="G53" s="263">
        <f>((IS!BJ31-IS!BJ98)/IS!BJ98)/((IS!BJ15-IS!BJ97)/IS!BJ97)</f>
        <v>2.0549440305681457</v>
      </c>
      <c r="H53" s="263">
        <f>((IS!BK31-IS!BK98)/IS!BK98)/((IS!BK15-IS!BK97)/IS!BK97)</f>
        <v>0.88525855034897039</v>
      </c>
      <c r="I53" s="263">
        <f>((IS!BL31-IS!BL98)/IS!BL98)/((IS!BL15-IS!BL97)/IS!BL97)</f>
        <v>0.42910225953172315</v>
      </c>
      <c r="J53" s="263">
        <f>((IS!BM31-IS!BM98)/IS!BM98)/((IS!BM15-IS!BM97)/IS!BM97)</f>
        <v>1.0000000000000082</v>
      </c>
    </row>
    <row r="54" spans="2:10" x14ac:dyDescent="0.3">
      <c r="B54" s="262" t="s">
        <v>239</v>
      </c>
      <c r="C54" s="263">
        <f>BS!AP47/BS!AP40</f>
        <v>0.84194726753227966</v>
      </c>
      <c r="D54" s="263">
        <f>BS!AU47/BS!AU40</f>
        <v>0.95942975698937982</v>
      </c>
      <c r="E54" s="263">
        <f>BS!AZ47/BS!AZ40</f>
        <v>0.67175727554179565</v>
      </c>
      <c r="F54" s="263">
        <f>BS!BE47/BS!BE40</f>
        <v>0.50878464170436299</v>
      </c>
      <c r="G54" s="263">
        <f>BS!BJ47/BS!BJ40</f>
        <v>0.46034303942062577</v>
      </c>
      <c r="H54" s="263">
        <f>BS!BK47/BS!BK40</f>
        <v>0.40418507313649205</v>
      </c>
      <c r="I54" s="263">
        <f>BS!BL47/BS!BL40</f>
        <v>0.36166563831295651</v>
      </c>
      <c r="J54" s="263">
        <f>BS!BM47/BS!BM40</f>
        <v>0.3257229419230605</v>
      </c>
    </row>
    <row r="55" spans="2:10" x14ac:dyDescent="0.3">
      <c r="B55" s="261" t="s">
        <v>240</v>
      </c>
      <c r="C55" s="263">
        <f>BS!AP47/BS!AP49</f>
        <v>0.45709629280552938</v>
      </c>
      <c r="D55" s="263">
        <f>BS!AU47/BS!AU49</f>
        <v>0.48964743623344903</v>
      </c>
      <c r="E55" s="263">
        <f>BS!AZ47/BS!AZ49</f>
        <v>0.4018270387512371</v>
      </c>
      <c r="F55" s="263">
        <f>BS!BE47/BS!BE49</f>
        <v>0.3372148864993923</v>
      </c>
      <c r="G55" s="263">
        <f>BS!BJ47/BS!BJ49</f>
        <v>0.31522938583201765</v>
      </c>
      <c r="H55" s="263">
        <f>BS!BK47/BS!BK49</f>
        <v>0.2878431631762573</v>
      </c>
      <c r="I55" s="263">
        <f>BS!BL47/BS!BL49</f>
        <v>0.26560532052570868</v>
      </c>
      <c r="J55" s="263">
        <f>BS!BM47/BS!BM49</f>
        <v>0.245694580385382</v>
      </c>
    </row>
    <row r="56" spans="2:10" x14ac:dyDescent="0.3">
      <c r="B56" s="261" t="s">
        <v>241</v>
      </c>
      <c r="C56" s="263">
        <f>BS!AP47/IS!AP94</f>
        <v>1.574075326256001</v>
      </c>
      <c r="D56" s="263">
        <f>BS!AU47/IS!AU94</f>
        <v>3.7501806600112411</v>
      </c>
      <c r="E56" s="263">
        <f>BS!AZ47/IS!AZ94</f>
        <v>1.5686095335037535</v>
      </c>
      <c r="F56" s="263">
        <f>BS!BE47/IS!BE94</f>
        <v>1.197524164352074</v>
      </c>
      <c r="G56" s="263">
        <f>BS!BJ47/IS!BJ94</f>
        <v>1.1347236841138526</v>
      </c>
      <c r="H56" s="263">
        <f>BS!BK47/IS!BK94</f>
        <v>0.99718249010162474</v>
      </c>
      <c r="I56" s="263">
        <f>BS!BL47/IS!BL94</f>
        <v>0.94821818828569282</v>
      </c>
      <c r="J56" s="263">
        <f>BS!BM47/IS!BM94</f>
        <v>0.87818634656085881</v>
      </c>
    </row>
    <row r="57" spans="2:10" x14ac:dyDescent="0.3">
      <c r="B57" s="261" t="s">
        <v>242</v>
      </c>
      <c r="C57" s="263">
        <f>BS!AP47/BS!AP20</f>
        <v>0.2767691755300809</v>
      </c>
      <c r="D57" s="263">
        <f>BS!AU47/BS!AU20</f>
        <v>0.30284324850056737</v>
      </c>
      <c r="E57" s="263">
        <f>BS!AZ47/BS!AZ20</f>
        <v>0.25691005467420913</v>
      </c>
      <c r="F57" s="263">
        <f>BS!BE47/BS!BE20</f>
        <v>0.22508818657908719</v>
      </c>
      <c r="G57" s="263">
        <f>BS!BJ47/BS!BJ20</f>
        <v>0.21675279371541845</v>
      </c>
      <c r="H57" s="263">
        <f>BS!BK47/BS!BK20</f>
        <v>0.20226406255904525</v>
      </c>
      <c r="I57" s="263">
        <f>BS!BL47/BS!BL20</f>
        <v>0.19009690162344536</v>
      </c>
      <c r="J57" s="263">
        <f>BS!BM47/BS!BM20</f>
        <v>0.1789437790835415</v>
      </c>
    </row>
    <row r="58" spans="2:10" x14ac:dyDescent="0.3">
      <c r="B58" s="261" t="s">
        <v>243</v>
      </c>
      <c r="C58" s="263">
        <f>BS!AP20/BS!AP40</f>
        <v>3.0420557705522802</v>
      </c>
      <c r="D58" s="263">
        <f>BS!AU20/BS!AU40</f>
        <v>3.1680737864875415</v>
      </c>
      <c r="E58" s="263">
        <f>BS!AZ20/BS!AZ40</f>
        <v>2.6147566563467493</v>
      </c>
      <c r="F58" s="263">
        <f>BS!BE20/BS!BE40</f>
        <v>2.2603791404467866</v>
      </c>
      <c r="G58" s="263">
        <f>BS!BJ20/BS!BJ40</f>
        <v>2.1238159450208731</v>
      </c>
      <c r="H58" s="263">
        <f>BS!BK20/BS!BK40</f>
        <v>1.9983039400214841</v>
      </c>
      <c r="I58" s="263">
        <f>BS!BL20/BS!BL40</f>
        <v>1.90253305142955</v>
      </c>
      <c r="J58" s="263">
        <f>BS!BM20/BS!BM40</f>
        <v>1.8202529509058474</v>
      </c>
    </row>
    <row r="60" spans="2:10" x14ac:dyDescent="0.3">
      <c r="B60" s="104" t="s">
        <v>244</v>
      </c>
      <c r="C60" s="27">
        <v>2021</v>
      </c>
      <c r="D60" s="27">
        <v>2022</v>
      </c>
      <c r="E60" s="27">
        <v>2023</v>
      </c>
      <c r="F60" s="27">
        <f>F4</f>
        <v>2024</v>
      </c>
    </row>
    <row r="61" spans="2:10" x14ac:dyDescent="0.3">
      <c r="B61" s="261" t="s">
        <v>245</v>
      </c>
      <c r="C61" s="263">
        <v>166.72</v>
      </c>
      <c r="D61" s="263">
        <v>84</v>
      </c>
      <c r="E61" s="263">
        <v>151.94</v>
      </c>
      <c r="F61" s="265">
        <f>Valuation!M13</f>
        <v>227.46</v>
      </c>
    </row>
    <row r="62" spans="2:10" x14ac:dyDescent="0.3">
      <c r="B62" s="261" t="s">
        <v>246</v>
      </c>
      <c r="C62" s="266">
        <f>C61*IS!AP36</f>
        <v>1716549.1199999999</v>
      </c>
      <c r="D62" s="266">
        <f>D61*IS!AU36</f>
        <v>855876</v>
      </c>
      <c r="E62" s="266">
        <f>E61*IS!AZ36</f>
        <v>1594154.48</v>
      </c>
      <c r="F62" s="266">
        <f>F61*IS!BE36</f>
        <v>2437973.145</v>
      </c>
      <c r="G62" s="266"/>
    </row>
    <row r="63" spans="2:10" x14ac:dyDescent="0.3">
      <c r="B63" s="261" t="s">
        <v>247</v>
      </c>
      <c r="C63" s="263">
        <f>C61/IS!AP33</f>
        <v>51.456790123456784</v>
      </c>
      <c r="D63" s="263">
        <f>D61/IS!AU33</f>
        <v>-311.11111111111109</v>
      </c>
      <c r="E63" s="263">
        <f>E61/IS!AZ33</f>
        <v>52.393103448275866</v>
      </c>
      <c r="F63" s="263">
        <f>F61/IS!BE33</f>
        <v>46.044534412955464</v>
      </c>
      <c r="G63" s="263"/>
    </row>
    <row r="64" spans="2:10" x14ac:dyDescent="0.3">
      <c r="B64" s="261" t="s">
        <v>248</v>
      </c>
      <c r="C64" s="263">
        <f>C61/(IS!AP15/IS!AP36)</f>
        <v>3.653615880056702</v>
      </c>
      <c r="D64" s="263">
        <f>D61/(IS!AU15/IS!AU36)</f>
        <v>1.665183478831012</v>
      </c>
      <c r="E64" s="263">
        <f>E61/(IS!AZ15/IS!AZ36)</f>
        <v>2.7734796141165825</v>
      </c>
      <c r="F64" s="263">
        <f>F61/(IS!BE15/IS!BE36)</f>
        <v>3.8210147844102607</v>
      </c>
      <c r="G64" s="263"/>
    </row>
    <row r="65" spans="2:7" x14ac:dyDescent="0.3">
      <c r="B65" s="261" t="s">
        <v>249</v>
      </c>
      <c r="C65" s="263">
        <f>C61/(IS!AP94/IS!AP36)</f>
        <v>23.213863276759756</v>
      </c>
      <c r="D65" s="263">
        <f>D61/(IS!AU94/IS!AU36)</f>
        <v>22.907047078660707</v>
      </c>
      <c r="E65" s="263">
        <f>E61/(IS!AZ94/IS!AZ36)</f>
        <v>18.439550738551581</v>
      </c>
      <c r="F65" s="263">
        <f>F61/(IS!BE94/IS!BE36)</f>
        <v>21.13112919140843</v>
      </c>
      <c r="G65" s="263"/>
    </row>
    <row r="66" spans="2:7" x14ac:dyDescent="0.3">
      <c r="B66" s="261" t="s">
        <v>250</v>
      </c>
      <c r="C66" s="263">
        <f>C61/(CF!AP45/IS!AP36)</f>
        <v>351.39183623336743</v>
      </c>
      <c r="D66" s="263">
        <f>D61/(CF!AU45/IS!AU36)</f>
        <v>214.3441021788129</v>
      </c>
      <c r="E66" s="263">
        <f>E61/(CF!AZ45/IS!AZ36)</f>
        <v>36.431154988802049</v>
      </c>
      <c r="F66" s="263">
        <f>F61/(CF!BE45/IS!BE36)</f>
        <v>46.823822685230645</v>
      </c>
      <c r="G66" s="263"/>
    </row>
    <row r="67" spans="2:7" x14ac:dyDescent="0.3">
      <c r="B67" s="261" t="s">
        <v>251</v>
      </c>
      <c r="C67" s="263">
        <f>C61/(BS!AP40/IS!AP36)</f>
        <v>12.416717566638939</v>
      </c>
      <c r="D67" s="263">
        <f>D61/(BS!AU40/IS!AU36)</f>
        <v>5.8604383640434667</v>
      </c>
      <c r="E67" s="263">
        <f>E61/(BS!AZ40/IS!AZ36)</f>
        <v>7.8967404582043335</v>
      </c>
      <c r="F67" s="263">
        <f>F61/(BS!BE40/IS!BE36)</f>
        <v>8.9778513991626454</v>
      </c>
      <c r="G67" s="26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26DC-3D3D-4CBB-B62F-59F0CA2CCB6D}">
  <dimension ref="A1:AC21"/>
  <sheetViews>
    <sheetView showGridLines="0" workbookViewId="0">
      <selection activeCell="P6" sqref="P6"/>
    </sheetView>
  </sheetViews>
  <sheetFormatPr defaultRowHeight="15" outlineLevelCol="1" x14ac:dyDescent="0.25"/>
  <cols>
    <col min="1" max="1" width="25.5703125" customWidth="1"/>
    <col min="2" max="5" width="0" hidden="1" customWidth="1" outlineLevel="1"/>
    <col min="6" max="6" width="9.140625" collapsed="1"/>
    <col min="7" max="10" width="0" hidden="1" customWidth="1" outlineLevel="1"/>
    <col min="11" max="11" width="9.140625" collapsed="1"/>
    <col min="12" max="15" width="0" hidden="1" customWidth="1" outlineLevel="1"/>
    <col min="16" max="16" width="9.140625" collapsed="1"/>
  </cols>
  <sheetData>
    <row r="1" spans="1:29" x14ac:dyDescent="0.25">
      <c r="A1" s="122" t="s">
        <v>10</v>
      </c>
    </row>
    <row r="3" spans="1:29" x14ac:dyDescent="0.25">
      <c r="A3" t="s">
        <v>19</v>
      </c>
    </row>
    <row r="4" spans="1:29" ht="16.5" x14ac:dyDescent="0.3">
      <c r="A4" s="156" t="s">
        <v>11</v>
      </c>
      <c r="B4" s="28">
        <v>44286</v>
      </c>
      <c r="C4" s="28">
        <v>44377</v>
      </c>
      <c r="D4" s="28">
        <v>44469</v>
      </c>
      <c r="E4" s="28">
        <v>44561</v>
      </c>
      <c r="F4" s="27">
        <v>2021</v>
      </c>
      <c r="G4" s="28">
        <v>44651</v>
      </c>
      <c r="H4" s="28">
        <v>44742</v>
      </c>
      <c r="I4" s="28">
        <v>44834</v>
      </c>
      <c r="J4" s="28">
        <v>44926</v>
      </c>
      <c r="K4" s="27">
        <v>2022</v>
      </c>
      <c r="L4" s="28">
        <v>45016</v>
      </c>
      <c r="M4" s="28">
        <v>45107</v>
      </c>
      <c r="N4" s="28">
        <v>45199</v>
      </c>
      <c r="O4" s="28">
        <v>45291</v>
      </c>
      <c r="P4" s="27">
        <v>2023</v>
      </c>
      <c r="Q4" s="28">
        <v>45382</v>
      </c>
      <c r="R4" s="28">
        <v>45473</v>
      </c>
      <c r="S4" s="28">
        <v>45565</v>
      </c>
      <c r="T4" s="28">
        <v>45657</v>
      </c>
      <c r="U4" s="27">
        <v>2024</v>
      </c>
    </row>
    <row r="5" spans="1:29" ht="16.5" x14ac:dyDescent="0.3">
      <c r="A5" s="36" t="s">
        <v>252</v>
      </c>
      <c r="B5" s="30">
        <v>100000</v>
      </c>
      <c r="C5" s="30">
        <v>110000</v>
      </c>
      <c r="D5" s="30">
        <v>106000</v>
      </c>
      <c r="E5" s="30">
        <v>130000</v>
      </c>
      <c r="F5" s="155">
        <f>SUM(B5:E5)</f>
        <v>446000</v>
      </c>
      <c r="G5" s="30">
        <v>112000</v>
      </c>
      <c r="H5" s="30">
        <v>116000</v>
      </c>
      <c r="I5" s="30">
        <v>125000</v>
      </c>
      <c r="J5" s="30">
        <v>140000</v>
      </c>
      <c r="K5" s="155">
        <f>SUM(G5:J5)</f>
        <v>493000</v>
      </c>
      <c r="L5" s="30">
        <v>121000</v>
      </c>
      <c r="M5" s="30">
        <v>127000</v>
      </c>
      <c r="N5" s="30">
        <v>138000</v>
      </c>
      <c r="O5" s="30">
        <v>160000</v>
      </c>
      <c r="P5" s="155">
        <f>SUM(L5:O5)</f>
        <v>546000</v>
      </c>
      <c r="Q5" s="30">
        <v>138000</v>
      </c>
      <c r="R5" s="30">
        <v>144000</v>
      </c>
      <c r="S5" s="30">
        <v>154000</v>
      </c>
      <c r="T5" s="30">
        <v>181500</v>
      </c>
      <c r="U5" s="22">
        <f>SUM(Q5:T5)</f>
        <v>617500</v>
      </c>
      <c r="V5" s="141"/>
      <c r="W5" s="141"/>
      <c r="X5" s="141"/>
      <c r="Y5" s="141"/>
      <c r="Z5" s="141"/>
      <c r="AA5" s="141"/>
      <c r="AB5" s="141"/>
      <c r="AC5" s="141"/>
    </row>
    <row r="6" spans="1:29" ht="16.5" x14ac:dyDescent="0.3">
      <c r="A6" s="36" t="s">
        <v>253</v>
      </c>
      <c r="B6" s="30">
        <v>106000</v>
      </c>
      <c r="C6" s="30">
        <v>116000</v>
      </c>
      <c r="D6" s="30">
        <v>112000</v>
      </c>
      <c r="E6" s="30">
        <v>140000</v>
      </c>
      <c r="F6" s="155">
        <f>SUM(B6:E6)</f>
        <v>474000</v>
      </c>
      <c r="G6" s="30">
        <v>117000</v>
      </c>
      <c r="H6" s="30">
        <v>121000</v>
      </c>
      <c r="I6" s="30">
        <v>130000</v>
      </c>
      <c r="J6" s="30">
        <v>148000</v>
      </c>
      <c r="K6" s="155">
        <f>SUM(G6:J6)</f>
        <v>516000</v>
      </c>
      <c r="L6" s="30">
        <v>126000</v>
      </c>
      <c r="M6" s="30">
        <v>133000</v>
      </c>
      <c r="N6" s="30">
        <v>143000</v>
      </c>
      <c r="O6" s="30">
        <v>167000</v>
      </c>
      <c r="P6" s="155">
        <f>SUM(L6:O6)</f>
        <v>569000</v>
      </c>
      <c r="Q6" s="30">
        <v>143500</v>
      </c>
      <c r="R6" s="30">
        <v>149000</v>
      </c>
      <c r="S6" s="30">
        <v>158500</v>
      </c>
      <c r="T6" s="30">
        <v>188500</v>
      </c>
      <c r="U6" s="155">
        <f>SUM(Q6:T6)</f>
        <v>639500</v>
      </c>
    </row>
    <row r="8" spans="1:29" ht="16.5" x14ac:dyDescent="0.3">
      <c r="A8" s="36" t="s">
        <v>254</v>
      </c>
      <c r="B8" s="30">
        <v>3000</v>
      </c>
      <c r="C8" s="30">
        <v>4500</v>
      </c>
      <c r="D8" s="30">
        <v>2500</v>
      </c>
      <c r="E8" s="30">
        <v>0</v>
      </c>
      <c r="F8" s="155">
        <f>SUM(B8:E8)</f>
        <v>10000</v>
      </c>
      <c r="G8" s="30">
        <v>3000</v>
      </c>
      <c r="H8" s="30">
        <v>-1000</v>
      </c>
      <c r="I8" s="30">
        <v>0</v>
      </c>
      <c r="J8" s="30">
        <v>0</v>
      </c>
      <c r="K8" s="155">
        <f>SUM(G8:J8)</f>
        <v>2000</v>
      </c>
      <c r="L8" s="30">
        <v>0</v>
      </c>
      <c r="M8" s="30">
        <v>2000</v>
      </c>
      <c r="N8" s="30">
        <v>5500</v>
      </c>
      <c r="O8" s="30">
        <v>7000</v>
      </c>
      <c r="P8" s="155">
        <f>SUM(L8:O8)</f>
        <v>14500</v>
      </c>
      <c r="Q8" s="30">
        <v>8000</v>
      </c>
      <c r="R8" s="30">
        <v>10000</v>
      </c>
      <c r="S8" s="30">
        <v>11500</v>
      </c>
      <c r="T8" s="30">
        <v>16000</v>
      </c>
      <c r="U8" s="155">
        <f>SUM(Q8:T8)</f>
        <v>45500</v>
      </c>
    </row>
    <row r="9" spans="1:29" ht="16.5" x14ac:dyDescent="0.3">
      <c r="A9" s="36" t="s">
        <v>255</v>
      </c>
      <c r="B9" s="30">
        <v>6500</v>
      </c>
      <c r="C9" s="30">
        <v>8000</v>
      </c>
      <c r="D9" s="30">
        <v>6000</v>
      </c>
      <c r="E9" s="30">
        <v>3000</v>
      </c>
      <c r="F9" s="155">
        <f>SUM(B9:E9)</f>
        <v>23500</v>
      </c>
      <c r="G9" s="30">
        <v>6000</v>
      </c>
      <c r="H9" s="30">
        <v>3000</v>
      </c>
      <c r="I9" s="30">
        <v>3500</v>
      </c>
      <c r="J9" s="30">
        <v>4000</v>
      </c>
      <c r="K9" s="155">
        <f>SUM(G9:J9)</f>
        <v>16500</v>
      </c>
      <c r="L9" s="30">
        <v>4000</v>
      </c>
      <c r="M9" s="30">
        <v>5500</v>
      </c>
      <c r="N9" s="30">
        <v>8500</v>
      </c>
      <c r="O9" s="30">
        <v>11000</v>
      </c>
      <c r="P9" s="155">
        <f>SUM(L9:O9)</f>
        <v>29000</v>
      </c>
      <c r="Q9" s="30">
        <v>12000</v>
      </c>
      <c r="R9" s="30">
        <v>14000</v>
      </c>
      <c r="S9" s="30">
        <v>15000</v>
      </c>
      <c r="T9" s="30">
        <v>20000</v>
      </c>
      <c r="U9" s="155">
        <f>SUM(Q9:T9)</f>
        <v>61000</v>
      </c>
    </row>
    <row r="11" spans="1:29" ht="16.5" x14ac:dyDescent="0.3">
      <c r="A11" s="157" t="s">
        <v>256</v>
      </c>
      <c r="B11" s="28">
        <v>44286</v>
      </c>
      <c r="C11" s="28">
        <v>44377</v>
      </c>
      <c r="D11" s="28">
        <v>44469</v>
      </c>
      <c r="E11" s="28">
        <v>44561</v>
      </c>
      <c r="F11" s="27">
        <v>2021</v>
      </c>
      <c r="G11" s="28">
        <v>44651</v>
      </c>
      <c r="H11" s="28">
        <v>44742</v>
      </c>
      <c r="I11" s="28">
        <v>44834</v>
      </c>
      <c r="J11" s="28">
        <v>44926</v>
      </c>
      <c r="K11" s="27">
        <v>2022</v>
      </c>
      <c r="L11" s="28">
        <v>45016</v>
      </c>
      <c r="M11" s="28">
        <v>45107</v>
      </c>
      <c r="N11" s="28">
        <v>45199</v>
      </c>
      <c r="O11" s="28">
        <v>45291</v>
      </c>
      <c r="P11" s="27">
        <v>2023</v>
      </c>
      <c r="Q11" s="28">
        <v>45382</v>
      </c>
      <c r="R11" s="28">
        <v>45473</v>
      </c>
      <c r="S11" s="28">
        <v>45565</v>
      </c>
      <c r="T11" s="28">
        <v>45657</v>
      </c>
      <c r="U11" s="27">
        <v>2024</v>
      </c>
    </row>
    <row r="12" spans="1:29" ht="16.5" x14ac:dyDescent="0.3">
      <c r="A12" s="158" t="s">
        <v>257</v>
      </c>
      <c r="B12" s="160">
        <v>108518</v>
      </c>
      <c r="C12" s="160">
        <v>113080</v>
      </c>
      <c r="D12" s="160">
        <v>110812</v>
      </c>
      <c r="E12" s="160">
        <v>137412</v>
      </c>
      <c r="F12" s="161">
        <v>469822</v>
      </c>
      <c r="G12" s="160">
        <v>116444</v>
      </c>
      <c r="H12" s="160">
        <v>121234</v>
      </c>
      <c r="I12" s="160">
        <v>127101</v>
      </c>
      <c r="J12" s="160">
        <v>149204</v>
      </c>
      <c r="K12" s="161">
        <v>513983</v>
      </c>
      <c r="L12" s="160">
        <v>127358</v>
      </c>
      <c r="M12" s="160">
        <v>134383</v>
      </c>
      <c r="N12" s="160">
        <v>143083</v>
      </c>
      <c r="O12" s="160">
        <v>169961</v>
      </c>
      <c r="P12" s="161">
        <v>574785</v>
      </c>
      <c r="Q12" s="160">
        <v>143313</v>
      </c>
      <c r="R12" s="160">
        <v>147977</v>
      </c>
      <c r="S12" s="160">
        <v>158877</v>
      </c>
    </row>
    <row r="13" spans="1:29" ht="16.5" x14ac:dyDescent="0.3">
      <c r="A13" s="158" t="s">
        <v>22</v>
      </c>
      <c r="B13" s="160">
        <v>8865</v>
      </c>
      <c r="C13" s="160">
        <v>7702</v>
      </c>
      <c r="D13" s="160">
        <v>4852</v>
      </c>
      <c r="E13" s="160">
        <v>3460</v>
      </c>
      <c r="F13" s="161">
        <v>24879</v>
      </c>
      <c r="G13" s="160">
        <v>3669</v>
      </c>
      <c r="H13" s="160">
        <v>3317</v>
      </c>
      <c r="I13" s="160">
        <v>2525</v>
      </c>
      <c r="J13" s="160">
        <v>2737</v>
      </c>
      <c r="K13" s="161">
        <v>12248</v>
      </c>
      <c r="L13" s="160">
        <v>4774</v>
      </c>
      <c r="M13" s="160">
        <v>7681</v>
      </c>
      <c r="N13" s="160">
        <v>11188</v>
      </c>
      <c r="O13" s="160">
        <v>13209</v>
      </c>
      <c r="P13" s="161">
        <v>36852</v>
      </c>
      <c r="Q13" s="160">
        <v>15307</v>
      </c>
      <c r="R13" s="160">
        <v>14672</v>
      </c>
      <c r="S13" s="160">
        <v>17411</v>
      </c>
    </row>
    <row r="15" spans="1:29" ht="16.5" x14ac:dyDescent="0.3">
      <c r="A15" s="157" t="s">
        <v>258</v>
      </c>
      <c r="B15" s="28">
        <v>44286</v>
      </c>
      <c r="C15" s="28">
        <v>44377</v>
      </c>
      <c r="D15" s="28">
        <v>44469</v>
      </c>
      <c r="E15" s="28">
        <v>44561</v>
      </c>
      <c r="F15" s="27">
        <v>2021</v>
      </c>
      <c r="G15" s="28">
        <v>44651</v>
      </c>
      <c r="H15" s="28">
        <v>44742</v>
      </c>
      <c r="I15" s="28">
        <v>44834</v>
      </c>
      <c r="J15" s="28">
        <v>44926</v>
      </c>
      <c r="K15" s="27">
        <v>2022</v>
      </c>
      <c r="L15" s="28">
        <v>45016</v>
      </c>
      <c r="M15" s="28">
        <v>45107</v>
      </c>
      <c r="N15" s="28">
        <v>45199</v>
      </c>
      <c r="O15" s="28">
        <v>45291</v>
      </c>
      <c r="P15" s="27">
        <v>2023</v>
      </c>
      <c r="Q15" s="28">
        <v>45382</v>
      </c>
      <c r="R15" s="28">
        <v>45473</v>
      </c>
      <c r="S15" s="28">
        <v>45565</v>
      </c>
      <c r="T15" s="28">
        <v>45657</v>
      </c>
      <c r="U15" s="27">
        <v>2024</v>
      </c>
    </row>
    <row r="16" spans="1:29" ht="16.5" x14ac:dyDescent="0.3">
      <c r="A16" s="158" t="s">
        <v>257</v>
      </c>
      <c r="B16" s="105">
        <f t="shared" ref="B16:S16" si="0">B12-AVERAGE(B5:B6)</f>
        <v>5518</v>
      </c>
      <c r="C16" s="105">
        <f t="shared" si="0"/>
        <v>80</v>
      </c>
      <c r="D16" s="105">
        <f t="shared" si="0"/>
        <v>1812</v>
      </c>
      <c r="E16" s="105">
        <f t="shared" si="0"/>
        <v>2412</v>
      </c>
      <c r="F16" s="185">
        <f t="shared" si="0"/>
        <v>9822</v>
      </c>
      <c r="G16" s="105">
        <f t="shared" si="0"/>
        <v>1944</v>
      </c>
      <c r="H16" s="105">
        <f t="shared" si="0"/>
        <v>2734</v>
      </c>
      <c r="I16" s="105">
        <f t="shared" si="0"/>
        <v>-399</v>
      </c>
      <c r="J16" s="105">
        <f t="shared" si="0"/>
        <v>5204</v>
      </c>
      <c r="K16" s="185">
        <f t="shared" si="0"/>
        <v>9483</v>
      </c>
      <c r="L16" s="105">
        <f t="shared" si="0"/>
        <v>3858</v>
      </c>
      <c r="M16" s="105">
        <f t="shared" si="0"/>
        <v>4383</v>
      </c>
      <c r="N16" s="105">
        <f t="shared" si="0"/>
        <v>2583</v>
      </c>
      <c r="O16" s="105">
        <f t="shared" si="0"/>
        <v>6461</v>
      </c>
      <c r="P16" s="185">
        <f t="shared" si="0"/>
        <v>17285</v>
      </c>
      <c r="Q16" s="105">
        <f t="shared" si="0"/>
        <v>2563</v>
      </c>
      <c r="R16" s="105">
        <f t="shared" si="0"/>
        <v>1477</v>
      </c>
      <c r="S16" s="105">
        <f t="shared" si="0"/>
        <v>2627</v>
      </c>
    </row>
    <row r="17" spans="1:19" ht="16.5" x14ac:dyDescent="0.3">
      <c r="A17" s="158" t="s">
        <v>259</v>
      </c>
      <c r="B17" s="43">
        <f t="shared" ref="B17:S17" si="1">B16/AVERAGE(B5:B6)</f>
        <v>5.3572815533980585E-2</v>
      </c>
      <c r="C17" s="43">
        <f t="shared" si="1"/>
        <v>7.0796460176991152E-4</v>
      </c>
      <c r="D17" s="43">
        <f t="shared" si="1"/>
        <v>1.6623853211009173E-2</v>
      </c>
      <c r="E17" s="43">
        <f t="shared" si="1"/>
        <v>1.7866666666666666E-2</v>
      </c>
      <c r="F17" s="186">
        <f t="shared" si="1"/>
        <v>2.135217391304348E-2</v>
      </c>
      <c r="G17" s="43">
        <f t="shared" si="1"/>
        <v>1.6978165938864628E-2</v>
      </c>
      <c r="H17" s="43">
        <f t="shared" si="1"/>
        <v>2.3071729957805907E-2</v>
      </c>
      <c r="I17" s="43">
        <f t="shared" si="1"/>
        <v>-3.1294117647058823E-3</v>
      </c>
      <c r="J17" s="43">
        <f t="shared" si="1"/>
        <v>3.6138888888888887E-2</v>
      </c>
      <c r="K17" s="186">
        <f t="shared" si="1"/>
        <v>1.8796828543111991E-2</v>
      </c>
      <c r="L17" s="43">
        <f t="shared" si="1"/>
        <v>3.1238866396761135E-2</v>
      </c>
      <c r="M17" s="43">
        <f t="shared" si="1"/>
        <v>3.3715384615384612E-2</v>
      </c>
      <c r="N17" s="43">
        <f t="shared" si="1"/>
        <v>1.8384341637010675E-2</v>
      </c>
      <c r="O17" s="43">
        <f t="shared" si="1"/>
        <v>3.9516819571865446E-2</v>
      </c>
      <c r="P17" s="186">
        <f t="shared" si="1"/>
        <v>3.1004484304932734E-2</v>
      </c>
      <c r="Q17" s="43">
        <f t="shared" si="1"/>
        <v>1.8209591474245116E-2</v>
      </c>
      <c r="R17" s="43">
        <f t="shared" si="1"/>
        <v>1.0081911262798634E-2</v>
      </c>
      <c r="S17" s="43">
        <f t="shared" si="1"/>
        <v>1.6812799999999999E-2</v>
      </c>
    </row>
    <row r="19" spans="1:19" ht="16.5" x14ac:dyDescent="0.3">
      <c r="A19" s="158" t="s">
        <v>22</v>
      </c>
      <c r="B19" s="105">
        <f>B13-AVERAGE(B8:B9)</f>
        <v>4115</v>
      </c>
      <c r="C19" s="105">
        <f t="shared" ref="C19:R19" si="2">C13-AVERAGE(C8:C9)</f>
        <v>1452</v>
      </c>
      <c r="D19" s="105">
        <f t="shared" si="2"/>
        <v>602</v>
      </c>
      <c r="E19" s="105">
        <f t="shared" si="2"/>
        <v>1960</v>
      </c>
      <c r="F19" s="185">
        <f t="shared" si="2"/>
        <v>8129</v>
      </c>
      <c r="G19" s="105">
        <f t="shared" si="2"/>
        <v>-831</v>
      </c>
      <c r="H19" s="105">
        <f t="shared" si="2"/>
        <v>2317</v>
      </c>
      <c r="I19" s="105">
        <f t="shared" si="2"/>
        <v>775</v>
      </c>
      <c r="J19" s="105">
        <f t="shared" si="2"/>
        <v>737</v>
      </c>
      <c r="K19" s="185">
        <f t="shared" si="2"/>
        <v>2998</v>
      </c>
      <c r="L19" s="105">
        <f t="shared" si="2"/>
        <v>2774</v>
      </c>
      <c r="M19" s="105">
        <f t="shared" si="2"/>
        <v>3931</v>
      </c>
      <c r="N19" s="105">
        <f t="shared" si="2"/>
        <v>4188</v>
      </c>
      <c r="O19" s="105">
        <f t="shared" si="2"/>
        <v>4209</v>
      </c>
      <c r="P19" s="185">
        <f t="shared" si="2"/>
        <v>15102</v>
      </c>
      <c r="Q19" s="105">
        <f t="shared" si="2"/>
        <v>5307</v>
      </c>
      <c r="R19" s="105">
        <f t="shared" si="2"/>
        <v>2672</v>
      </c>
      <c r="S19" s="105">
        <f>S13-AVERAGE(S8:S9)</f>
        <v>4161</v>
      </c>
    </row>
    <row r="20" spans="1:19" ht="16.5" x14ac:dyDescent="0.3">
      <c r="A20" s="158" t="s">
        <v>260</v>
      </c>
      <c r="B20" s="43">
        <f>B19/AVERAGE(B8:B9)</f>
        <v>0.86631578947368426</v>
      </c>
      <c r="C20" s="43">
        <f t="shared" ref="C20:R20" si="3">C19/AVERAGE(C8:C9)</f>
        <v>0.23232</v>
      </c>
      <c r="D20" s="43">
        <f t="shared" si="3"/>
        <v>0.1416470588235294</v>
      </c>
      <c r="E20" s="43">
        <f t="shared" si="3"/>
        <v>1.3066666666666666</v>
      </c>
      <c r="F20" s="186">
        <f>F19/AVERAGE(F8:F9)</f>
        <v>0.4853134328358209</v>
      </c>
      <c r="G20" s="43">
        <f t="shared" si="3"/>
        <v>-0.18466666666666667</v>
      </c>
      <c r="H20" s="43">
        <f t="shared" si="3"/>
        <v>2.3170000000000002</v>
      </c>
      <c r="I20" s="43">
        <f t="shared" si="3"/>
        <v>0.44285714285714284</v>
      </c>
      <c r="J20" s="43">
        <f t="shared" si="3"/>
        <v>0.36849999999999999</v>
      </c>
      <c r="K20" s="186">
        <f t="shared" si="3"/>
        <v>0.32410810810810808</v>
      </c>
      <c r="L20" s="43">
        <f t="shared" si="3"/>
        <v>1.387</v>
      </c>
      <c r="M20" s="43">
        <f t="shared" si="3"/>
        <v>1.0482666666666667</v>
      </c>
      <c r="N20" s="43">
        <f t="shared" si="3"/>
        <v>0.59828571428571431</v>
      </c>
      <c r="O20" s="43">
        <f t="shared" si="3"/>
        <v>0.46766666666666667</v>
      </c>
      <c r="P20" s="186">
        <f>P19/AVERAGE(P8:P9)</f>
        <v>0.69434482758620686</v>
      </c>
      <c r="Q20" s="43">
        <f t="shared" si="3"/>
        <v>0.53069999999999995</v>
      </c>
      <c r="R20" s="43">
        <f t="shared" si="3"/>
        <v>0.22266666666666668</v>
      </c>
      <c r="S20" s="43">
        <f>S19/AVERAGE(S8:S9)</f>
        <v>0.31403773584905659</v>
      </c>
    </row>
    <row r="21" spans="1:19" x14ac:dyDescent="0.25">
      <c r="A21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6A8A-3D00-4087-84D8-31FB9A187A86}">
  <dimension ref="B1:R25"/>
  <sheetViews>
    <sheetView showGridLines="0" workbookViewId="0">
      <selection activeCell="D11" sqref="D11"/>
    </sheetView>
  </sheetViews>
  <sheetFormatPr defaultRowHeight="16.5" x14ac:dyDescent="0.3"/>
  <cols>
    <col min="1" max="1" width="3.5703125" customWidth="1"/>
    <col min="2" max="2" width="23.7109375" style="261" bestFit="1" customWidth="1"/>
    <col min="3" max="3" width="13" style="261" customWidth="1"/>
    <col min="4" max="8" width="9.42578125" style="261" customWidth="1"/>
    <col min="9" max="9" width="15.28515625" style="261" customWidth="1"/>
    <col min="10" max="10" width="13.7109375" style="261" customWidth="1"/>
    <col min="11" max="11" width="9.140625" style="261"/>
    <col min="12" max="12" width="27.28515625" style="261" bestFit="1" customWidth="1"/>
    <col min="13" max="13" width="13.140625" style="261" customWidth="1"/>
    <col min="14" max="14" width="9.140625" style="261"/>
    <col min="15" max="15" width="16.7109375" style="261" bestFit="1" customWidth="1"/>
    <col min="16" max="16" width="12.28515625" style="261" bestFit="1" customWidth="1"/>
    <col min="17" max="17" width="24.85546875" style="261" bestFit="1" customWidth="1"/>
    <col min="18" max="18" width="11.42578125" bestFit="1" customWidth="1"/>
    <col min="19" max="19" width="24.85546875" bestFit="1" customWidth="1"/>
    <col min="20" max="20" width="29" bestFit="1" customWidth="1"/>
  </cols>
  <sheetData>
    <row r="1" spans="2:18" x14ac:dyDescent="0.3">
      <c r="B1" s="2" t="s">
        <v>10</v>
      </c>
    </row>
    <row r="4" spans="2:18" x14ac:dyDescent="0.3">
      <c r="B4" s="27"/>
      <c r="C4" s="27">
        <v>2024</v>
      </c>
      <c r="D4" s="27">
        <v>2025</v>
      </c>
      <c r="E4" s="27">
        <v>2026</v>
      </c>
      <c r="F4" s="27">
        <v>2027</v>
      </c>
      <c r="G4" s="27">
        <v>2028</v>
      </c>
      <c r="I4" s="140" t="s">
        <v>261</v>
      </c>
      <c r="J4" s="112"/>
      <c r="L4" s="140" t="s">
        <v>262</v>
      </c>
      <c r="O4" s="140" t="s">
        <v>160</v>
      </c>
    </row>
    <row r="5" spans="2:18" x14ac:dyDescent="0.3">
      <c r="B5" s="267" t="s">
        <v>136</v>
      </c>
      <c r="C5" s="268">
        <f>IS!BE95</f>
        <v>62896.007766498988</v>
      </c>
      <c r="D5" s="268">
        <f>IS!BJ95</f>
        <v>75045.16077732305</v>
      </c>
      <c r="E5" s="268">
        <f>IS!BK95</f>
        <v>81289.468266026539</v>
      </c>
      <c r="F5" s="268">
        <f>IS!BL95</f>
        <v>84809.224909533717</v>
      </c>
      <c r="G5" s="268">
        <f>IS!BM95</f>
        <v>92991.487318219995</v>
      </c>
      <c r="I5" s="4" t="s">
        <v>263</v>
      </c>
      <c r="J5" s="113">
        <f>M9</f>
        <v>0.1434</v>
      </c>
      <c r="L5" s="261" t="s">
        <v>264</v>
      </c>
      <c r="O5" s="269" t="s">
        <v>265</v>
      </c>
      <c r="P5" s="269" t="s">
        <v>266</v>
      </c>
      <c r="Q5" s="269" t="s">
        <v>267</v>
      </c>
    </row>
    <row r="6" spans="2:18" x14ac:dyDescent="0.3">
      <c r="B6" s="108" t="s">
        <v>268</v>
      </c>
      <c r="C6" s="270">
        <v>0.21</v>
      </c>
      <c r="D6" s="270">
        <v>0.21</v>
      </c>
      <c r="E6" s="270">
        <v>0.21</v>
      </c>
      <c r="F6" s="270">
        <v>0.21</v>
      </c>
      <c r="G6" s="270">
        <v>0.21</v>
      </c>
      <c r="I6" s="4" t="s">
        <v>269</v>
      </c>
      <c r="J6" s="113">
        <f>P17</f>
        <v>3.7613411358161708E-2</v>
      </c>
      <c r="L6" s="261" t="s">
        <v>270</v>
      </c>
      <c r="M6" s="113">
        <f>(4.75%+4.5%)/2</f>
        <v>4.6249999999999999E-2</v>
      </c>
      <c r="O6" s="271">
        <v>5.1200000000000002E-2</v>
      </c>
      <c r="P6" s="272">
        <v>4000</v>
      </c>
      <c r="Q6" s="273">
        <f>P6*O6</f>
        <v>204.8</v>
      </c>
    </row>
    <row r="7" spans="2:18" x14ac:dyDescent="0.3">
      <c r="B7" s="274" t="s">
        <v>271</v>
      </c>
      <c r="C7" s="268">
        <f>C5*(1-C6)</f>
        <v>49687.846135534201</v>
      </c>
      <c r="D7" s="268">
        <f t="shared" ref="D7:F7" si="0">D5*(1-D6)</f>
        <v>59285.67701408521</v>
      </c>
      <c r="E7" s="268">
        <f t="shared" si="0"/>
        <v>64218.679930160972</v>
      </c>
      <c r="F7" s="268">
        <f t="shared" si="0"/>
        <v>66999.287678531633</v>
      </c>
      <c r="G7" s="268">
        <f>G5*(1-G6)</f>
        <v>73463.274981393799</v>
      </c>
      <c r="L7" s="261" t="s">
        <v>272</v>
      </c>
      <c r="M7" s="261">
        <v>1.1599999999999999</v>
      </c>
      <c r="O7" s="271">
        <v>4.3299999999999998E-2</v>
      </c>
      <c r="P7" s="272">
        <v>15000</v>
      </c>
      <c r="Q7" s="273">
        <f t="shared" ref="Q7:Q13" si="1">P7*O7</f>
        <v>649.5</v>
      </c>
    </row>
    <row r="8" spans="2:18" x14ac:dyDescent="0.3">
      <c r="B8" s="275" t="s">
        <v>69</v>
      </c>
      <c r="C8" s="276">
        <f>CF!BE9</f>
        <v>52477.530624021107</v>
      </c>
      <c r="D8" s="276">
        <f>CF!BJ9</f>
        <v>58148.789600864868</v>
      </c>
      <c r="E8" s="276">
        <f>CF!BK9</f>
        <v>76688.177609459031</v>
      </c>
      <c r="F8" s="276">
        <f>CF!BL9</f>
        <v>88168.006094069686</v>
      </c>
      <c r="G8" s="276">
        <f>CF!BM9</f>
        <v>101277.85747528901</v>
      </c>
      <c r="I8" s="4" t="s">
        <v>273</v>
      </c>
      <c r="J8" s="113">
        <f>M14/(M14+P16)</f>
        <v>0.96854872294312966</v>
      </c>
      <c r="L8" s="261" t="s">
        <v>274</v>
      </c>
      <c r="M8" s="113">
        <v>0.13</v>
      </c>
      <c r="O8" s="271">
        <v>2.7699999999999999E-2</v>
      </c>
      <c r="P8" s="272">
        <v>9000</v>
      </c>
      <c r="Q8" s="273">
        <f t="shared" si="1"/>
        <v>249.29999999999998</v>
      </c>
    </row>
    <row r="9" spans="2:18" x14ac:dyDescent="0.3">
      <c r="B9" s="111" t="s">
        <v>70</v>
      </c>
      <c r="C9" s="276">
        <f>CF!BE22</f>
        <v>-73952.636872679199</v>
      </c>
      <c r="D9" s="276">
        <f>CF!BJ22</f>
        <v>-84162.797133446555</v>
      </c>
      <c r="E9" s="276">
        <f>CF!BK22</f>
        <v>-92025.813131350835</v>
      </c>
      <c r="F9" s="276">
        <f>CF!BL22</f>
        <v>-100763.43553607965</v>
      </c>
      <c r="G9" s="276">
        <f>CF!BM22</f>
        <v>-110484.93542758802</v>
      </c>
      <c r="I9" s="4" t="s">
        <v>275</v>
      </c>
      <c r="J9" s="114">
        <f>P16/(M14+P16)</f>
        <v>3.1451277056870321E-2</v>
      </c>
      <c r="L9" s="115" t="s">
        <v>263</v>
      </c>
      <c r="M9" s="116">
        <f>M6+M7*(M8-M6)</f>
        <v>0.1434</v>
      </c>
      <c r="O9" s="271">
        <v>3.3099999999999997E-2</v>
      </c>
      <c r="P9" s="272">
        <v>17500</v>
      </c>
      <c r="Q9" s="273">
        <f t="shared" si="1"/>
        <v>579.25</v>
      </c>
    </row>
    <row r="10" spans="2:18" x14ac:dyDescent="0.3">
      <c r="B10" s="277" t="s">
        <v>276</v>
      </c>
      <c r="C10" s="278">
        <f>BS!BE52</f>
        <v>19908.803481913928</v>
      </c>
      <c r="D10" s="278">
        <f>BS!BJ52</f>
        <v>44429.111814267962</v>
      </c>
      <c r="E10" s="278">
        <f>D10*(1+$J$14)</f>
        <v>48819.725658867232</v>
      </c>
      <c r="F10" s="278">
        <f>E10*(1+$J$14)</f>
        <v>53644.232713237936</v>
      </c>
      <c r="G10" s="278">
        <f>F10*(1+$J$14)</f>
        <v>58945.511564326938</v>
      </c>
      <c r="I10" s="108" t="s">
        <v>0</v>
      </c>
      <c r="J10" s="108" t="s">
        <v>0</v>
      </c>
      <c r="O10" s="271">
        <v>4.1500000000000002E-2</v>
      </c>
      <c r="P10" s="272">
        <v>12750</v>
      </c>
      <c r="Q10" s="273">
        <f t="shared" si="1"/>
        <v>529.125</v>
      </c>
    </row>
    <row r="11" spans="2:18" x14ac:dyDescent="0.3">
      <c r="B11" s="109" t="s">
        <v>277</v>
      </c>
      <c r="C11" s="268">
        <f>SUM(C7:C10)</f>
        <v>48121.543368790037</v>
      </c>
      <c r="D11" s="268">
        <f>SUM(D7:D10)</f>
        <v>77700.781295771478</v>
      </c>
      <c r="E11" s="268">
        <f>SUM(E7:E10)</f>
        <v>97700.770067136415</v>
      </c>
      <c r="F11" s="268">
        <f>SUM(F7:F10)</f>
        <v>108048.09094975961</v>
      </c>
      <c r="G11" s="268">
        <f>SUM(G7:G10)</f>
        <v>123201.70859342172</v>
      </c>
      <c r="I11" s="4" t="s">
        <v>268</v>
      </c>
      <c r="J11" s="113">
        <v>0.21</v>
      </c>
      <c r="L11" s="261" t="s">
        <v>273</v>
      </c>
      <c r="O11" s="271">
        <v>4.8300000000000003E-2</v>
      </c>
      <c r="P11" s="272">
        <v>8250</v>
      </c>
      <c r="Q11" s="273">
        <f t="shared" si="1"/>
        <v>398.47500000000002</v>
      </c>
    </row>
    <row r="12" spans="2:18" x14ac:dyDescent="0.3">
      <c r="B12" s="119" t="s">
        <v>278</v>
      </c>
      <c r="C12" s="279"/>
      <c r="D12" s="279"/>
      <c r="E12" s="279"/>
      <c r="F12" s="279"/>
      <c r="G12" s="279">
        <f>G11*(1+J14)/(J12-J14)</f>
        <v>3301750.1959179705</v>
      </c>
      <c r="I12" s="115" t="s">
        <v>279</v>
      </c>
      <c r="J12" s="116">
        <f>(J5*J8)+(J6*(1-J11)*J9)</f>
        <v>0.13982444882917167</v>
      </c>
      <c r="L12" s="261" t="s">
        <v>280</v>
      </c>
      <c r="M12" s="276">
        <f>IS!BC36</f>
        <v>10735</v>
      </c>
      <c r="O12" s="271">
        <v>6.6000000000000003E-2</v>
      </c>
      <c r="P12" s="269">
        <v>682</v>
      </c>
      <c r="Q12" s="273">
        <f t="shared" si="1"/>
        <v>45.012</v>
      </c>
    </row>
    <row r="13" spans="2:18" x14ac:dyDescent="0.3">
      <c r="B13" s="4" t="s">
        <v>279</v>
      </c>
      <c r="C13" s="264">
        <f>$J$12*(1/4)</f>
        <v>3.4956112207292916E-2</v>
      </c>
      <c r="D13" s="264">
        <f>$J$12</f>
        <v>0.13982444882917167</v>
      </c>
      <c r="E13" s="264">
        <f>$J$12</f>
        <v>0.13982444882917167</v>
      </c>
      <c r="F13" s="264">
        <f>$J$12</f>
        <v>0.13982444882917167</v>
      </c>
      <c r="G13" s="264">
        <f>$J$12</f>
        <v>0.13982444882917167</v>
      </c>
      <c r="L13" s="261" t="s">
        <v>281</v>
      </c>
      <c r="M13" s="261">
        <v>227.46</v>
      </c>
      <c r="O13" s="271">
        <v>2.7E-2</v>
      </c>
      <c r="P13" s="272">
        <v>12109</v>
      </c>
      <c r="Q13" s="273">
        <f t="shared" si="1"/>
        <v>326.94299999999998</v>
      </c>
    </row>
    <row r="14" spans="2:18" x14ac:dyDescent="0.3">
      <c r="B14" s="17" t="s">
        <v>282</v>
      </c>
      <c r="C14" s="280">
        <f>1+C13</f>
        <v>1.034956112207293</v>
      </c>
      <c r="D14" s="280">
        <f>C14*(1+D13)</f>
        <v>1.1796682801590599</v>
      </c>
      <c r="E14" s="280">
        <f t="shared" ref="E14:G14" si="2">D14*(1+E13)</f>
        <v>1.3446147472335572</v>
      </c>
      <c r="F14" s="280">
        <f t="shared" si="2"/>
        <v>1.5326247631530652</v>
      </c>
      <c r="G14" s="280">
        <f t="shared" si="2"/>
        <v>1.746923175922882</v>
      </c>
      <c r="I14" s="115" t="s">
        <v>283</v>
      </c>
      <c r="J14" s="116">
        <f>AVERAGE('Assumptions + Estimates'!J18:R18)</f>
        <v>9.8822903841828902E-2</v>
      </c>
      <c r="L14" s="115" t="s">
        <v>284</v>
      </c>
      <c r="M14" s="117">
        <f>M13*M12</f>
        <v>2441783.1</v>
      </c>
      <c r="O14" s="258" t="s">
        <v>285</v>
      </c>
      <c r="P14" s="281">
        <f>SUM(P6:P13)</f>
        <v>79291</v>
      </c>
      <c r="Q14" s="281">
        <f>SUM(Q6:Q13)</f>
        <v>2982.4049999999997</v>
      </c>
      <c r="R14" s="105"/>
    </row>
    <row r="15" spans="2:18" x14ac:dyDescent="0.3">
      <c r="B15" s="109" t="s">
        <v>286</v>
      </c>
      <c r="C15" s="268">
        <f>C11/C14</f>
        <v>46496.216410722249</v>
      </c>
      <c r="D15" s="268">
        <f t="shared" ref="D15:F15" si="3">D11/D14</f>
        <v>65866.6360727227</v>
      </c>
      <c r="E15" s="268">
        <f t="shared" si="3"/>
        <v>72660.790213812797</v>
      </c>
      <c r="F15" s="268">
        <f t="shared" si="3"/>
        <v>70498.72450675568</v>
      </c>
      <c r="G15" s="268">
        <f>(G11+G12)/G14</f>
        <v>1960562.4057864046</v>
      </c>
      <c r="R15" s="105"/>
    </row>
    <row r="16" spans="2:18" x14ac:dyDescent="0.3">
      <c r="O16" s="115" t="s">
        <v>287</v>
      </c>
      <c r="P16" s="117">
        <f>P14</f>
        <v>79291</v>
      </c>
      <c r="R16" s="43"/>
    </row>
    <row r="17" spans="2:16" x14ac:dyDescent="0.3">
      <c r="B17" s="4" t="s">
        <v>288</v>
      </c>
      <c r="C17" s="276">
        <f>SUM(C15:G15)</f>
        <v>2216084.7729904181</v>
      </c>
      <c r="I17" s="261" t="s">
        <v>19</v>
      </c>
      <c r="O17" s="115" t="s">
        <v>289</v>
      </c>
      <c r="P17" s="116">
        <f>Q14/P14</f>
        <v>3.7613411358161708E-2</v>
      </c>
    </row>
    <row r="18" spans="2:16" x14ac:dyDescent="0.3">
      <c r="B18" s="4" t="s">
        <v>290</v>
      </c>
      <c r="C18" s="276">
        <f>BS!BC46</f>
        <v>88051</v>
      </c>
      <c r="E18" s="276"/>
      <c r="F18" s="276"/>
    </row>
    <row r="19" spans="2:16" x14ac:dyDescent="0.3">
      <c r="B19" s="17" t="s">
        <v>291</v>
      </c>
      <c r="C19" s="278">
        <f>P16</f>
        <v>79291</v>
      </c>
    </row>
    <row r="20" spans="2:16" x14ac:dyDescent="0.3">
      <c r="B20" s="4" t="s">
        <v>292</v>
      </c>
      <c r="C20" s="276">
        <f>C17+C18-C19</f>
        <v>2224844.7729904181</v>
      </c>
    </row>
    <row r="21" spans="2:16" x14ac:dyDescent="0.3">
      <c r="B21" s="261" t="s">
        <v>293</v>
      </c>
      <c r="C21" s="276">
        <f>M12</f>
        <v>10735</v>
      </c>
    </row>
    <row r="22" spans="2:16" x14ac:dyDescent="0.3">
      <c r="B22" s="4" t="s">
        <v>294</v>
      </c>
      <c r="C22" s="263">
        <f>C20/C21</f>
        <v>207.25149259342507</v>
      </c>
    </row>
    <row r="24" spans="2:16" x14ac:dyDescent="0.3">
      <c r="B24" s="261" t="s">
        <v>295</v>
      </c>
      <c r="C24" s="261">
        <f>M13</f>
        <v>227.46</v>
      </c>
    </row>
    <row r="25" spans="2:16" x14ac:dyDescent="0.3">
      <c r="B25" s="261" t="s">
        <v>296</v>
      </c>
      <c r="C25" s="264">
        <f>C22/M13-1</f>
        <v>-8.8844224947572936E-2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Cover</vt:lpstr>
      <vt:lpstr>Summary</vt:lpstr>
      <vt:lpstr>Assumptions + Estimates</vt:lpstr>
      <vt:lpstr>Model</vt:lpstr>
      <vt:lpstr>IS</vt:lpstr>
      <vt:lpstr>BS</vt:lpstr>
      <vt:lpstr>CF</vt:lpstr>
      <vt:lpstr>Ratios</vt:lpstr>
      <vt:lpstr>Amazon Forecast</vt:lpstr>
      <vt:lpstr>Valuation</vt:lpstr>
      <vt:lpstr>Cc</vt:lpstr>
      <vt:lpstr>period</vt:lpstr>
      <vt:lpstr>ticker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Felipe MIGUEL BERTI</cp:lastModifiedBy>
  <cp:revision/>
  <dcterms:created xsi:type="dcterms:W3CDTF">2024-11-20T16:42:43Z</dcterms:created>
  <dcterms:modified xsi:type="dcterms:W3CDTF">2024-12-16T03:09:22Z</dcterms:modified>
  <cp:category/>
  <cp:contentStatus/>
</cp:coreProperties>
</file>